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F Aklera " sheetId="1" state="visible" r:id="rId2"/>
    <sheet name="FF J.Patan" sheetId="2" state="visible" r:id="rId3"/>
    <sheet name="FF M Thana" sheetId="3" state="visible" r:id="rId4"/>
    <sheet name="FF Khanpur " sheetId="4" state="visible" r:id="rId5"/>
    <sheet name="FF Bakani " sheetId="5" state="visible" r:id="rId6"/>
    <sheet name="FF Dag" sheetId="6" state="visible" r:id="rId7"/>
    <sheet name="FF Pidawa" sheetId="7" state="visible" r:id="rId8"/>
    <sheet name="FF Bh Mandi 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<sst xmlns="http://schemas.openxmlformats.org/spreadsheetml/2006/main" count="14035" uniqueCount="2571">
  <si>
    <t xml:space="preserve">P1/L1</t>
  </si>
  <si>
    <t xml:space="preserve">P2/L2</t>
  </si>
  <si>
    <t xml:space="preserve">P3/L3</t>
  </si>
  <si>
    <t xml:space="preserve">District</t>
  </si>
  <si>
    <t xml:space="preserve">Block</t>
  </si>
  <si>
    <t xml:space="preserve">Panchayat</t>
  </si>
  <si>
    <t xml:space="preserve">Village</t>
  </si>
  <si>
    <t xml:space="preserve">CODE11</t>
  </si>
  <si>
    <t xml:space="preserve">Total Geographical Area</t>
  </si>
  <si>
    <t xml:space="preserve">Total Households</t>
  </si>
  <si>
    <t xml:space="preserve">Total Population</t>
  </si>
  <si>
    <t xml:space="preserve">Total male</t>
  </si>
  <si>
    <t xml:space="preserve">Total Female</t>
  </si>
  <si>
    <t xml:space="preserve">Total SC Population</t>
  </si>
  <si>
    <t xml:space="preserve">Total ST Population</t>
  </si>
  <si>
    <t xml:space="preserve">Permanent Pasture &amp; other Grazing Land Area</t>
  </si>
  <si>
    <t xml:space="preserve">Potential CFRR Area</t>
  </si>
  <si>
    <t xml:space="preserve">Resolution for CVS formation/ reorganisation</t>
  </si>
  <si>
    <t xml:space="preserve">CVS formed/ reorganised</t>
  </si>
  <si>
    <t xml:space="preserve">Application by CVS for Pastaure land recognition (Resolution)</t>
  </si>
  <si>
    <t xml:space="preserve">Recognition of VI &amp; Tenure over Pasture land under 170 (1) (Sahmati Patra) </t>
  </si>
  <si>
    <t xml:space="preserve">Entry of Pasture land in Panchayat asset register</t>
  </si>
  <si>
    <t xml:space="preserve">Village specific bylaws for Pasture land</t>
  </si>
  <si>
    <t xml:space="preserve">Action taken for demarcation of Pasture land</t>
  </si>
  <si>
    <t xml:space="preserve">Action taken for removal of enchrochment of Pasture land</t>
  </si>
  <si>
    <t xml:space="preserve">Removal of encrochment from Pasture Land</t>
  </si>
  <si>
    <t xml:space="preserve">Ecorestoration Plan of Pasture land </t>
  </si>
  <si>
    <t xml:space="preserve">Ecorestoration work  integrated VBGMRG /VPGP /GPDP  </t>
  </si>
  <si>
    <t xml:space="preserve">Work done under VBGRAMG/ other Govt schemes</t>
  </si>
  <si>
    <t xml:space="preserve">Activities narration of work done under VBGRAMG/ Govt schemes </t>
  </si>
  <si>
    <t xml:space="preserve">GPS Co-ordinates of work</t>
  </si>
  <si>
    <t xml:space="preserve">Ha</t>
  </si>
  <si>
    <t xml:space="preserve">No.</t>
  </si>
  <si>
    <t xml:space="preserve">%</t>
  </si>
  <si>
    <t xml:space="preserve">Y/N</t>
  </si>
  <si>
    <t xml:space="preserve">Month/Year</t>
  </si>
  <si>
    <t xml:space="preserve">Narration</t>
  </si>
  <si>
    <t xml:space="preserve">Latitude</t>
  </si>
  <si>
    <t xml:space="preserve">Longitude</t>
  </si>
  <si>
    <t xml:space="preserve">Jhalawar</t>
  </si>
  <si>
    <t xml:space="preserve">AKLERA</t>
  </si>
  <si>
    <t xml:space="preserve">AMETHA</t>
  </si>
  <si>
    <t xml:space="preserve">Ametha</t>
  </si>
  <si>
    <t xml:space="preserve">y</t>
  </si>
  <si>
    <t xml:space="preserve">02.10.2024</t>
  </si>
  <si>
    <t xml:space="preserve">YES</t>
  </si>
  <si>
    <t xml:space="preserve">Borkheri Maliyan</t>
  </si>
  <si>
    <t xml:space="preserve">N</t>
  </si>
  <si>
    <t xml:space="preserve">Katphala</t>
  </si>
  <si>
    <t xml:space="preserve">Y</t>
  </si>
  <si>
    <t xml:space="preserve">Katphali</t>
  </si>
  <si>
    <t xml:space="preserve">Laxmipura</t>
  </si>
  <si>
    <t xml:space="preserve">Madanpura</t>
  </si>
  <si>
    <t xml:space="preserve">Narayanpura</t>
  </si>
  <si>
    <t xml:space="preserve">UDAIPUR</t>
  </si>
  <si>
    <t xml:space="preserve">AMRIT KHERI</t>
  </si>
  <si>
    <t xml:space="preserve">Amrit Kheri</t>
  </si>
  <si>
    <t xml:space="preserve">02.10.2025</t>
  </si>
  <si>
    <t xml:space="preserve">Biloniya</t>
  </si>
  <si>
    <t xml:space="preserve">Gadiya Jaimal</t>
  </si>
  <si>
    <t xml:space="preserve">Kherkhera Near Kishorpura</t>
  </si>
  <si>
    <t xml:space="preserve">Padlya</t>
  </si>
  <si>
    <t xml:space="preserve">Sankheri</t>
  </si>
  <si>
    <t xml:space="preserve">Sendari</t>
  </si>
  <si>
    <t xml:space="preserve">ASAL PUR</t>
  </si>
  <si>
    <t xml:space="preserve">Asalpur</t>
  </si>
  <si>
    <t xml:space="preserve">24.11.2025</t>
  </si>
  <si>
    <t xml:space="preserve">Dadlai</t>
  </si>
  <si>
    <t xml:space="preserve">Doriya Kheri</t>
  </si>
  <si>
    <t xml:space="preserve">Garda</t>
  </si>
  <si>
    <t xml:space="preserve">Guradi</t>
  </si>
  <si>
    <t xml:space="preserve">Jheekariya</t>
  </si>
  <si>
    <t xml:space="preserve">Toda</t>
  </si>
  <si>
    <t xml:space="preserve">BAIRA GARH</t>
  </si>
  <si>
    <t xml:space="preserve">Ganeshpura</t>
  </si>
  <si>
    <t xml:space="preserve">27.08.2022</t>
  </si>
  <si>
    <t xml:space="preserve">Kherla Jagir</t>
  </si>
  <si>
    <t xml:space="preserve">LAXMIPURA</t>
  </si>
  <si>
    <t xml:space="preserve">BHALTA</t>
  </si>
  <si>
    <t xml:space="preserve">Baheri Kalan</t>
  </si>
  <si>
    <t xml:space="preserve">NO</t>
  </si>
  <si>
    <t xml:space="preserve">Baheri Khurd</t>
  </si>
  <si>
    <t xml:space="preserve">yes</t>
  </si>
  <si>
    <t xml:space="preserve">Bhalta</t>
  </si>
  <si>
    <t xml:space="preserve">Nahargarh</t>
  </si>
  <si>
    <t xml:space="preserve">Pachan Kheri</t>
  </si>
  <si>
    <t xml:space="preserve">BINDA KHERA</t>
  </si>
  <si>
    <t xml:space="preserve">Baori Khera</t>
  </si>
  <si>
    <t xml:space="preserve">02.07.2025</t>
  </si>
  <si>
    <t xml:space="preserve">Binda Khera</t>
  </si>
  <si>
    <t xml:space="preserve">Manpura Jageer</t>
  </si>
  <si>
    <t xml:space="preserve">Padlya Lodhan</t>
  </si>
  <si>
    <t xml:space="preserve">Patri Khera</t>
  </si>
  <si>
    <t xml:space="preserve">Pirthipura</t>
  </si>
  <si>
    <t xml:space="preserve">Upsali</t>
  </si>
  <si>
    <t xml:space="preserve">BORBAND</t>
  </si>
  <si>
    <t xml:space="preserve">Borband</t>
  </si>
  <si>
    <t xml:space="preserve">05.03.2025</t>
  </si>
  <si>
    <t xml:space="preserve">Deori Mandir</t>
  </si>
  <si>
    <t xml:space="preserve">Ghora Khera</t>
  </si>
  <si>
    <t xml:space="preserve">Harnawada Khurd</t>
  </si>
  <si>
    <t xml:space="preserve">Islampura</t>
  </si>
  <si>
    <t xml:space="preserve">Khariya</t>
  </si>
  <si>
    <t xml:space="preserve">Rampuriya Khurd</t>
  </si>
  <si>
    <t xml:space="preserve">Shyopura</t>
  </si>
  <si>
    <t xml:space="preserve">DEOLI</t>
  </si>
  <si>
    <t xml:space="preserve">Bindayaka</t>
  </si>
  <si>
    <t xml:space="preserve">Deoli</t>
  </si>
  <si>
    <t xml:space="preserve">Durjan Pura Khurd</t>
  </si>
  <si>
    <t xml:space="preserve">Manya Kheri</t>
  </si>
  <si>
    <t xml:space="preserve">DEORI CHANCHAL</t>
  </si>
  <si>
    <t xml:space="preserve">Deo Khoh</t>
  </si>
  <si>
    <t xml:space="preserve">Deori Chanchal</t>
  </si>
  <si>
    <t xml:space="preserve">Dev Kadar</t>
  </si>
  <si>
    <t xml:space="preserve">Moonj Khera</t>
  </si>
  <si>
    <t xml:space="preserve">Sarkhandi Kalan</t>
  </si>
  <si>
    <t xml:space="preserve">Sarkhandi Khurd</t>
  </si>
  <si>
    <t xml:space="preserve">Ugarpura</t>
  </si>
  <si>
    <t xml:space="preserve">DEORI KALAN</t>
  </si>
  <si>
    <t xml:space="preserve">Beenda</t>
  </si>
  <si>
    <t xml:space="preserve">Deori Kalan</t>
  </si>
  <si>
    <t xml:space="preserve">Deori Khurd</t>
  </si>
  <si>
    <t xml:space="preserve">Gordhanpura Near Koli</t>
  </si>
  <si>
    <t xml:space="preserve">Ugena</t>
  </si>
  <si>
    <t xml:space="preserve">GEHOON KHERI</t>
  </si>
  <si>
    <t xml:space="preserve">Bharatpur</t>
  </si>
  <si>
    <t xml:space="preserve">16.06.2023</t>
  </si>
  <si>
    <t xml:space="preserve">Chhabariya</t>
  </si>
  <si>
    <t xml:space="preserve">Gehoon Kheri</t>
  </si>
  <si>
    <t xml:space="preserve">Talab</t>
  </si>
  <si>
    <t xml:space="preserve">Kalya Kheri</t>
  </si>
  <si>
    <t xml:space="preserve">Madanpura @Churel</t>
  </si>
  <si>
    <t xml:space="preserve">Peepaldi</t>
  </si>
  <si>
    <t xml:space="preserve">GHATOLI</t>
  </si>
  <si>
    <t xml:space="preserve">Durjanpura</t>
  </si>
  <si>
    <t xml:space="preserve">27.11.2025</t>
  </si>
  <si>
    <t xml:space="preserve">Ghatoli</t>
  </si>
  <si>
    <t xml:space="preserve">Gordhanpura @ Nayagaon</t>
  </si>
  <si>
    <t xml:space="preserve">Neem Khera</t>
  </si>
  <si>
    <t xml:space="preserve">GOPALPURA</t>
  </si>
  <si>
    <t xml:space="preserve">Chandipur</t>
  </si>
  <si>
    <t xml:space="preserve">Dahi Khera</t>
  </si>
  <si>
    <t xml:space="preserve">Anicut</t>
  </si>
  <si>
    <t xml:space="preserve">Gopal Pura @ Guradiya</t>
  </si>
  <si>
    <t xml:space="preserve">Goriya Khera</t>
  </si>
  <si>
    <t xml:space="preserve"> 01/08/2022</t>
  </si>
  <si>
    <t xml:space="preserve">Khuri</t>
  </si>
  <si>
    <t xml:space="preserve">Kotra Jageer</t>
  </si>
  <si>
    <t xml:space="preserve">Talai</t>
  </si>
  <si>
    <t xml:space="preserve">Mahuwa Khera</t>
  </si>
  <si>
    <t xml:space="preserve">Yes</t>
  </si>
  <si>
    <t xml:space="preserve">Manpura Goojran</t>
  </si>
  <si>
    <t xml:space="preserve">KHARPA</t>
  </si>
  <si>
    <t xml:space="preserve">Dateela</t>
  </si>
  <si>
    <t xml:space="preserve">04.04.2025</t>
  </si>
  <si>
    <t xml:space="preserve">Ganesh Ganj</t>
  </si>
  <si>
    <t xml:space="preserve">09.04.2025</t>
  </si>
  <si>
    <t xml:space="preserve">Kenwachi Khurd</t>
  </si>
  <si>
    <t xml:space="preserve">08.04.2025</t>
  </si>
  <si>
    <t xml:space="preserve">Kharpa</t>
  </si>
  <si>
    <t xml:space="preserve">05.04.2025</t>
  </si>
  <si>
    <t xml:space="preserve">Kishanpuriya</t>
  </si>
  <si>
    <t xml:space="preserve">Luhariya</t>
  </si>
  <si>
    <t xml:space="preserve">06.04.2025</t>
  </si>
  <si>
    <t xml:space="preserve">Mangta</t>
  </si>
  <si>
    <t xml:space="preserve">07.04,2025</t>
  </si>
  <si>
    <t xml:space="preserve">Telani</t>
  </si>
  <si>
    <t xml:space="preserve">KOHARI JHAR</t>
  </si>
  <si>
    <t xml:space="preserve">Doongar Gaon</t>
  </si>
  <si>
    <t xml:space="preserve">06.05.2025</t>
  </si>
  <si>
    <t xml:space="preserve">Khajoori</t>
  </si>
  <si>
    <t xml:space="preserve">Kohri Jhar</t>
  </si>
  <si>
    <t xml:space="preserve">Manpura Lodhan</t>
  </si>
  <si>
    <t xml:space="preserve">Moi Kalan</t>
  </si>
  <si>
    <t xml:space="preserve">Moi Khurd</t>
  </si>
  <si>
    <t xml:space="preserve">Patri @ Girdharpura</t>
  </si>
  <si>
    <t xml:space="preserve">Peethapura</t>
  </si>
  <si>
    <t xml:space="preserve">LAHAS</t>
  </si>
  <si>
    <t xml:space="preserve">Dhoondhaliya</t>
  </si>
  <si>
    <t xml:space="preserve">talab</t>
  </si>
  <si>
    <t xml:space="preserve">Khanpuriya Near Lahapasya</t>
  </si>
  <si>
    <t xml:space="preserve">Lapasya</t>
  </si>
  <si>
    <t xml:space="preserve">Lhas</t>
  </si>
  <si>
    <t xml:space="preserve">Mawasa</t>
  </si>
  <si>
    <t xml:space="preserve">Ugeni</t>
  </si>
  <si>
    <t xml:space="preserve">METHOON</t>
  </si>
  <si>
    <t xml:space="preserve">Methoon</t>
  </si>
  <si>
    <t xml:space="preserve">Parpati</t>
  </si>
  <si>
    <t xml:space="preserve">PACHOLA</t>
  </si>
  <si>
    <t xml:space="preserve">Bareri Kalan</t>
  </si>
  <si>
    <t xml:space="preserve">13.10.2025</t>
  </si>
  <si>
    <t xml:space="preserve">Basodiya</t>
  </si>
  <si>
    <t xml:space="preserve">Pachola</t>
  </si>
  <si>
    <t xml:space="preserve">Semli Kalan</t>
  </si>
  <si>
    <t xml:space="preserve">SARDA</t>
  </si>
  <si>
    <t xml:space="preserve">Bapawar</t>
  </si>
  <si>
    <t xml:space="preserve">08.05.2025</t>
  </si>
  <si>
    <t xml:space="preserve">Bindli</t>
  </si>
  <si>
    <t xml:space="preserve">Khokharya</t>
  </si>
  <si>
    <t xml:space="preserve">Mothpuriya</t>
  </si>
  <si>
    <t xml:space="preserve">Prithipura</t>
  </si>
  <si>
    <t xml:space="preserve">Sarda</t>
  </si>
  <si>
    <t xml:space="preserve">Sohan Khera</t>
  </si>
  <si>
    <t xml:space="preserve">THANAWAD</t>
  </si>
  <si>
    <t xml:space="preserve">Awand</t>
  </si>
  <si>
    <t xml:space="preserve">26.01.2026</t>
  </si>
  <si>
    <t xml:space="preserve">Bandri</t>
  </si>
  <si>
    <t xml:space="preserve">Hanoti</t>
  </si>
  <si>
    <t xml:space="preserve">Khokhera Lala</t>
  </si>
  <si>
    <t xml:space="preserve">Mirzapur</t>
  </si>
  <si>
    <t xml:space="preserve">Sara Kuan</t>
  </si>
  <si>
    <t xml:space="preserve">Thanawad</t>
  </si>
  <si>
    <t xml:space="preserve">THARAUL</t>
  </si>
  <si>
    <t xml:space="preserve">Belwan</t>
  </si>
  <si>
    <t xml:space="preserve">Kotra Dayal</t>
  </si>
  <si>
    <t xml:space="preserve">Patan Khema</t>
  </si>
  <si>
    <t xml:space="preserve">Patanuda</t>
  </si>
  <si>
    <t xml:space="preserve">Tharaul</t>
  </si>
  <si>
    <t xml:space="preserve">UMARIA</t>
  </si>
  <si>
    <t xml:space="preserve">Chhuwariya</t>
  </si>
  <si>
    <t xml:space="preserve">Navin Talai</t>
  </si>
  <si>
    <t xml:space="preserve">Kher Danta</t>
  </si>
  <si>
    <t xml:space="preserve">Rampuriya</t>
  </si>
  <si>
    <t xml:space="preserve">Rankra</t>
  </si>
  <si>
    <t xml:space="preserve">Soori</t>
  </si>
  <si>
    <t xml:space="preserve">Tol Khera</t>
  </si>
  <si>
    <t xml:space="preserve">Umariya</t>
  </si>
  <si>
    <t xml:space="preserve">JHALRAPATAN</t>
  </si>
  <si>
    <t xml:space="preserve">ASNAWAR</t>
  </si>
  <si>
    <t xml:space="preserve">Asnawar</t>
  </si>
  <si>
    <t xml:space="preserve">BARODIYA</t>
  </si>
  <si>
    <t xml:space="preserve">Jatamari</t>
  </si>
  <si>
    <t xml:space="preserve">Dhanoda</t>
  </si>
  <si>
    <t xml:space="preserve">Barodiya</t>
  </si>
  <si>
    <t xml:space="preserve">14-03-22</t>
  </si>
  <si>
    <t xml:space="preserve">Kher Khera</t>
  </si>
  <si>
    <t xml:space="preserve">Ananda</t>
  </si>
  <si>
    <t xml:space="preserve">Bheemli</t>
  </si>
  <si>
    <t xml:space="preserve">12.03.2026</t>
  </si>
  <si>
    <t xml:space="preserve">BORDA</t>
  </si>
  <si>
    <t xml:space="preserve">Borda</t>
  </si>
  <si>
    <t xml:space="preserve">Binda</t>
  </si>
  <si>
    <t xml:space="preserve">Nahardi</t>
  </si>
  <si>
    <t xml:space="preserve">Deetya Kheri</t>
  </si>
  <si>
    <t xml:space="preserve">17.09.2025</t>
  </si>
  <si>
    <t xml:space="preserve">DONDA</t>
  </si>
  <si>
    <t xml:space="preserve">JAREL CHOUKI</t>
  </si>
  <si>
    <t xml:space="preserve">Jarel</t>
  </si>
  <si>
    <t xml:space="preserve">Bali</t>
  </si>
  <si>
    <t xml:space="preserve">23/8/2022</t>
  </si>
  <si>
    <t xml:space="preserve">Donda</t>
  </si>
  <si>
    <t xml:space="preserve">CPT,CCT,</t>
  </si>
  <si>
    <t xml:space="preserve">Dhabli Kalan</t>
  </si>
  <si>
    <t xml:space="preserve">28.08.2022</t>
  </si>
  <si>
    <t xml:space="preserve">DOONGAR GAON</t>
  </si>
  <si>
    <t xml:space="preserve">Chuthya Kheri</t>
  </si>
  <si>
    <t xml:space="preserve">Kanwarpura</t>
  </si>
  <si>
    <t xml:space="preserve">16-03-22</t>
  </si>
  <si>
    <t xml:space="preserve">Khajoori Kalan</t>
  </si>
  <si>
    <t xml:space="preserve">Tokri Baldeopura</t>
  </si>
  <si>
    <t xml:space="preserve">Semli Gokul</t>
  </si>
  <si>
    <t xml:space="preserve">Mala Tota</t>
  </si>
  <si>
    <t xml:space="preserve">15-03-22</t>
  </si>
  <si>
    <t xml:space="preserve">DURGPURA</t>
  </si>
  <si>
    <t xml:space="preserve">Dhanwas</t>
  </si>
  <si>
    <t xml:space="preserve">Kishanpura Antri</t>
  </si>
  <si>
    <t xml:space="preserve">Gopalpura</t>
  </si>
  <si>
    <t xml:space="preserve">21/8/2022</t>
  </si>
  <si>
    <t xml:space="preserve">Durgpura</t>
  </si>
  <si>
    <t xml:space="preserve">Tar Fancing</t>
  </si>
  <si>
    <t xml:space="preserve">Nala</t>
  </si>
  <si>
    <t xml:space="preserve">22.08.2022</t>
  </si>
  <si>
    <t xml:space="preserve">No</t>
  </si>
  <si>
    <t xml:space="preserve">GIRDHARPURA</t>
  </si>
  <si>
    <t xml:space="preserve">Bhanwariya</t>
  </si>
  <si>
    <t xml:space="preserve">19.09.2024</t>
  </si>
  <si>
    <t xml:space="preserve">Madhopur</t>
  </si>
  <si>
    <t xml:space="preserve">Bagdar</t>
  </si>
  <si>
    <t xml:space="preserve">Bakshpura</t>
  </si>
  <si>
    <t xml:space="preserve">Girdharpura</t>
  </si>
  <si>
    <t xml:space="preserve">GOVINDPURA</t>
  </si>
  <si>
    <t xml:space="preserve">Govindpura</t>
  </si>
  <si>
    <t xml:space="preserve">CCT,CPT</t>
  </si>
  <si>
    <t xml:space="preserve">IKTASA</t>
  </si>
  <si>
    <t xml:space="preserve">Iktasa</t>
  </si>
  <si>
    <t xml:space="preserve">02.10.2023</t>
  </si>
  <si>
    <t xml:space="preserve">JHOOMKI</t>
  </si>
  <si>
    <t xml:space="preserve">Shyampura</t>
  </si>
  <si>
    <t xml:space="preserve">Baori Khera Kalan (New)</t>
  </si>
  <si>
    <t xml:space="preserve">Sarawan</t>
  </si>
  <si>
    <t xml:space="preserve">Manda</t>
  </si>
  <si>
    <t xml:space="preserve">Nayapura</t>
  </si>
  <si>
    <t xml:space="preserve">Jagannathpuri</t>
  </si>
  <si>
    <t xml:space="preserve">Jhoomki</t>
  </si>
  <si>
    <t xml:space="preserve">20.08.2022</t>
  </si>
  <si>
    <t xml:space="preserve">JOONA KHERA</t>
  </si>
  <si>
    <t xml:space="preserve">Mori</t>
  </si>
  <si>
    <t xml:space="preserve">Gaonri</t>
  </si>
  <si>
    <t xml:space="preserve">Semli Noabad</t>
  </si>
  <si>
    <t xml:space="preserve">Joona Khera</t>
  </si>
  <si>
    <t xml:space="preserve">Arnya</t>
  </si>
  <si>
    <t xml:space="preserve">Mehsar</t>
  </si>
  <si>
    <t xml:space="preserve">Jheenta Pura</t>
  </si>
  <si>
    <t xml:space="preserve">KALMANDI KALAN</t>
  </si>
  <si>
    <t xml:space="preserve">Nahar Singhi</t>
  </si>
  <si>
    <t xml:space="preserve">Joona Palan</t>
  </si>
  <si>
    <t xml:space="preserve">Kalmandi Kalan</t>
  </si>
  <si>
    <t xml:space="preserve">HARISH PURA</t>
  </si>
  <si>
    <t xml:space="preserve">Kalmandi Khurd</t>
  </si>
  <si>
    <t xml:space="preserve">Singhaniya</t>
  </si>
  <si>
    <t xml:space="preserve">Luhariya Deh</t>
  </si>
  <si>
    <t xml:space="preserve">Urmal</t>
  </si>
  <si>
    <t xml:space="preserve">CPT</t>
  </si>
  <si>
    <t xml:space="preserve">KANWARA</t>
  </si>
  <si>
    <t xml:space="preserve">Rati Talai</t>
  </si>
  <si>
    <t xml:space="preserve">Dhabli Khurd</t>
  </si>
  <si>
    <t xml:space="preserve">Nal Khari</t>
  </si>
  <si>
    <t xml:space="preserve">Prithya Kheri</t>
  </si>
  <si>
    <t xml:space="preserve">Gadari</t>
  </si>
  <si>
    <t xml:space="preserve">KHANPURIYA</t>
  </si>
  <si>
    <t xml:space="preserve">Undal</t>
  </si>
  <si>
    <t xml:space="preserve">Ralayti</t>
  </si>
  <si>
    <t xml:space="preserve">28-02-22</t>
  </si>
  <si>
    <t xml:space="preserve">KHERLA</t>
  </si>
  <si>
    <t xml:space="preserve">Talwariya</t>
  </si>
  <si>
    <t xml:space="preserve">24-02-22</t>
  </si>
  <si>
    <t xml:space="preserve">Naya Gaon @ Bhanpura</t>
  </si>
  <si>
    <t xml:space="preserve">24.02.2022</t>
  </si>
  <si>
    <t xml:space="preserve">Kherla</t>
  </si>
  <si>
    <t xml:space="preserve">Peeplya Goojaran</t>
  </si>
  <si>
    <t xml:space="preserve">22-02-22</t>
  </si>
  <si>
    <t xml:space="preserve">Gadiya Mer</t>
  </si>
  <si>
    <t xml:space="preserve">25-02-22</t>
  </si>
  <si>
    <t xml:space="preserve">Rooppura Baldiya</t>
  </si>
  <si>
    <t xml:space="preserve">23-02-22</t>
  </si>
  <si>
    <t xml:space="preserve">KOLANA</t>
  </si>
  <si>
    <t xml:space="preserve">Guwari Khurd</t>
  </si>
  <si>
    <t xml:space="preserve">27/8/2022</t>
  </si>
  <si>
    <t xml:space="preserve">Changeri</t>
  </si>
  <si>
    <t xml:space="preserve">Balya Kheri</t>
  </si>
  <si>
    <t xml:space="preserve">Kolana</t>
  </si>
  <si>
    <t xml:space="preserve">Semli Patpariya</t>
  </si>
  <si>
    <t xml:space="preserve">Chariya Kheri</t>
  </si>
  <si>
    <t xml:space="preserve">Bhawanipura</t>
  </si>
  <si>
    <t xml:space="preserve">LAWASAL</t>
  </si>
  <si>
    <t xml:space="preserve">Manpura</t>
  </si>
  <si>
    <t xml:space="preserve">Lawasal</t>
  </si>
  <si>
    <t xml:space="preserve">Mehandi</t>
  </si>
  <si>
    <t xml:space="preserve">Gargach</t>
  </si>
  <si>
    <t xml:space="preserve">Kans Kherli</t>
  </si>
  <si>
    <t xml:space="preserve">Badiya Gorhanpura</t>
  </si>
  <si>
    <t xml:space="preserve">Dhabli</t>
  </si>
  <si>
    <t xml:space="preserve">15.08.2024</t>
  </si>
  <si>
    <t xml:space="preserve">MANDAWAR</t>
  </si>
  <si>
    <t xml:space="preserve">Boodh Mandawar</t>
  </si>
  <si>
    <t xml:space="preserve">PANWASA</t>
  </si>
  <si>
    <t xml:space="preserve">Areda</t>
  </si>
  <si>
    <t xml:space="preserve">Khajoori Khurd</t>
  </si>
  <si>
    <t xml:space="preserve">Bacholi</t>
  </si>
  <si>
    <t xml:space="preserve">Thoongani</t>
  </si>
  <si>
    <t xml:space="preserve">Panwasa</t>
  </si>
  <si>
    <t xml:space="preserve">Mokhampura</t>
  </si>
  <si>
    <t xml:space="preserve">Isarpura</t>
  </si>
  <si>
    <t xml:space="preserve">Dhabariya</t>
  </si>
  <si>
    <t xml:space="preserve">Dheengalya Kheri</t>
  </si>
  <si>
    <t xml:space="preserve">Kenchani</t>
  </si>
  <si>
    <t xml:space="preserve">20.06.2025</t>
  </si>
  <si>
    <t xml:space="preserve">PIPLOD</t>
  </si>
  <si>
    <t xml:space="preserve">Chandloi</t>
  </si>
  <si>
    <t xml:space="preserve">Chandiya Kheri</t>
  </si>
  <si>
    <t xml:space="preserve">Moondla Khera</t>
  </si>
  <si>
    <t xml:space="preserve">Banjari</t>
  </si>
  <si>
    <t xml:space="preserve">Bhanwarsa</t>
  </si>
  <si>
    <t xml:space="preserve">Kishanpura Bhanwrasi</t>
  </si>
  <si>
    <t xml:space="preserve">Mangal</t>
  </si>
  <si>
    <t xml:space="preserve">Piplod</t>
  </si>
  <si>
    <t xml:space="preserve">Haripura</t>
  </si>
  <si>
    <t xml:space="preserve">5.01.2022</t>
  </si>
  <si>
    <t xml:space="preserve">ROOPAREL</t>
  </si>
  <si>
    <t xml:space="preserve">Barbeli</t>
  </si>
  <si>
    <t xml:space="preserve">Ramri</t>
  </si>
  <si>
    <t xml:space="preserve">Pura</t>
  </si>
  <si>
    <t xml:space="preserve">Barbela</t>
  </si>
  <si>
    <t xml:space="preserve">Sekhla</t>
  </si>
  <si>
    <t xml:space="preserve">Moriya Kheri</t>
  </si>
  <si>
    <t xml:space="preserve">Rooparel</t>
  </si>
  <si>
    <t xml:space="preserve">Jetpura</t>
  </si>
  <si>
    <t xml:space="preserve">Akwasa</t>
  </si>
  <si>
    <t xml:space="preserve">Motya Doongri</t>
  </si>
  <si>
    <t xml:space="preserve">Kundbari</t>
  </si>
  <si>
    <t xml:space="preserve">RUNDLAO</t>
  </si>
  <si>
    <t xml:space="preserve">Rundlao</t>
  </si>
  <si>
    <t xml:space="preserve">SALRIYA</t>
  </si>
  <si>
    <t xml:space="preserve">Salriya</t>
  </si>
  <si>
    <t xml:space="preserve">SAMRAI</t>
  </si>
  <si>
    <t xml:space="preserve">Bhilwara</t>
  </si>
  <si>
    <t xml:space="preserve">Samrai</t>
  </si>
  <si>
    <t xml:space="preserve">Moti Pura</t>
  </si>
  <si>
    <t xml:space="preserve">Binolai</t>
  </si>
  <si>
    <t xml:space="preserve">Sankali Khera</t>
  </si>
  <si>
    <t xml:space="preserve">Gadiya</t>
  </si>
  <si>
    <t xml:space="preserve">TANDI SOHAN PURA</t>
  </si>
  <si>
    <t xml:space="preserve">Gurha</t>
  </si>
  <si>
    <t xml:space="preserve">Gaupura</t>
  </si>
  <si>
    <t xml:space="preserve">Salki Doongri</t>
  </si>
  <si>
    <t xml:space="preserve">Raredi</t>
  </si>
  <si>
    <t xml:space="preserve">Tandi Sohan Pura</t>
  </si>
  <si>
    <t xml:space="preserve">Mankund</t>
  </si>
  <si>
    <t xml:space="preserve">TEETARWASA</t>
  </si>
  <si>
    <t xml:space="preserve">Biriya Kheri Kalan</t>
  </si>
  <si>
    <t xml:space="preserve">Shyopur</t>
  </si>
  <si>
    <t xml:space="preserve">25/08/2022</t>
  </si>
  <si>
    <t xml:space="preserve">Teetarwasa</t>
  </si>
  <si>
    <t xml:space="preserve">Teetri</t>
  </si>
  <si>
    <t xml:space="preserve">Talai Nirman Karya Dhabli</t>
  </si>
  <si>
    <t xml:space="preserve">JHALAWAR</t>
  </si>
  <si>
    <t xml:space="preserve">MANOHARTHANA</t>
  </si>
  <si>
    <t xml:space="preserve">ANWAL HERA</t>
  </si>
  <si>
    <t xml:space="preserve">Anwal Hera</t>
  </si>
  <si>
    <t xml:space="preserve">0812900681104758</t>
  </si>
  <si>
    <t xml:space="preserve">13.07.2023</t>
  </si>
  <si>
    <t xml:space="preserve">Gurari</t>
  </si>
  <si>
    <t xml:space="preserve">0812900681104745</t>
  </si>
  <si>
    <t xml:space="preserve">Charagah Vikas Karya Evam Plantaion</t>
  </si>
  <si>
    <t xml:space="preserve">Khankhara Lodhan</t>
  </si>
  <si>
    <t xml:space="preserve">0812900681104742</t>
  </si>
  <si>
    <t xml:space="preserve">Jamunya @ Kandari</t>
  </si>
  <si>
    <t xml:space="preserve">0812900681104744</t>
  </si>
  <si>
    <t xml:space="preserve">Navin Talai May West Wear Nirman Karya Guradi</t>
  </si>
  <si>
    <t xml:space="preserve">Roopahera</t>
  </si>
  <si>
    <t xml:space="preserve">0812900681104743</t>
  </si>
  <si>
    <t xml:space="preserve">Bislai</t>
  </si>
  <si>
    <t xml:space="preserve">0812900681104730</t>
  </si>
  <si>
    <t xml:space="preserve">ARJUNPURA</t>
  </si>
  <si>
    <t xml:space="preserve">Arjunpura</t>
  </si>
  <si>
    <t xml:space="preserve">0812900681104655</t>
  </si>
  <si>
    <t xml:space="preserve">20.07.2023</t>
  </si>
  <si>
    <t xml:space="preserve">0812900681104654</t>
  </si>
  <si>
    <t xml:space="preserve">Poadharopan</t>
  </si>
  <si>
    <t xml:space="preserve">Baroo Beh</t>
  </si>
  <si>
    <t xml:space="preserve">0812900681104673</t>
  </si>
  <si>
    <t xml:space="preserve">Kotra Kagla</t>
  </si>
  <si>
    <t xml:space="preserve">0812900681104672</t>
  </si>
  <si>
    <t xml:space="preserve">BANETH</t>
  </si>
  <si>
    <t xml:space="preserve">Baneth</t>
  </si>
  <si>
    <t xml:space="preserve">0812900681104714</t>
  </si>
  <si>
    <t xml:space="preserve">20.06.2024</t>
  </si>
  <si>
    <t xml:space="preserve">Sagoni</t>
  </si>
  <si>
    <t xml:space="preserve">0812900681104715</t>
  </si>
  <si>
    <t xml:space="preserve">Lodhipura</t>
  </si>
  <si>
    <t xml:space="preserve">0812900681104712</t>
  </si>
  <si>
    <t xml:space="preserve">0812900681104702</t>
  </si>
  <si>
    <t xml:space="preserve">Gajwara</t>
  </si>
  <si>
    <t xml:space="preserve">0812900681104701</t>
  </si>
  <si>
    <t xml:space="preserve">66..0447</t>
  </si>
  <si>
    <t xml:space="preserve">Kotra Chamar Garh</t>
  </si>
  <si>
    <t xml:space="preserve">0812900681104711</t>
  </si>
  <si>
    <t xml:space="preserve">Purana Talab Nirman </t>
  </si>
  <si>
    <t xml:space="preserve">Kunda Khera</t>
  </si>
  <si>
    <t xml:space="preserve">0812900681104710</t>
  </si>
  <si>
    <t xml:space="preserve">Purana Talab Gahrikaran Karya</t>
  </si>
  <si>
    <t xml:space="preserve">BANS KHERA</t>
  </si>
  <si>
    <t xml:space="preserve">Bans Khera</t>
  </si>
  <si>
    <t xml:space="preserve">0812900681104718</t>
  </si>
  <si>
    <t xml:space="preserve">2.10.2023</t>
  </si>
  <si>
    <t xml:space="preserve">Himmatgarh</t>
  </si>
  <si>
    <t xml:space="preserve">0812900681104717</t>
  </si>
  <si>
    <t xml:space="preserve">Chhan</t>
  </si>
  <si>
    <t xml:space="preserve">0812900681104694</t>
  </si>
  <si>
    <t xml:space="preserve">Koonjari</t>
  </si>
  <si>
    <t xml:space="preserve">0812900681104693</t>
  </si>
  <si>
    <t xml:space="preserve">Jawari</t>
  </si>
  <si>
    <t xml:space="preserve">0812900681104696</t>
  </si>
  <si>
    <t xml:space="preserve">DCC</t>
  </si>
  <si>
    <t xml:space="preserve">Kishanpuriya @ Mogya Beh</t>
  </si>
  <si>
    <t xml:space="preserve">0812900681104695</t>
  </si>
  <si>
    <t xml:space="preserve">Goriya</t>
  </si>
  <si>
    <t xml:space="preserve">0812900681104692</t>
  </si>
  <si>
    <t xml:space="preserve">Parthipura</t>
  </si>
  <si>
    <t xml:space="preserve">0812900681104689</t>
  </si>
  <si>
    <t xml:space="preserve">Dhaba</t>
  </si>
  <si>
    <t xml:space="preserve">0812900681104688</t>
  </si>
  <si>
    <t xml:space="preserve">BANSKHERI MEWATIYAN</t>
  </si>
  <si>
    <t xml:space="preserve">Banskheri Mewatiyan</t>
  </si>
  <si>
    <t xml:space="preserve">0812900681104727</t>
  </si>
  <si>
    <t xml:space="preserve">MGNREGA</t>
  </si>
  <si>
    <t xml:space="preserve">Gurar Khera</t>
  </si>
  <si>
    <t xml:space="preserve">0812900681104782</t>
  </si>
  <si>
    <t xml:space="preserve">Talab Nirman Karya</t>
  </si>
  <si>
    <t xml:space="preserve">Kishanpurya</t>
  </si>
  <si>
    <t xml:space="preserve">0812900681104724</t>
  </si>
  <si>
    <t xml:space="preserve">Baman Gaon</t>
  </si>
  <si>
    <t xml:space="preserve">0812900681104723</t>
  </si>
  <si>
    <t xml:space="preserve">Talai(Talab Nirman Piching West vear)</t>
  </si>
  <si>
    <t xml:space="preserve">Dhama Hera</t>
  </si>
  <si>
    <t xml:space="preserve">0812900681104722</t>
  </si>
  <si>
    <t xml:space="preserve">Kheri Mewatiyan</t>
  </si>
  <si>
    <t xml:space="preserve">0812900681104721</t>
  </si>
  <si>
    <t xml:space="preserve">Rajpura</t>
  </si>
  <si>
    <t xml:space="preserve">0812900681104728</t>
  </si>
  <si>
    <t xml:space="preserve">Westwear</t>
  </si>
  <si>
    <t xml:space="preserve">Gharawali</t>
  </si>
  <si>
    <t xml:space="preserve">0812900681104719</t>
  </si>
  <si>
    <t xml:space="preserve">Poonya Khera</t>
  </si>
  <si>
    <t xml:space="preserve">0812900681104720</t>
  </si>
  <si>
    <t xml:space="preserve">Hanotya Mewatiyan</t>
  </si>
  <si>
    <t xml:space="preserve">0812900681104716</t>
  </si>
  <si>
    <t xml:space="preserve">BARRAWADA</t>
  </si>
  <si>
    <t xml:space="preserve">Barrawada</t>
  </si>
  <si>
    <t xml:space="preserve">0812900681104648</t>
  </si>
  <si>
    <t xml:space="preserve">Khareriya</t>
  </si>
  <si>
    <t xml:space="preserve">0812900681104660</t>
  </si>
  <si>
    <t xml:space="preserve">Semali Jageer</t>
  </si>
  <si>
    <t xml:space="preserve">0812900681104659</t>
  </si>
  <si>
    <t xml:space="preserve">Bambooliya</t>
  </si>
  <si>
    <t xml:space="preserve">0812900681104650</t>
  </si>
  <si>
    <t xml:space="preserve">Barwad</t>
  </si>
  <si>
    <t xml:space="preserve">0812900681104649</t>
  </si>
  <si>
    <t xml:space="preserve">Chachorni</t>
  </si>
  <si>
    <t xml:space="preserve">0812900681104647</t>
  </si>
  <si>
    <t xml:space="preserve">Kishorpura</t>
  </si>
  <si>
    <t xml:space="preserve">0812900681104646</t>
  </si>
  <si>
    <t xml:space="preserve">Kheri Jageer</t>
  </si>
  <si>
    <t xml:space="preserve">0812900681104645</t>
  </si>
  <si>
    <t xml:space="preserve">Bamanya Kheri</t>
  </si>
  <si>
    <t xml:space="preserve">0812900681104651</t>
  </si>
  <si>
    <t xml:space="preserve">Amrit sarover</t>
  </si>
  <si>
    <t xml:space="preserve">Patlon</t>
  </si>
  <si>
    <t xml:space="preserve">0812900681104644</t>
  </si>
  <si>
    <t xml:space="preserve">CHANDIPUR</t>
  </si>
  <si>
    <t xml:space="preserve">0812900681104684</t>
  </si>
  <si>
    <t xml:space="preserve">21.09.2022</t>
  </si>
  <si>
    <t xml:space="preserve">Rampurya</t>
  </si>
  <si>
    <t xml:space="preserve">0812900681104704</t>
  </si>
  <si>
    <t xml:space="preserve">Pacheta</t>
  </si>
  <si>
    <t xml:space="preserve">0812900681104705</t>
  </si>
  <si>
    <t xml:space="preserve">Talab Gahrikaran</t>
  </si>
  <si>
    <t xml:space="preserve">CHANDPURABHEELAN</t>
  </si>
  <si>
    <t xml:space="preserve">Chanpura Bheelan</t>
  </si>
  <si>
    <t xml:space="preserve">0812900681104756</t>
  </si>
  <si>
    <t xml:space="preserve">05.07.2023</t>
  </si>
  <si>
    <t xml:space="preserve">SGT</t>
  </si>
  <si>
    <t xml:space="preserve">Mohanpura</t>
  </si>
  <si>
    <t xml:space="preserve">0812900681104780</t>
  </si>
  <si>
    <t xml:space="preserve">0812900681104781</t>
  </si>
  <si>
    <t xml:space="preserve">Ganeshpura Lodhan</t>
  </si>
  <si>
    <t xml:space="preserve">0812900681104754</t>
  </si>
  <si>
    <t xml:space="preserve">Kanwariya Kheri</t>
  </si>
  <si>
    <t xml:space="preserve">0812900681104779</t>
  </si>
  <si>
    <t xml:space="preserve">Talai Nirman</t>
  </si>
  <si>
    <t xml:space="preserve">Nesh Charnan</t>
  </si>
  <si>
    <t xml:space="preserve">0812900681104778</t>
  </si>
  <si>
    <t xml:space="preserve">GHOGHDI</t>
  </si>
  <si>
    <t xml:space="preserve">0812900681104755</t>
  </si>
  <si>
    <t xml:space="preserve">0812900681104729</t>
  </si>
  <si>
    <t xml:space="preserve">DANGIPURA</t>
  </si>
  <si>
    <t xml:space="preserve">Dangipura</t>
  </si>
  <si>
    <t xml:space="preserve">0812900681104829</t>
  </si>
  <si>
    <t xml:space="preserve">24/04/2023</t>
  </si>
  <si>
    <t xml:space="preserve">0812900681104828</t>
  </si>
  <si>
    <t xml:space="preserve"> Talab Gahrikaran</t>
  </si>
  <si>
    <t xml:space="preserve">Semla Beh</t>
  </si>
  <si>
    <t xml:space="preserve">0812900681104831</t>
  </si>
  <si>
    <t xml:space="preserve">Chittauri</t>
  </si>
  <si>
    <t xml:space="preserve">0812900681104832</t>
  </si>
  <si>
    <t xml:space="preserve">Nesh Goojran</t>
  </si>
  <si>
    <t xml:space="preserve">0812900681104819</t>
  </si>
  <si>
    <t xml:space="preserve">Patlapani</t>
  </si>
  <si>
    <t xml:space="preserve">0812900681104830</t>
  </si>
  <si>
    <t xml:space="preserve">Jai Shree</t>
  </si>
  <si>
    <t xml:space="preserve">0812900681104820</t>
  </si>
  <si>
    <t xml:space="preserve">GARBOLIYA</t>
  </si>
  <si>
    <t xml:space="preserve">Garboliya</t>
  </si>
  <si>
    <t xml:space="preserve">0812900681104773</t>
  </si>
  <si>
    <t xml:space="preserve">09.06.2024</t>
  </si>
  <si>
    <t xml:space="preserve">Birjipura</t>
  </si>
  <si>
    <t xml:space="preserve">0812900681104776</t>
  </si>
  <si>
    <t xml:space="preserve">10.06.2024</t>
  </si>
  <si>
    <t xml:space="preserve">0812900681104777</t>
  </si>
  <si>
    <t xml:space="preserve">Paharpura</t>
  </si>
  <si>
    <t xml:space="preserve">0812900681104774</t>
  </si>
  <si>
    <t xml:space="preserve">Chandpura Kasba</t>
  </si>
  <si>
    <t xml:space="preserve">0812900681104771</t>
  </si>
  <si>
    <t xml:space="preserve">Bishan Khera</t>
  </si>
  <si>
    <t xml:space="preserve">0812900681104757</t>
  </si>
  <si>
    <t xml:space="preserve">0812900681104759</t>
  </si>
  <si>
    <t xml:space="preserve">Ank Kheri</t>
  </si>
  <si>
    <t xml:space="preserve">0812900681104760</t>
  </si>
  <si>
    <t xml:space="preserve">Akolya</t>
  </si>
  <si>
    <t xml:space="preserve">0812900681104761</t>
  </si>
  <si>
    <t xml:space="preserve">JAWAR</t>
  </si>
  <si>
    <t xml:space="preserve">Jawar</t>
  </si>
  <si>
    <t xml:space="preserve">0812900681104697</t>
  </si>
  <si>
    <t xml:space="preserve">Bukharya</t>
  </si>
  <si>
    <t xml:space="preserve">0812900681104698</t>
  </si>
  <si>
    <t xml:space="preserve">Gajwari</t>
  </si>
  <si>
    <t xml:space="preserve">0812900681104700</t>
  </si>
  <si>
    <t xml:space="preserve">Nagniya Kheri</t>
  </si>
  <si>
    <t xml:space="preserve">0812900681104699</t>
  </si>
  <si>
    <t xml:space="preserve">Sadala</t>
  </si>
  <si>
    <t xml:space="preserve">0812900681104685</t>
  </si>
  <si>
    <t xml:space="preserve">Jatawa</t>
  </si>
  <si>
    <t xml:space="preserve">0812900681104686</t>
  </si>
  <si>
    <t xml:space="preserve">KAMKHERA</t>
  </si>
  <si>
    <t xml:space="preserve">Kamkhera</t>
  </si>
  <si>
    <t xml:space="preserve">0812900681104665</t>
  </si>
  <si>
    <t xml:space="preserve">0812900681104666</t>
  </si>
  <si>
    <t xml:space="preserve">Bhoomriya</t>
  </si>
  <si>
    <t xml:space="preserve">0812900681104687</t>
  </si>
  <si>
    <t xml:space="preserve">Bandha Jageer</t>
  </si>
  <si>
    <t xml:space="preserve">0812900681104657</t>
  </si>
  <si>
    <t xml:space="preserve">Khajoori Jageer</t>
  </si>
  <si>
    <t xml:space="preserve">0812900681104658</t>
  </si>
  <si>
    <t xml:space="preserve">talai</t>
  </si>
  <si>
    <t xml:space="preserve">Khenjra</t>
  </si>
  <si>
    <t xml:space="preserve">0812900681104656</t>
  </si>
  <si>
    <t xml:space="preserve">0812900681104653</t>
  </si>
  <si>
    <t xml:space="preserve">Soolya Jageer</t>
  </si>
  <si>
    <t xml:space="preserve">0812900681104652</t>
  </si>
  <si>
    <t xml:space="preserve">KHATA KHERI</t>
  </si>
  <si>
    <t xml:space="preserve">Khata Kheri</t>
  </si>
  <si>
    <t xml:space="preserve">0812900681104792</t>
  </si>
  <si>
    <t xml:space="preserve">24.06.2025</t>
  </si>
  <si>
    <t xml:space="preserve">Hameerpura</t>
  </si>
  <si>
    <t xml:space="preserve">0812900681104789</t>
  </si>
  <si>
    <t xml:space="preserve">Talai Beh</t>
  </si>
  <si>
    <t xml:space="preserve">0812900681104822</t>
  </si>
  <si>
    <t xml:space="preserve">no</t>
  </si>
  <si>
    <t xml:space="preserve">Khankhara Goojran</t>
  </si>
  <si>
    <t xml:space="preserve">0812900681104786</t>
  </si>
  <si>
    <t xml:space="preserve">Kherkheri Ghata</t>
  </si>
  <si>
    <t xml:space="preserve">0812900681104790</t>
  </si>
  <si>
    <t xml:space="preserve">Charagah Vikas evam podharopan karya</t>
  </si>
  <si>
    <t xml:space="preserve">Peeplya Lodhan</t>
  </si>
  <si>
    <t xml:space="preserve">0812900681104788</t>
  </si>
  <si>
    <t xml:space="preserve">Dolatpura</t>
  </si>
  <si>
    <t xml:space="preserve">0812900681104787</t>
  </si>
  <si>
    <t xml:space="preserve">0812900681104791</t>
  </si>
  <si>
    <t xml:space="preserve">Madan Pura</t>
  </si>
  <si>
    <t xml:space="preserve">0812900681104775</t>
  </si>
  <si>
    <t xml:space="preserve">Ganeshpura Maliyan</t>
  </si>
  <si>
    <t xml:space="preserve">0812900681104772</t>
  </si>
  <si>
    <t xml:space="preserve">KHER KHERA</t>
  </si>
  <si>
    <t xml:space="preserve">0812900681104676</t>
  </si>
  <si>
    <t xml:space="preserve">15.08.2022</t>
  </si>
  <si>
    <t xml:space="preserve">Prathipura</t>
  </si>
  <si>
    <t xml:space="preserve">0812900681104708</t>
  </si>
  <si>
    <t xml:space="preserve">Miyawaki Plantation Karya</t>
  </si>
  <si>
    <t xml:space="preserve">Torakhera</t>
  </si>
  <si>
    <t xml:space="preserve">0812900681104706</t>
  </si>
  <si>
    <t xml:space="preserve">0812900681104709</t>
  </si>
  <si>
    <t xml:space="preserve">Ladpurya</t>
  </si>
  <si>
    <t xml:space="preserve">0812900681104707</t>
  </si>
  <si>
    <t xml:space="preserve">Tandee</t>
  </si>
  <si>
    <t xml:space="preserve">0812900681104682</t>
  </si>
  <si>
    <t xml:space="preserve">Udpurya</t>
  </si>
  <si>
    <t xml:space="preserve">0812900681104681</t>
  </si>
  <si>
    <t xml:space="preserve">Dhab Beh</t>
  </si>
  <si>
    <t xml:space="preserve">0812900681104680</t>
  </si>
  <si>
    <t xml:space="preserve">0812900681104678</t>
  </si>
  <si>
    <t xml:space="preserve">Taklon</t>
  </si>
  <si>
    <t xml:space="preserve">0812900681104677</t>
  </si>
  <si>
    <t xml:space="preserve">Khanpurya</t>
  </si>
  <si>
    <t xml:space="preserve">0812900681104679</t>
  </si>
  <si>
    <t xml:space="preserve">0812900681104674</t>
  </si>
  <si>
    <t xml:space="preserve">Dhamdhar</t>
  </si>
  <si>
    <t xml:space="preserve">0812900681104675</t>
  </si>
  <si>
    <t xml:space="preserve">KOLOO KHERI MALIYAN</t>
  </si>
  <si>
    <t xml:space="preserve">Koloo Kheri Maliyan</t>
  </si>
  <si>
    <t xml:space="preserve">0812900681104801</t>
  </si>
  <si>
    <t xml:space="preserve">0812900681104809</t>
  </si>
  <si>
    <t xml:space="preserve">Gordhanpura</t>
  </si>
  <si>
    <t xml:space="preserve">0812900681104808</t>
  </si>
  <si>
    <t xml:space="preserve">Gangahoni</t>
  </si>
  <si>
    <t xml:space="preserve">0812900681104769</t>
  </si>
  <si>
    <t xml:space="preserve">Kherkheri Mata</t>
  </si>
  <si>
    <t xml:space="preserve">0812900681104768</t>
  </si>
  <si>
    <t xml:space="preserve">0812900681104803</t>
  </si>
  <si>
    <t xml:space="preserve">Ladpura Balram</t>
  </si>
  <si>
    <t xml:space="preserve">0812900681104802</t>
  </si>
  <si>
    <t xml:space="preserve">Balbatpura</t>
  </si>
  <si>
    <t xml:space="preserve">0812900681104805</t>
  </si>
  <si>
    <t xml:space="preserve">Ratanpurya</t>
  </si>
  <si>
    <t xml:space="preserve">0812900681104804</t>
  </si>
  <si>
    <t xml:space="preserve">20.04.2023</t>
  </si>
  <si>
    <t xml:space="preserve">Charagah Vikas Evam Plantation</t>
  </si>
  <si>
    <t xml:space="preserve">Manpura Balram</t>
  </si>
  <si>
    <t xml:space="preserve">0812900681104765</t>
  </si>
  <si>
    <t xml:space="preserve">KOLOOKHERI KALAN</t>
  </si>
  <si>
    <t xml:space="preserve">Kolookheri Kalan</t>
  </si>
  <si>
    <t xml:space="preserve">0812900681104749</t>
  </si>
  <si>
    <t xml:space="preserve">25.07.2024</t>
  </si>
  <si>
    <t xml:space="preserve">Bamla Beh</t>
  </si>
  <si>
    <t xml:space="preserve">0812900681104753</t>
  </si>
  <si>
    <t xml:space="preserve">Dekriya Kheri</t>
  </si>
  <si>
    <t xml:space="preserve">0812900681104752</t>
  </si>
  <si>
    <t xml:space="preserve">Panch Peepli</t>
  </si>
  <si>
    <t xml:space="preserve">0812900681104751</t>
  </si>
  <si>
    <t xml:space="preserve">Hanotiya Lodhan</t>
  </si>
  <si>
    <t xml:space="preserve">0812900681104750</t>
  </si>
  <si>
    <t xml:space="preserve">MANAPSAR</t>
  </si>
  <si>
    <t xml:space="preserve">Manapsar</t>
  </si>
  <si>
    <t xml:space="preserve">0812900681104748</t>
  </si>
  <si>
    <t xml:space="preserve">Maheshpura</t>
  </si>
  <si>
    <t xml:space="preserve">0812900681104747</t>
  </si>
  <si>
    <t xml:space="preserve">Piplodi</t>
  </si>
  <si>
    <t xml:space="preserve">0812900681104746</t>
  </si>
  <si>
    <t xml:space="preserve">Goraya Khera</t>
  </si>
  <si>
    <t xml:space="preserve">0812900681104725</t>
  </si>
  <si>
    <t xml:space="preserve">Jhiri</t>
  </si>
  <si>
    <t xml:space="preserve">0812900681104726</t>
  </si>
  <si>
    <t xml:space="preserve">Manoharthana (CT)</t>
  </si>
  <si>
    <t xml:space="preserve">0812900681104837</t>
  </si>
  <si>
    <t xml:space="preserve">PINDOLA</t>
  </si>
  <si>
    <t xml:space="preserve">Pindola</t>
  </si>
  <si>
    <t xml:space="preserve">0812900681104827</t>
  </si>
  <si>
    <t xml:space="preserve">20/09/2022</t>
  </si>
  <si>
    <t xml:space="preserve">Talab Nirman May West wear Karya</t>
  </si>
  <si>
    <t xml:space="preserve">Guwari</t>
  </si>
  <si>
    <t xml:space="preserve">0812900681104826</t>
  </si>
  <si>
    <t xml:space="preserve">0812900681104823</t>
  </si>
  <si>
    <t xml:space="preserve">0812900681104824</t>
  </si>
  <si>
    <t xml:space="preserve">0812900681104825</t>
  </si>
  <si>
    <t xml:space="preserve">Talab (Talai Gahrikaran Charagah me K.N.113)</t>
  </si>
  <si>
    <t xml:space="preserve">0812900681104785</t>
  </si>
  <si>
    <t xml:space="preserve">Mogya Beh</t>
  </si>
  <si>
    <t xml:space="preserve">0812900681104821</t>
  </si>
  <si>
    <t xml:space="preserve">Narhera</t>
  </si>
  <si>
    <t xml:space="preserve">0812900681104784</t>
  </si>
  <si>
    <t xml:space="preserve">Khoribor</t>
  </si>
  <si>
    <t xml:space="preserve">0812900681104783</t>
  </si>
  <si>
    <t xml:space="preserve">RANWASYA</t>
  </si>
  <si>
    <t xml:space="preserve">Ranwasya</t>
  </si>
  <si>
    <t xml:space="preserve">0812900681104811</t>
  </si>
  <si>
    <t xml:space="preserve">Kundi Beh</t>
  </si>
  <si>
    <t xml:space="preserve">0812900681104810</t>
  </si>
  <si>
    <t xml:space="preserve">Gorya Khera</t>
  </si>
  <si>
    <t xml:space="preserve">0812900681104793</t>
  </si>
  <si>
    <t xml:space="preserve">Kanwa</t>
  </si>
  <si>
    <t xml:space="preserve">0812900681104812</t>
  </si>
  <si>
    <t xml:space="preserve">Maharajpura</t>
  </si>
  <si>
    <t xml:space="preserve">0812900681104813</t>
  </si>
  <si>
    <t xml:space="preserve">Salya Khera</t>
  </si>
  <si>
    <t xml:space="preserve">0812900681104807</t>
  </si>
  <si>
    <t xml:space="preserve">Charagaah Vikash Karya</t>
  </si>
  <si>
    <t xml:space="preserve">0812900681104806</t>
  </si>
  <si>
    <t xml:space="preserve">SAMROL</t>
  </si>
  <si>
    <t xml:space="preserve">Samrol</t>
  </si>
  <si>
    <t xml:space="preserve">0812900681104733</t>
  </si>
  <si>
    <t xml:space="preserve">02.10.2022</t>
  </si>
  <si>
    <t xml:space="preserve">Sehat Kheri</t>
  </si>
  <si>
    <t xml:space="preserve">0812900681104732</t>
  </si>
  <si>
    <t xml:space="preserve">Bhoolan Kheri</t>
  </si>
  <si>
    <t xml:space="preserve">0812900681104731</t>
  </si>
  <si>
    <t xml:space="preserve">Joonapani</t>
  </si>
  <si>
    <t xml:space="preserve">0812900681104735</t>
  </si>
  <si>
    <t xml:space="preserve">Patwa</t>
  </si>
  <si>
    <t xml:space="preserve">0812900681104734</t>
  </si>
  <si>
    <t xml:space="preserve">Patti</t>
  </si>
  <si>
    <t xml:space="preserve">0812900681104713</t>
  </si>
  <si>
    <t xml:space="preserve">SARERI</t>
  </si>
  <si>
    <t xml:space="preserve">Sareri</t>
  </si>
  <si>
    <t xml:space="preserve">0812900681104663</t>
  </si>
  <si>
    <t xml:space="preserve">Koonjran</t>
  </si>
  <si>
    <t xml:space="preserve">0812900681104691</t>
  </si>
  <si>
    <t xml:space="preserve">0812900681104690</t>
  </si>
  <si>
    <t xml:space="preserve">KHURRI</t>
  </si>
  <si>
    <t xml:space="preserve">0812900681104664</t>
  </si>
  <si>
    <t xml:space="preserve">Nadi ke pass charagah</t>
  </si>
  <si>
    <t xml:space="preserve">Check dam</t>
  </si>
  <si>
    <t xml:space="preserve">Peepalya</t>
  </si>
  <si>
    <t xml:space="preserve">0812900681104661</t>
  </si>
  <si>
    <t xml:space="preserve">Nandhera</t>
  </si>
  <si>
    <t xml:space="preserve">0812900681104662</t>
  </si>
  <si>
    <t xml:space="preserve">Talab Nirman May Piching </t>
  </si>
  <si>
    <t xml:space="preserve">SEMLIHAT</t>
  </si>
  <si>
    <t xml:space="preserve">Semlihat</t>
  </si>
  <si>
    <t xml:space="preserve">0812900681104814</t>
  </si>
  <si>
    <t xml:space="preserve">Madhopurya</t>
  </si>
  <si>
    <t xml:space="preserve">0812900681104835</t>
  </si>
  <si>
    <t xml:space="preserve">Charagaah  Vikash Work And Plantation work </t>
  </si>
  <si>
    <t xml:space="preserve">Borkhandi</t>
  </si>
  <si>
    <t xml:space="preserve">0812900681104834</t>
  </si>
  <si>
    <t xml:space="preserve">0812900681104836</t>
  </si>
  <si>
    <t xml:space="preserve">Tajpurya</t>
  </si>
  <si>
    <t xml:space="preserve">0812900681104833</t>
  </si>
  <si>
    <t xml:space="preserve">Chittora</t>
  </si>
  <si>
    <t xml:space="preserve">0812900681104816</t>
  </si>
  <si>
    <t xml:space="preserve">Chhorliya</t>
  </si>
  <si>
    <t xml:space="preserve">0812900681104815</t>
  </si>
  <si>
    <t xml:space="preserve">SHORTI</t>
  </si>
  <si>
    <t xml:space="preserve">Shorti</t>
  </si>
  <si>
    <t xml:space="preserve">0812900681104671</t>
  </si>
  <si>
    <t xml:space="preserve">Peepal Kheri</t>
  </si>
  <si>
    <t xml:space="preserve">0812900681104669</t>
  </si>
  <si>
    <t xml:space="preserve">Battoo Kheri</t>
  </si>
  <si>
    <t xml:space="preserve">0812900681104668</t>
  </si>
  <si>
    <t xml:space="preserve">PADALYA</t>
  </si>
  <si>
    <t xml:space="preserve">0812900681104670</t>
  </si>
  <si>
    <t xml:space="preserve">THEEKRIYA</t>
  </si>
  <si>
    <t xml:space="preserve">Theekriya</t>
  </si>
  <si>
    <t xml:space="preserve">0812900681104738</t>
  </si>
  <si>
    <t xml:space="preserve">Koriya Patan</t>
  </si>
  <si>
    <t xml:space="preserve">0812900681104763</t>
  </si>
  <si>
    <t xml:space="preserve">0812900681104762</t>
  </si>
  <si>
    <t xml:space="preserve">0812900681104741</t>
  </si>
  <si>
    <t xml:space="preserve">Charagah Vikas Evam Podharopan karya Bada Khoyra Thikriya</t>
  </si>
  <si>
    <t xml:space="preserve">0812900681104740</t>
  </si>
  <si>
    <t xml:space="preserve">Hatai Khera</t>
  </si>
  <si>
    <t xml:space="preserve">0812900681104739</t>
  </si>
  <si>
    <t xml:space="preserve">chargah vikas evam podharopan karya school ke pass kodiyapatan</t>
  </si>
  <si>
    <t xml:space="preserve">Reechhari</t>
  </si>
  <si>
    <t xml:space="preserve">0812900681104737</t>
  </si>
  <si>
    <t xml:space="preserve">TODRI JAGANNATH</t>
  </si>
  <si>
    <t xml:space="preserve">Todri Jagannath</t>
  </si>
  <si>
    <t xml:space="preserve">0812900681104800</t>
  </si>
  <si>
    <t xml:space="preserve">Charagah Vikas Evam Podharopan Karya</t>
  </si>
  <si>
    <t xml:space="preserve">Rampurya Goojran</t>
  </si>
  <si>
    <t xml:space="preserve">0812900681104818</t>
  </si>
  <si>
    <t xml:space="preserve">Charagah Vikas Evam Podharopan Karya School Ke Pass Hathaikheda</t>
  </si>
  <si>
    <t xml:space="preserve">Semli Khurd</t>
  </si>
  <si>
    <t xml:space="preserve">0812900681104817</t>
  </si>
  <si>
    <t xml:space="preserve">Kalapatha</t>
  </si>
  <si>
    <t xml:space="preserve">0812900681104797</t>
  </si>
  <si>
    <t xml:space="preserve">Charagah Vikas Evam Podharopan karya  Khoyri Gram Richhadi</t>
  </si>
  <si>
    <t xml:space="preserve">Bhojpur</t>
  </si>
  <si>
    <t xml:space="preserve">0812900681104798</t>
  </si>
  <si>
    <t xml:space="preserve">0812900681104796</t>
  </si>
  <si>
    <t xml:space="preserve">Talawara</t>
  </si>
  <si>
    <t xml:space="preserve">0812900681104799</t>
  </si>
  <si>
    <t xml:space="preserve">Todra</t>
  </si>
  <si>
    <t xml:space="preserve">0812900681104795</t>
  </si>
  <si>
    <t xml:space="preserve">Baldeopura</t>
  </si>
  <si>
    <t xml:space="preserve">0812900681104794</t>
  </si>
  <si>
    <t xml:space="preserve">Kachhotiya</t>
  </si>
  <si>
    <t xml:space="preserve">0812900681104770</t>
  </si>
  <si>
    <t xml:space="preserve">TODRI MEERAN</t>
  </si>
  <si>
    <t xml:space="preserve">Todri Meeran</t>
  </si>
  <si>
    <t xml:space="preserve">0812900681104764</t>
  </si>
  <si>
    <t xml:space="preserve">24.01.2023</t>
  </si>
  <si>
    <t xml:space="preserve">Bargaon</t>
  </si>
  <si>
    <t xml:space="preserve">0812900681104767</t>
  </si>
  <si>
    <t xml:space="preserve">Jheenkni</t>
  </si>
  <si>
    <t xml:space="preserve">0812900681104766</t>
  </si>
  <si>
    <t xml:space="preserve">Budhwara</t>
  </si>
  <si>
    <t xml:space="preserve">0812900681104736</t>
  </si>
  <si>
    <t xml:space="preserve">Charagaah vikash Karya Chunda me</t>
  </si>
  <si>
    <t xml:space="preserve">Talab Gahrikaran Karya K.N. 375</t>
  </si>
  <si>
    <t xml:space="preserve">Koloo Kheri Mewatiyan</t>
  </si>
  <si>
    <t xml:space="preserve">KHANPUR</t>
  </si>
  <si>
    <t xml:space="preserve">JOLPA</t>
  </si>
  <si>
    <t xml:space="preserve">Jolpa</t>
  </si>
  <si>
    <t xml:space="preserve">Charagaah</t>
  </si>
  <si>
    <t xml:space="preserve">Khoont Kheri</t>
  </si>
  <si>
    <t xml:space="preserve">15.03.2022</t>
  </si>
  <si>
    <t xml:space="preserve">Medri</t>
  </si>
  <si>
    <t xml:space="preserve">Bohra</t>
  </si>
  <si>
    <t xml:space="preserve">BAGHER</t>
  </si>
  <si>
    <t xml:space="preserve">Bhairoopura</t>
  </si>
  <si>
    <t xml:space="preserve">Charagah</t>
  </si>
  <si>
    <t xml:space="preserve">KANWARPURA MANDWALAN</t>
  </si>
  <si>
    <t xml:space="preserve">Bilasara</t>
  </si>
  <si>
    <t xml:space="preserve">Kotla</t>
  </si>
  <si>
    <t xml:space="preserve">SOOMAR</t>
  </si>
  <si>
    <t xml:space="preserve">Motla</t>
  </si>
  <si>
    <t xml:space="preserve">Cheekli</t>
  </si>
  <si>
    <t xml:space="preserve">Naya Gaon Bajaran</t>
  </si>
  <si>
    <t xml:space="preserve">Soomar</t>
  </si>
  <si>
    <t xml:space="preserve">0.5`</t>
  </si>
  <si>
    <t xml:space="preserve">Kanwarpura Mandwalan</t>
  </si>
  <si>
    <t xml:space="preserve">BHAGWAN PURA</t>
  </si>
  <si>
    <t xml:space="preserve">Bhagwan Pura</t>
  </si>
  <si>
    <t xml:space="preserve">Suwalya</t>
  </si>
  <si>
    <t xml:space="preserve">Khunja</t>
  </si>
  <si>
    <t xml:space="preserve">Alanpur</t>
  </si>
  <si>
    <t xml:space="preserve">Bangadsi</t>
  </si>
  <si>
    <t xml:space="preserve">Sanga Hera</t>
  </si>
  <si>
    <t xml:space="preserve">SARKHANDIYA</t>
  </si>
  <si>
    <t xml:space="preserve">Koloo Kheri</t>
  </si>
  <si>
    <t xml:space="preserve">Odhpur</t>
  </si>
  <si>
    <t xml:space="preserve">Dholya Kheri</t>
  </si>
  <si>
    <t xml:space="preserve">Sarkhandiya</t>
  </si>
  <si>
    <t xml:space="preserve">AKODIYA</t>
  </si>
  <si>
    <t xml:space="preserve">Sarola Bhankya Kheri</t>
  </si>
  <si>
    <t xml:space="preserve">15.08.2023</t>
  </si>
  <si>
    <t xml:space="preserve">Chonsla</t>
  </si>
  <si>
    <t xml:space="preserve">Samad Kheri</t>
  </si>
  <si>
    <t xml:space="preserve">Ummed Pura</t>
  </si>
  <si>
    <t xml:space="preserve">GADARWARA NOORJI</t>
  </si>
  <si>
    <t xml:space="preserve">Bhatwara</t>
  </si>
  <si>
    <t xml:space="preserve">5\6\2022</t>
  </si>
  <si>
    <t xml:space="preserve">YES/ARCP</t>
  </si>
  <si>
    <t xml:space="preserve">jawra kakad charagah</t>
  </si>
  <si>
    <t xml:space="preserve">Boreli</t>
  </si>
  <si>
    <t xml:space="preserve">BISHAN KHERI</t>
  </si>
  <si>
    <t xml:space="preserve">Danwas</t>
  </si>
  <si>
    <t xml:space="preserve">PANWAR</t>
  </si>
  <si>
    <t xml:space="preserve">Jeera Pur</t>
  </si>
  <si>
    <t xml:space="preserve">Panwar</t>
  </si>
  <si>
    <t xml:space="preserve">Khamawada</t>
  </si>
  <si>
    <t xml:space="preserve">DAHI KHERA</t>
  </si>
  <si>
    <t xml:space="preserve">Mohanpur</t>
  </si>
  <si>
    <t xml:space="preserve">Lalawata</t>
  </si>
  <si>
    <t xml:space="preserve">Singola</t>
  </si>
  <si>
    <t xml:space="preserve">Ranya Kheri</t>
  </si>
  <si>
    <t xml:space="preserve">DOBRA</t>
  </si>
  <si>
    <t xml:space="preserve">Padmiya</t>
  </si>
  <si>
    <t xml:space="preserve">Bhoju Kheri</t>
  </si>
  <si>
    <t xml:space="preserve">Lodha</t>
  </si>
  <si>
    <t xml:space="preserve">31.07.2023</t>
  </si>
  <si>
    <t xml:space="preserve">charagah</t>
  </si>
  <si>
    <t xml:space="preserve">Roopa Hera</t>
  </si>
  <si>
    <t xml:space="preserve">BAISAR</t>
  </si>
  <si>
    <t xml:space="preserve">Potoo Kheri</t>
  </si>
  <si>
    <t xml:space="preserve">Durjan Pura</t>
  </si>
  <si>
    <t xml:space="preserve">Baisar</t>
  </si>
  <si>
    <t xml:space="preserve">Naya Gaon Thakooran</t>
  </si>
  <si>
    <t xml:space="preserve">11.03.2022</t>
  </si>
  <si>
    <t xml:space="preserve">PIPLAJ</t>
  </si>
  <si>
    <t xml:space="preserve">Bahrawada</t>
  </si>
  <si>
    <t xml:space="preserve">GADARWARA DOONDI</t>
  </si>
  <si>
    <t xml:space="preserve">Doondi</t>
  </si>
  <si>
    <t xml:space="preserve">26.08.2023</t>
  </si>
  <si>
    <t xml:space="preserve">Gadarwara Doondi</t>
  </si>
  <si>
    <t xml:space="preserve">Theekariya</t>
  </si>
  <si>
    <t xml:space="preserve">Bhat Kheri</t>
  </si>
  <si>
    <t xml:space="preserve">JARGA</t>
  </si>
  <si>
    <t xml:space="preserve">Kalarewa</t>
  </si>
  <si>
    <t xml:space="preserve">Kethooni</t>
  </si>
  <si>
    <t xml:space="preserve">Khatawada</t>
  </si>
  <si>
    <t xml:space="preserve">PAKHRANA</t>
  </si>
  <si>
    <t xml:space="preserve">Mahira</t>
  </si>
  <si>
    <t xml:space="preserve">Bishan Kheri</t>
  </si>
  <si>
    <t xml:space="preserve">Bagod</t>
  </si>
  <si>
    <t xml:space="preserve">LAYPHAL</t>
  </si>
  <si>
    <t xml:space="preserve">Layphal</t>
  </si>
  <si>
    <t xml:space="preserve">Chalet</t>
  </si>
  <si>
    <t xml:space="preserve">Heenchar</t>
  </si>
  <si>
    <t xml:space="preserve">Chamlasa</t>
  </si>
  <si>
    <t xml:space="preserve">Pakhrana</t>
  </si>
  <si>
    <t xml:space="preserve">MARAITA</t>
  </si>
  <si>
    <t xml:space="preserve">Kakwasa</t>
  </si>
  <si>
    <t xml:space="preserve">MOONDLA</t>
  </si>
  <si>
    <t xml:space="preserve">Fadaniya</t>
  </si>
  <si>
    <t xml:space="preserve">Bram Kheri</t>
  </si>
  <si>
    <t xml:space="preserve">Bard Guwaliya</t>
  </si>
  <si>
    <t xml:space="preserve">NA</t>
  </si>
  <si>
    <t xml:space="preserve">GOLANA</t>
  </si>
  <si>
    <t xml:space="preserve">Doonda</t>
  </si>
  <si>
    <t xml:space="preserve">Lukat</t>
  </si>
  <si>
    <t xml:space="preserve">Gol Kheri</t>
  </si>
  <si>
    <t xml:space="preserve">KHERA</t>
  </si>
  <si>
    <t xml:space="preserve">Khera</t>
  </si>
  <si>
    <t xml:space="preserve">Badan Kheri</t>
  </si>
  <si>
    <t xml:space="preserve">Peetampura</t>
  </si>
  <si>
    <t xml:space="preserve">20-02-22</t>
  </si>
  <si>
    <t xml:space="preserve">Pritam Pura  CVS</t>
  </si>
  <si>
    <t xml:space="preserve">Sidni</t>
  </si>
  <si>
    <t xml:space="preserve">Bhadkari</t>
  </si>
  <si>
    <t xml:space="preserve">Kuntara</t>
  </si>
  <si>
    <t xml:space="preserve">Kunjer</t>
  </si>
  <si>
    <t xml:space="preserve">Phunga Heri</t>
  </si>
  <si>
    <t xml:space="preserve">Jithana</t>
  </si>
  <si>
    <t xml:space="preserve">Jarga</t>
  </si>
  <si>
    <t xml:space="preserve">Gurjeni</t>
  </si>
  <si>
    <t xml:space="preserve">Hali Hera</t>
  </si>
  <si>
    <t xml:space="preserve">Maraita</t>
  </si>
  <si>
    <t xml:space="preserve">Gunjari</t>
  </si>
  <si>
    <t xml:space="preserve">Achrawan</t>
  </si>
  <si>
    <t xml:space="preserve">Kanwarpura Bhattji</t>
  </si>
  <si>
    <t xml:space="preserve">20/6/2022</t>
  </si>
  <si>
    <t xml:space="preserve">khal ke pass wala Charagah</t>
  </si>
  <si>
    <t xml:space="preserve">Ladaniya</t>
  </si>
  <si>
    <t xml:space="preserve">Miyara</t>
  </si>
  <si>
    <t xml:space="preserve">Bagher</t>
  </si>
  <si>
    <t xml:space="preserve">Banniya</t>
  </si>
  <si>
    <t xml:space="preserve">MORI</t>
  </si>
  <si>
    <t xml:space="preserve">Jamunya Talai</t>
  </si>
  <si>
    <t xml:space="preserve">Anghora</t>
  </si>
  <si>
    <t xml:space="preserve">Jawra</t>
  </si>
  <si>
    <t xml:space="preserve">Chhatar Pura</t>
  </si>
  <si>
    <t xml:space="preserve">Antarwara</t>
  </si>
  <si>
    <t xml:space="preserve">talai ke pass Wala charagha </t>
  </si>
  <si>
    <t xml:space="preserve">Kherli Meeran</t>
  </si>
  <si>
    <t xml:space="preserve">Gadarwara Noorji</t>
  </si>
  <si>
    <t xml:space="preserve">Chandaniya Kheri</t>
  </si>
  <si>
    <t xml:space="preserve">Gadarwada Noorji Charagha </t>
  </si>
  <si>
    <t xml:space="preserve">Nagoniyan</t>
  </si>
  <si>
    <t xml:space="preserve">Bheem Khera</t>
  </si>
  <si>
    <t xml:space="preserve">Malya Khera</t>
  </si>
  <si>
    <t xml:space="preserve">KHANDI</t>
  </si>
  <si>
    <t xml:space="preserve">Matwasa</t>
  </si>
  <si>
    <t xml:space="preserve">Barkhera</t>
  </si>
  <si>
    <t xml:space="preserve">KHANPUR (CT)</t>
  </si>
  <si>
    <t xml:space="preserve">KANWALDA</t>
  </si>
  <si>
    <t xml:space="preserve">Kanwalda</t>
  </si>
  <si>
    <t xml:space="preserve">Lakha Kheri</t>
  </si>
  <si>
    <t xml:space="preserve">Sewani</t>
  </si>
  <si>
    <t xml:space="preserve">Pacheepala</t>
  </si>
  <si>
    <t xml:space="preserve">Dediya</t>
  </si>
  <si>
    <t xml:space="preserve">Piplaj</t>
  </si>
  <si>
    <t xml:space="preserve">Jhagar</t>
  </si>
  <si>
    <t xml:space="preserve">Mohammadpur</t>
  </si>
  <si>
    <t xml:space="preserve">SOJ PUR</t>
  </si>
  <si>
    <t xml:space="preserve">Bosar</t>
  </si>
  <si>
    <t xml:space="preserve">04.02.2022</t>
  </si>
  <si>
    <t xml:space="preserve">Kheri</t>
  </si>
  <si>
    <t xml:space="preserve">Ghagharawata</t>
  </si>
  <si>
    <t xml:space="preserve">4.02.2022</t>
  </si>
  <si>
    <t xml:space="preserve">Sojpur</t>
  </si>
  <si>
    <t xml:space="preserve">Seemal Kheri</t>
  </si>
  <si>
    <t xml:space="preserve">Khandi</t>
  </si>
  <si>
    <t xml:space="preserve">2023-24</t>
  </si>
  <si>
    <t xml:space="preserve">Talai Gahrikaran Karya</t>
  </si>
  <si>
    <t xml:space="preserve">Khanpur</t>
  </si>
  <si>
    <t xml:space="preserve">LEEMI</t>
  </si>
  <si>
    <t xml:space="preserve">Sunariya</t>
  </si>
  <si>
    <t xml:space="preserve">Leemi</t>
  </si>
  <si>
    <t xml:space="preserve">Jal Kheri</t>
  </si>
  <si>
    <t xml:space="preserve"> nadi ke pass </t>
  </si>
  <si>
    <t xml:space="preserve">Alodi</t>
  </si>
  <si>
    <t xml:space="preserve">khadi ke pass </t>
  </si>
  <si>
    <t xml:space="preserve">Aloda</t>
  </si>
  <si>
    <t xml:space="preserve">Barna</t>
  </si>
  <si>
    <t xml:space="preserve">Seligedi charagah</t>
  </si>
  <si>
    <t xml:space="preserve">MAUBORDA</t>
  </si>
  <si>
    <t xml:space="preserve">Borda Mau</t>
  </si>
  <si>
    <t xml:space="preserve">Daulatpura</t>
  </si>
  <si>
    <t xml:space="preserve">Dhanoda Khurd</t>
  </si>
  <si>
    <t xml:space="preserve">Chandpur Chaplra</t>
  </si>
  <si>
    <t xml:space="preserve">Kankarda</t>
  </si>
  <si>
    <t xml:space="preserve">MALAN WASA</t>
  </si>
  <si>
    <t xml:space="preserve">Chapa Khur</t>
  </si>
  <si>
    <t xml:space="preserve">Chitawa</t>
  </si>
  <si>
    <t xml:space="preserve">Chitai</t>
  </si>
  <si>
    <t xml:space="preserve">DHANODA KALAN</t>
  </si>
  <si>
    <t xml:space="preserve">Dhanoda Kalan</t>
  </si>
  <si>
    <t xml:space="preserve">21.08.2023</t>
  </si>
  <si>
    <t xml:space="preserve">Bareri</t>
  </si>
  <si>
    <t xml:space="preserve">Dhagariya</t>
  </si>
  <si>
    <t xml:space="preserve">Malooni</t>
  </si>
  <si>
    <t xml:space="preserve">Malan Wasa</t>
  </si>
  <si>
    <t xml:space="preserve">KARANWAS</t>
  </si>
  <si>
    <t xml:space="preserve">Dadiya</t>
  </si>
  <si>
    <t xml:space="preserve">SAROLA KALAN</t>
  </si>
  <si>
    <t xml:space="preserve">Sarola Kalan</t>
  </si>
  <si>
    <t xml:space="preserve">Kari Kheri</t>
  </si>
  <si>
    <t xml:space="preserve">Dhatrawada</t>
  </si>
  <si>
    <t xml:space="preserve">Doongarpur</t>
  </si>
  <si>
    <t xml:space="preserve">Sarola Khurd</t>
  </si>
  <si>
    <t xml:space="preserve">SHYONAGAR DHANI</t>
  </si>
  <si>
    <t xml:space="preserve">Shivnagar Dhani</t>
  </si>
  <si>
    <t xml:space="preserve">Bhoomri</t>
  </si>
  <si>
    <t xml:space="preserve">AKAWAD KHURD</t>
  </si>
  <si>
    <t xml:space="preserve">Hanwat Khera</t>
  </si>
  <si>
    <t xml:space="preserve">Bal Khoh</t>
  </si>
  <si>
    <t xml:space="preserve">Akawad Kalan</t>
  </si>
  <si>
    <t xml:space="preserve">Akawad Khurd</t>
  </si>
  <si>
    <t xml:space="preserve">Korkya</t>
  </si>
  <si>
    <t xml:space="preserve">Neem Thoor</t>
  </si>
  <si>
    <t xml:space="preserve">Hatoli</t>
  </si>
  <si>
    <t xml:space="preserve">Hatola</t>
  </si>
  <si>
    <t xml:space="preserve">Chandaliya</t>
  </si>
  <si>
    <t xml:space="preserve">Irli</t>
  </si>
  <si>
    <t xml:space="preserve">BAREDA</t>
  </si>
  <si>
    <t xml:space="preserve">Khair Khera</t>
  </si>
  <si>
    <t xml:space="preserve">Sukh Baredi</t>
  </si>
  <si>
    <t xml:space="preserve">Karanwas</t>
  </si>
  <si>
    <t xml:space="preserve">Sarthala</t>
  </si>
  <si>
    <t xml:space="preserve">Kagni Khera</t>
  </si>
  <si>
    <t xml:space="preserve">Sewanya</t>
  </si>
  <si>
    <t xml:space="preserve">TARAJ</t>
  </si>
  <si>
    <t xml:space="preserve">Bokhari</t>
  </si>
  <si>
    <t xml:space="preserve">Bareda</t>
  </si>
  <si>
    <t xml:space="preserve">Baldeo Pura</t>
  </si>
  <si>
    <t xml:space="preserve">Ambala</t>
  </si>
  <si>
    <t xml:space="preserve">Taraj</t>
  </si>
  <si>
    <t xml:space="preserve">Chhapihera</t>
  </si>
  <si>
    <t xml:space="preserve">Ranwas</t>
  </si>
  <si>
    <t xml:space="preserve">Bheemgarh</t>
  </si>
  <si>
    <t xml:space="preserve">Daulara</t>
  </si>
  <si>
    <t xml:space="preserve">Golbao</t>
  </si>
  <si>
    <t xml:space="preserve">Akodiya</t>
  </si>
  <si>
    <t xml:space="preserve">Bor Kheri</t>
  </si>
  <si>
    <t xml:space="preserve">Deori</t>
  </si>
  <si>
    <t xml:space="preserve">Deopura</t>
  </si>
  <si>
    <t xml:space="preserve">HARIGARH</t>
  </si>
  <si>
    <t xml:space="preserve">Harigarh</t>
  </si>
  <si>
    <t xml:space="preserve">13.09.2023</t>
  </si>
  <si>
    <t xml:space="preserve">Jagdishpura</t>
  </si>
  <si>
    <t xml:space="preserve">Gul Kheri</t>
  </si>
  <si>
    <t xml:space="preserve">Chureliya</t>
  </si>
  <si>
    <t xml:space="preserve">Bheel Khera</t>
  </si>
  <si>
    <t xml:space="preserve">Ratanpura</t>
  </si>
  <si>
    <t xml:space="preserve">Bhatwada</t>
  </si>
  <si>
    <t xml:space="preserve">Chand Kheri</t>
  </si>
  <si>
    <t xml:space="preserve">Bhatkhera Khurd</t>
  </si>
  <si>
    <t xml:space="preserve">Bhanya Kheri</t>
  </si>
  <si>
    <t xml:space="preserve">Moondla</t>
  </si>
  <si>
    <t xml:space="preserve">Nipaniya</t>
  </si>
  <si>
    <t xml:space="preserve">Peepalda</t>
  </si>
  <si>
    <t xml:space="preserve">Rampura</t>
  </si>
  <si>
    <t xml:space="preserve">Gaushala Charagah</t>
  </si>
  <si>
    <t xml:space="preserve">16.03.2022</t>
  </si>
  <si>
    <t xml:space="preserve">BAKANI</t>
  </si>
  <si>
    <t xml:space="preserve">AGARIYA</t>
  </si>
  <si>
    <t xml:space="preserve">Agariya</t>
  </si>
  <si>
    <t xml:space="preserve">0812900679104335</t>
  </si>
  <si>
    <t xml:space="preserve">13/08/2021</t>
  </si>
  <si>
    <t xml:space="preserve">Sawa Khoh</t>
  </si>
  <si>
    <t xml:space="preserve">0812900679104363</t>
  </si>
  <si>
    <t xml:space="preserve">Ganesh Pura</t>
  </si>
  <si>
    <t xml:space="preserve">0812900679104360</t>
  </si>
  <si>
    <t xml:space="preserve">Ganeshpura @ Sooli Puri</t>
  </si>
  <si>
    <t xml:space="preserve">0812900679104375</t>
  </si>
  <si>
    <t xml:space="preserve">Parthipura (Veeran)</t>
  </si>
  <si>
    <t xml:space="preserve">0812900679104369</t>
  </si>
  <si>
    <t xml:space="preserve">Daulat Pura</t>
  </si>
  <si>
    <t xml:space="preserve">0812900679104370</t>
  </si>
  <si>
    <t xml:space="preserve">Dagal</t>
  </si>
  <si>
    <t xml:space="preserve">0812900679104373</t>
  </si>
  <si>
    <t xml:space="preserve">Lakshmi Pura</t>
  </si>
  <si>
    <t xml:space="preserve">0812900679104368</t>
  </si>
  <si>
    <t xml:space="preserve">Rooppura</t>
  </si>
  <si>
    <t xml:space="preserve">0812900679104374</t>
  </si>
  <si>
    <t xml:space="preserve">Prempura</t>
  </si>
  <si>
    <t xml:space="preserve">0812900679104372</t>
  </si>
  <si>
    <t xml:space="preserve">Amarpura</t>
  </si>
  <si>
    <t xml:space="preserve">0812900679104371</t>
  </si>
  <si>
    <t xml:space="preserve">Narsinghpura</t>
  </si>
  <si>
    <t xml:space="preserve">0812900679104336</t>
  </si>
  <si>
    <t xml:space="preserve">Borjhari</t>
  </si>
  <si>
    <t xml:space="preserve">0812900679104337</t>
  </si>
  <si>
    <t xml:space="preserve">Haripura @ Leora</t>
  </si>
  <si>
    <t xml:space="preserve">0812900679104332</t>
  </si>
  <si>
    <t xml:space="preserve">Nahardi Kalan</t>
  </si>
  <si>
    <t xml:space="preserve">0812900679104333</t>
  </si>
  <si>
    <t xml:space="preserve">Nahardi Khurd</t>
  </si>
  <si>
    <t xml:space="preserve">0812900679104334</t>
  </si>
  <si>
    <t xml:space="preserve">Bakani (CT)</t>
  </si>
  <si>
    <t xml:space="preserve">0812900679104376</t>
  </si>
  <si>
    <t xml:space="preserve">Lalya Kheri</t>
  </si>
  <si>
    <t xml:space="preserve">0812900679104318</t>
  </si>
  <si>
    <t xml:space="preserve">BARAY</t>
  </si>
  <si>
    <t xml:space="preserve">Baray</t>
  </si>
  <si>
    <t xml:space="preserve">0812900679104352</t>
  </si>
  <si>
    <t xml:space="preserve">Neu Kheri</t>
  </si>
  <si>
    <t xml:space="preserve">0812900679104351</t>
  </si>
  <si>
    <t xml:space="preserve">Kishanpura @ Damakpura</t>
  </si>
  <si>
    <t xml:space="preserve">0812900679104355</t>
  </si>
  <si>
    <t xml:space="preserve">BARBAR</t>
  </si>
  <si>
    <t xml:space="preserve">Bar Bar</t>
  </si>
  <si>
    <t xml:space="preserve">0812900679104268</t>
  </si>
  <si>
    <t xml:space="preserve">Titoriya</t>
  </si>
  <si>
    <t xml:space="preserve">0812900679104269</t>
  </si>
  <si>
    <t xml:space="preserve">0812900679104266</t>
  </si>
  <si>
    <t xml:space="preserve">Kamalpura</t>
  </si>
  <si>
    <t xml:space="preserve">0812900679104267</t>
  </si>
  <si>
    <t xml:space="preserve">Napanya Goojaran</t>
  </si>
  <si>
    <t xml:space="preserve">0812900679104231</t>
  </si>
  <si>
    <t xml:space="preserve">0812900679104230</t>
  </si>
  <si>
    <t xml:space="preserve">BARKHERA KALAN</t>
  </si>
  <si>
    <t xml:space="preserve">Barkhera Kalan</t>
  </si>
  <si>
    <t xml:space="preserve">0812900679104356</t>
  </si>
  <si>
    <t xml:space="preserve">Kankriya</t>
  </si>
  <si>
    <t xml:space="preserve">0812900679104358</t>
  </si>
  <si>
    <t xml:space="preserve">Amjhar Khurd</t>
  </si>
  <si>
    <t xml:space="preserve">0812900679104359</t>
  </si>
  <si>
    <t xml:space="preserve">Diyadhari</t>
  </si>
  <si>
    <t xml:space="preserve">0812900679104353</t>
  </si>
  <si>
    <t xml:space="preserve">Barkhera Khurd</t>
  </si>
  <si>
    <t xml:space="preserve">0812900679104357</t>
  </si>
  <si>
    <t xml:space="preserve">Amjhar Kalan</t>
  </si>
  <si>
    <t xml:space="preserve">0812900679104361</t>
  </si>
  <si>
    <t xml:space="preserve">Kotra Radi</t>
  </si>
  <si>
    <t xml:space="preserve">0812900679104362</t>
  </si>
  <si>
    <t xml:space="preserve">DEO NAGAR</t>
  </si>
  <si>
    <t xml:space="preserve">Deonagar</t>
  </si>
  <si>
    <t xml:space="preserve">0812900679104315</t>
  </si>
  <si>
    <t xml:space="preserve">12.08.2021</t>
  </si>
  <si>
    <t xml:space="preserve">Motipura</t>
  </si>
  <si>
    <t xml:space="preserve">0812900679104311</t>
  </si>
  <si>
    <t xml:space="preserve">Napaniya Dalla</t>
  </si>
  <si>
    <t xml:space="preserve">0812900679104312</t>
  </si>
  <si>
    <t xml:space="preserve">Bhumara</t>
  </si>
  <si>
    <t xml:space="preserve">0812900679104310</t>
  </si>
  <si>
    <t xml:space="preserve">Bhumari</t>
  </si>
  <si>
    <t xml:space="preserve">0812900679104309</t>
  </si>
  <si>
    <t xml:space="preserve">DEVRI</t>
  </si>
  <si>
    <t xml:space="preserve">Devri</t>
  </si>
  <si>
    <t xml:space="preserve">0812900679104207</t>
  </si>
  <si>
    <t xml:space="preserve">0812900679104241</t>
  </si>
  <si>
    <t xml:space="preserve">Ramniwas</t>
  </si>
  <si>
    <t xml:space="preserve">0812900679104240</t>
  </si>
  <si>
    <t xml:space="preserve">0812900679104204</t>
  </si>
  <si>
    <t xml:space="preserve">0812900679104242</t>
  </si>
  <si>
    <t xml:space="preserve">Bagwara</t>
  </si>
  <si>
    <t xml:space="preserve">0812900679104214</t>
  </si>
  <si>
    <t xml:space="preserve">Semli</t>
  </si>
  <si>
    <t xml:space="preserve">0812900679104203</t>
  </si>
  <si>
    <t xml:space="preserve">Pathriya</t>
  </si>
  <si>
    <t xml:space="preserve">0812900679104208</t>
  </si>
  <si>
    <t xml:space="preserve">Barkheri</t>
  </si>
  <si>
    <t xml:space="preserve">0812900679104215</t>
  </si>
  <si>
    <t xml:space="preserve">Pathri</t>
  </si>
  <si>
    <t xml:space="preserve">0812900679104209</t>
  </si>
  <si>
    <t xml:space="preserve">0812900679104213</t>
  </si>
  <si>
    <t xml:space="preserve">Brijpura</t>
  </si>
  <si>
    <t xml:space="preserve">0812900679104210</t>
  </si>
  <si>
    <t xml:space="preserve">Kishanpura @ Bara</t>
  </si>
  <si>
    <t xml:space="preserve">0812900679104211</t>
  </si>
  <si>
    <t xml:space="preserve">GARWARA</t>
  </si>
  <si>
    <t xml:space="preserve">Garwara</t>
  </si>
  <si>
    <t xml:space="preserve">0812900679104300</t>
  </si>
  <si>
    <t xml:space="preserve">0812900679104323</t>
  </si>
  <si>
    <t xml:space="preserve">0812900679104322</t>
  </si>
  <si>
    <t xml:space="preserve">Panch Peepalya</t>
  </si>
  <si>
    <t xml:space="preserve">0812900679104295</t>
  </si>
  <si>
    <t xml:space="preserve">Char Doongari</t>
  </si>
  <si>
    <t xml:space="preserve">0812900679104299</t>
  </si>
  <si>
    <t xml:space="preserve">0812900679104297</t>
  </si>
  <si>
    <t xml:space="preserve">Moru Kheri</t>
  </si>
  <si>
    <t xml:space="preserve">0812900679104301</t>
  </si>
  <si>
    <t xml:space="preserve">Sakatpura</t>
  </si>
  <si>
    <t xml:space="preserve">0812900679104298</t>
  </si>
  <si>
    <t xml:space="preserve">Koli</t>
  </si>
  <si>
    <t xml:space="preserve">0812900679104280</t>
  </si>
  <si>
    <t xml:space="preserve">GURAD KHERA</t>
  </si>
  <si>
    <t xml:space="preserve">Gurad Khera</t>
  </si>
  <si>
    <t xml:space="preserve">0812900679104256</t>
  </si>
  <si>
    <t xml:space="preserve">0812900679104290</t>
  </si>
  <si>
    <t xml:space="preserve">Dharli</t>
  </si>
  <si>
    <t xml:space="preserve">0812900679104284</t>
  </si>
  <si>
    <t xml:space="preserve">0812900679104285</t>
  </si>
  <si>
    <t xml:space="preserve">Shyopura @ Kherli</t>
  </si>
  <si>
    <t xml:space="preserve">0812900679104291</t>
  </si>
  <si>
    <t xml:space="preserve">Rughnathpura</t>
  </si>
  <si>
    <t xml:space="preserve">0812900679104245</t>
  </si>
  <si>
    <t xml:space="preserve">0812900679104255</t>
  </si>
  <si>
    <t xml:space="preserve">Tekli</t>
  </si>
  <si>
    <t xml:space="preserve">0812900679104246</t>
  </si>
  <si>
    <t xml:space="preserve">JHEEJHANIYA</t>
  </si>
  <si>
    <t xml:space="preserve">Jheejhaniya</t>
  </si>
  <si>
    <t xml:space="preserve">0812900679104305</t>
  </si>
  <si>
    <t xml:space="preserve">Shivpura</t>
  </si>
  <si>
    <t xml:space="preserve">0812900679104314</t>
  </si>
  <si>
    <t xml:space="preserve">19-02-22</t>
  </si>
  <si>
    <t xml:space="preserve">Molakya Khurd</t>
  </si>
  <si>
    <t xml:space="preserve">0812900679104304</t>
  </si>
  <si>
    <t xml:space="preserve">18-02-22</t>
  </si>
  <si>
    <t xml:space="preserve">Ummedpura</t>
  </si>
  <si>
    <t xml:space="preserve">0812900679104313</t>
  </si>
  <si>
    <t xml:space="preserve">21-02-22</t>
  </si>
  <si>
    <t xml:space="preserve">0812900679104308</t>
  </si>
  <si>
    <t xml:space="preserve">0812900679104306</t>
  </si>
  <si>
    <t xml:space="preserve">Jagpura</t>
  </si>
  <si>
    <t xml:space="preserve">0812900679104307</t>
  </si>
  <si>
    <t xml:space="preserve">17-02-22</t>
  </si>
  <si>
    <t xml:space="preserve">Ratya Doongri</t>
  </si>
  <si>
    <t xml:space="preserve">0812900679104278</t>
  </si>
  <si>
    <t xml:space="preserve">JHEEKARIYA</t>
  </si>
  <si>
    <t xml:space="preserve">0812900679104248</t>
  </si>
  <si>
    <t xml:space="preserve">Mordiveeran</t>
  </si>
  <si>
    <t xml:space="preserve">0812900679104253</t>
  </si>
  <si>
    <t xml:space="preserve">Haripura @ Jhantaliya</t>
  </si>
  <si>
    <t xml:space="preserve">0812900679104252</t>
  </si>
  <si>
    <t xml:space="preserve">Amarpura Khurd</t>
  </si>
  <si>
    <t xml:space="preserve">0812900679104254</t>
  </si>
  <si>
    <t xml:space="preserve">Tekla</t>
  </si>
  <si>
    <t xml:space="preserve">0812900679104251</t>
  </si>
  <si>
    <t xml:space="preserve">Beer Khanga</t>
  </si>
  <si>
    <t xml:space="preserve">0812900679104244</t>
  </si>
  <si>
    <t xml:space="preserve">Sewanya Kalan</t>
  </si>
  <si>
    <t xml:space="preserve">0812900679104250</t>
  </si>
  <si>
    <t xml:space="preserve">Amarpura Kalan</t>
  </si>
  <si>
    <t xml:space="preserve">0812900679104247</t>
  </si>
  <si>
    <t xml:space="preserve">Melki</t>
  </si>
  <si>
    <t xml:space="preserve">0812900679104243</t>
  </si>
  <si>
    <t xml:space="preserve">0812900679104206</t>
  </si>
  <si>
    <t xml:space="preserve">Nayagaon Bheelan</t>
  </si>
  <si>
    <t xml:space="preserve">0812900679104205</t>
  </si>
  <si>
    <t xml:space="preserve">Semal Khera</t>
  </si>
  <si>
    <t xml:space="preserve">0812900679104249</t>
  </si>
  <si>
    <t xml:space="preserve">Chokari</t>
  </si>
  <si>
    <t xml:space="preserve">0812900679104202</t>
  </si>
  <si>
    <t xml:space="preserve">KARAL GAON</t>
  </si>
  <si>
    <t xml:space="preserve">Karal Gaon</t>
  </si>
  <si>
    <t xml:space="preserve">0812900679104319</t>
  </si>
  <si>
    <t xml:space="preserve">30.01.2021</t>
  </si>
  <si>
    <t xml:space="preserve">Punya Kheri</t>
  </si>
  <si>
    <t xml:space="preserve">0812900679104302</t>
  </si>
  <si>
    <t xml:space="preserve">Molakya Kalan</t>
  </si>
  <si>
    <t xml:space="preserve">0812900679104303</t>
  </si>
  <si>
    <t xml:space="preserve">KHERIYA</t>
  </si>
  <si>
    <t xml:space="preserve">Kheriya</t>
  </si>
  <si>
    <t xml:space="preserve">0812900679104282</t>
  </si>
  <si>
    <t xml:space="preserve">Peepalya Nagga</t>
  </si>
  <si>
    <t xml:space="preserve">0812900679104296</t>
  </si>
  <si>
    <t xml:space="preserve">0812900679104283</t>
  </si>
  <si>
    <t xml:space="preserve">2.08.2021</t>
  </si>
  <si>
    <t xml:space="preserve">Bans Kheri</t>
  </si>
  <si>
    <t xml:space="preserve">0812900679104258</t>
  </si>
  <si>
    <t xml:space="preserve">Padalya Goojaran</t>
  </si>
  <si>
    <t xml:space="preserve">0812900679104259</t>
  </si>
  <si>
    <t xml:space="preserve">0812900679104257</t>
  </si>
  <si>
    <t xml:space="preserve">KISHANPURA</t>
  </si>
  <si>
    <t xml:space="preserve">Kishanpura</t>
  </si>
  <si>
    <t xml:space="preserve">0812900679104234</t>
  </si>
  <si>
    <t xml:space="preserve">15/08/2021</t>
  </si>
  <si>
    <t xml:space="preserve">0812900679104265</t>
  </si>
  <si>
    <t xml:space="preserve">Pandki</t>
  </si>
  <si>
    <t xml:space="preserve">0812900679104238</t>
  </si>
  <si>
    <t xml:space="preserve">0812900679104237</t>
  </si>
  <si>
    <t xml:space="preserve">Bhavpura</t>
  </si>
  <si>
    <t xml:space="preserve">0812900679104235</t>
  </si>
  <si>
    <t xml:space="preserve">Deenya Kheri</t>
  </si>
  <si>
    <t xml:space="preserve">0812900679104236</t>
  </si>
  <si>
    <t xml:space="preserve">Gara Gaon</t>
  </si>
  <si>
    <t xml:space="preserve">0812900679104232</t>
  </si>
  <si>
    <t xml:space="preserve">0812900679104223</t>
  </si>
  <si>
    <t xml:space="preserve">0812900679104221</t>
  </si>
  <si>
    <t xml:space="preserve">Reejoda</t>
  </si>
  <si>
    <t xml:space="preserve">0812900679104222</t>
  </si>
  <si>
    <t xml:space="preserve">KUSHALPURA</t>
  </si>
  <si>
    <t xml:space="preserve">Kushalpura</t>
  </si>
  <si>
    <t xml:space="preserve">0812900679104324</t>
  </si>
  <si>
    <t xml:space="preserve">Gangpura @ Tumariya Kheri</t>
  </si>
  <si>
    <t xml:space="preserve">0812900679104338</t>
  </si>
  <si>
    <t xml:space="preserve">0812900679104326</t>
  </si>
  <si>
    <t xml:space="preserve">0812900679104331</t>
  </si>
  <si>
    <t xml:space="preserve">Shripura</t>
  </si>
  <si>
    <t xml:space="preserve">0812900679104325</t>
  </si>
  <si>
    <t xml:space="preserve">Vijaipura</t>
  </si>
  <si>
    <t xml:space="preserve">0812900679104327</t>
  </si>
  <si>
    <t xml:space="preserve">Naya Khera</t>
  </si>
  <si>
    <t xml:space="preserve">0812900679104328</t>
  </si>
  <si>
    <t xml:space="preserve">Lalpuri</t>
  </si>
  <si>
    <t xml:space="preserve">0812900679104329</t>
  </si>
  <si>
    <t xml:space="preserve">Anandpura</t>
  </si>
  <si>
    <t xml:space="preserve">0812900679104330</t>
  </si>
  <si>
    <t xml:space="preserve">0812900679104286</t>
  </si>
  <si>
    <t xml:space="preserve">0812900679104292</t>
  </si>
  <si>
    <t xml:space="preserve">Lalpura</t>
  </si>
  <si>
    <t xml:space="preserve">0812900679104288</t>
  </si>
  <si>
    <t xml:space="preserve">0812900679104289</t>
  </si>
  <si>
    <t xml:space="preserve">0812900679104293</t>
  </si>
  <si>
    <t xml:space="preserve">FES</t>
  </si>
  <si>
    <t xml:space="preserve">0812900679104287</t>
  </si>
  <si>
    <t xml:space="preserve">Tokri</t>
  </si>
  <si>
    <t xml:space="preserve">0812900679104294</t>
  </si>
  <si>
    <t xml:space="preserve">0812900679104367</t>
  </si>
  <si>
    <t xml:space="preserve">Loda Khera</t>
  </si>
  <si>
    <t xml:space="preserve">0812900679104364</t>
  </si>
  <si>
    <t xml:space="preserve">0812900679104365</t>
  </si>
  <si>
    <t xml:space="preserve">Sooraj Pura</t>
  </si>
  <si>
    <t xml:space="preserve">0812900679104366</t>
  </si>
  <si>
    <t xml:space="preserve">Bans Khoyara</t>
  </si>
  <si>
    <t xml:space="preserve">0812900679104339</t>
  </si>
  <si>
    <t xml:space="preserve">NANOR</t>
  </si>
  <si>
    <t xml:space="preserve">Nanor</t>
  </si>
  <si>
    <t xml:space="preserve">0812900679104350</t>
  </si>
  <si>
    <t xml:space="preserve">Moya Kheri</t>
  </si>
  <si>
    <t xml:space="preserve">0812900679104354</t>
  </si>
  <si>
    <t xml:space="preserve">Chak Dewar No 2</t>
  </si>
  <si>
    <t xml:space="preserve">0812900679104349</t>
  </si>
  <si>
    <t xml:space="preserve">0812900679104344</t>
  </si>
  <si>
    <t xml:space="preserve">Chakdewar No. 1</t>
  </si>
  <si>
    <t xml:space="preserve">0812900679104347</t>
  </si>
  <si>
    <t xml:space="preserve">NASIRABAD</t>
  </si>
  <si>
    <t xml:space="preserve">Nasirabad</t>
  </si>
  <si>
    <t xml:space="preserve">0812900679104229</t>
  </si>
  <si>
    <t xml:space="preserve">0812900679104233</t>
  </si>
  <si>
    <t xml:space="preserve">Peepalya Talab</t>
  </si>
  <si>
    <t xml:space="preserve">0812900679104224</t>
  </si>
  <si>
    <t xml:space="preserve">14-02-22</t>
  </si>
  <si>
    <t xml:space="preserve">Prahladpura</t>
  </si>
  <si>
    <t xml:space="preserve">0812900679104228</t>
  </si>
  <si>
    <t xml:space="preserve">PADLYA KULMI</t>
  </si>
  <si>
    <t xml:space="preserve">Padalya Kulmi</t>
  </si>
  <si>
    <t xml:space="preserve">0812900679104218</t>
  </si>
  <si>
    <t xml:space="preserve">Dudhaliya</t>
  </si>
  <si>
    <t xml:space="preserve">0812900679104239</t>
  </si>
  <si>
    <t xml:space="preserve"> 24.375792°</t>
  </si>
  <si>
    <t xml:space="preserve"> 76.287815°</t>
  </si>
  <si>
    <t xml:space="preserve">0812900679104216</t>
  </si>
  <si>
    <t xml:space="preserve">16.08.2021</t>
  </si>
  <si>
    <t xml:space="preserve">Wajind Pura</t>
  </si>
  <si>
    <t xml:space="preserve">0812900679104219</t>
  </si>
  <si>
    <t xml:space="preserve">0812900679104217</t>
  </si>
  <si>
    <t xml:space="preserve">0812900679104220</t>
  </si>
  <si>
    <t xml:space="preserve">RATLAI</t>
  </si>
  <si>
    <t xml:space="preserve">Ratlai</t>
  </si>
  <si>
    <t xml:space="preserve">0812900679104260</t>
  </si>
  <si>
    <t xml:space="preserve">Sanwalpura</t>
  </si>
  <si>
    <t xml:space="preserve">0812900679104281</t>
  </si>
  <si>
    <t xml:space="preserve">0812900679104212</t>
  </si>
  <si>
    <t xml:space="preserve">REECHHWA</t>
  </si>
  <si>
    <t xml:space="preserve">Reechhwa</t>
  </si>
  <si>
    <t xml:space="preserve">0812900679104225</t>
  </si>
  <si>
    <t xml:space="preserve">0812900679104227</t>
  </si>
  <si>
    <t xml:space="preserve">Deewri</t>
  </si>
  <si>
    <t xml:space="preserve">0812900679104226</t>
  </si>
  <si>
    <t xml:space="preserve">REEJON</t>
  </si>
  <si>
    <t xml:space="preserve">Reejon</t>
  </si>
  <si>
    <t xml:space="preserve">0812900679104262</t>
  </si>
  <si>
    <t xml:space="preserve">Bramhpura</t>
  </si>
  <si>
    <t xml:space="preserve">0812900679104279</t>
  </si>
  <si>
    <t xml:space="preserve">0812900679104277</t>
  </si>
  <si>
    <t xml:space="preserve">Bhojia Kheri</t>
  </si>
  <si>
    <t xml:space="preserve">0812900679104275</t>
  </si>
  <si>
    <t xml:space="preserve">Gopal Pura</t>
  </si>
  <si>
    <t xml:space="preserve">0812900679104261</t>
  </si>
  <si>
    <t xml:space="preserve">0812900679104276</t>
  </si>
  <si>
    <t xml:space="preserve">0812900679104264</t>
  </si>
  <si>
    <t xml:space="preserve">Deo Doongri</t>
  </si>
  <si>
    <t xml:space="preserve">0812900679104263</t>
  </si>
  <si>
    <t xml:space="preserve">RENPLA</t>
  </si>
  <si>
    <t xml:space="preserve">Renpla</t>
  </si>
  <si>
    <t xml:space="preserve">0812900679104346</t>
  </si>
  <si>
    <t xml:space="preserve">Jabarpura</t>
  </si>
  <si>
    <t xml:space="preserve">0812900679104348</t>
  </si>
  <si>
    <t xml:space="preserve">Dewar</t>
  </si>
  <si>
    <t xml:space="preserve">0812900679104345</t>
  </si>
  <si>
    <t xml:space="preserve">Kotra Ghata</t>
  </si>
  <si>
    <t xml:space="preserve">0812900679104317</t>
  </si>
  <si>
    <t xml:space="preserve">Khachrod</t>
  </si>
  <si>
    <t xml:space="preserve">0812900679104316</t>
  </si>
  <si>
    <t xml:space="preserve">SALAWAD</t>
  </si>
  <si>
    <t xml:space="preserve">Salawad</t>
  </si>
  <si>
    <t xml:space="preserve">0812900679104270</t>
  </si>
  <si>
    <t xml:space="preserve">22-02-21</t>
  </si>
  <si>
    <t xml:space="preserve">0812900679104274</t>
  </si>
  <si>
    <t xml:space="preserve">Uakhli</t>
  </si>
  <si>
    <t xml:space="preserve">0812900679104273</t>
  </si>
  <si>
    <t xml:space="preserve">21-02-21</t>
  </si>
  <si>
    <t xml:space="preserve">Khatkar</t>
  </si>
  <si>
    <t xml:space="preserve">0812900679104272</t>
  </si>
  <si>
    <t xml:space="preserve">16-02-22</t>
  </si>
  <si>
    <t xml:space="preserve">Kotra Kunja</t>
  </si>
  <si>
    <t xml:space="preserve">0812900679104271</t>
  </si>
  <si>
    <t xml:space="preserve">THOBARIYA KHURD</t>
  </si>
  <si>
    <t xml:space="preserve">Thobariya Khurd</t>
  </si>
  <si>
    <t xml:space="preserve">0812900679104342</t>
  </si>
  <si>
    <t xml:space="preserve">Ramchandra Pura</t>
  </si>
  <si>
    <t xml:space="preserve">0812900679104340</t>
  </si>
  <si>
    <t xml:space="preserve">Bhanpuriya</t>
  </si>
  <si>
    <t xml:space="preserve">0812900679104343</t>
  </si>
  <si>
    <t xml:space="preserve">Thobariya Kalan</t>
  </si>
  <si>
    <t xml:space="preserve">0812900679104341</t>
  </si>
  <si>
    <t xml:space="preserve">Dantiya</t>
  </si>
  <si>
    <t xml:space="preserve">0812900679104320</t>
  </si>
  <si>
    <t xml:space="preserve">0812900679104321</t>
  </si>
  <si>
    <t xml:space="preserve">DAG</t>
  </si>
  <si>
    <t xml:space="preserve">BARDIYA BEERJI</t>
  </si>
  <si>
    <t xml:space="preserve">Bardiya Beerji</t>
  </si>
  <si>
    <t xml:space="preserve">0812900684105284</t>
  </si>
  <si>
    <t xml:space="preserve">Kagariya</t>
  </si>
  <si>
    <t xml:space="preserve">0812900684105301</t>
  </si>
  <si>
    <t xml:space="preserve">Berla</t>
  </si>
  <si>
    <t xml:space="preserve">0812900684105295</t>
  </si>
  <si>
    <t xml:space="preserve">CHARA</t>
  </si>
  <si>
    <t xml:space="preserve">Chara</t>
  </si>
  <si>
    <t xml:space="preserve">0812900684105308</t>
  </si>
  <si>
    <t xml:space="preserve">Jhala ke khede ke pass</t>
  </si>
  <si>
    <t xml:space="preserve">Bardiya Heerji</t>
  </si>
  <si>
    <t xml:space="preserve">0812900684105309</t>
  </si>
  <si>
    <t xml:space="preserve">Balda wala Charagh</t>
  </si>
  <si>
    <t xml:space="preserve">Magsi</t>
  </si>
  <si>
    <t xml:space="preserve">0812900684105310</t>
  </si>
  <si>
    <t xml:space="preserve">gravel sadak ke pass</t>
  </si>
  <si>
    <t xml:space="preserve">Magli</t>
  </si>
  <si>
    <t xml:space="preserve">0812900684105299</t>
  </si>
  <si>
    <t xml:space="preserve">road ke pas </t>
  </si>
  <si>
    <t xml:space="preserve">Chiri</t>
  </si>
  <si>
    <t xml:space="preserve">Dag</t>
  </si>
  <si>
    <t xml:space="preserve">0812900684105373</t>
  </si>
  <si>
    <t xml:space="preserve">14/11/2022</t>
  </si>
  <si>
    <t xml:space="preserve">DEOGARH</t>
  </si>
  <si>
    <t xml:space="preserve">Deogarh</t>
  </si>
  <si>
    <t xml:space="preserve">0812900684105267</t>
  </si>
  <si>
    <t xml:space="preserve">Jamuniya</t>
  </si>
  <si>
    <t xml:space="preserve">0812900684105268</t>
  </si>
  <si>
    <t xml:space="preserve">Meroo Kheri</t>
  </si>
  <si>
    <t xml:space="preserve">0812900684105323</t>
  </si>
  <si>
    <t xml:space="preserve">Khamla</t>
  </si>
  <si>
    <t xml:space="preserve">0812900684105325</t>
  </si>
  <si>
    <t xml:space="preserve">School ke pass</t>
  </si>
  <si>
    <t xml:space="preserve">0812900684105324</t>
  </si>
  <si>
    <t xml:space="preserve">5.07.2021</t>
  </si>
  <si>
    <t xml:space="preserve">Charagah Vikas Karya   (SGT)</t>
  </si>
  <si>
    <t xml:space="preserve">DHATOORIYA</t>
  </si>
  <si>
    <t xml:space="preserve">Dhatooriya</t>
  </si>
  <si>
    <t xml:space="preserve">0812900684105347</t>
  </si>
  <si>
    <t xml:space="preserve">10.07.2023</t>
  </si>
  <si>
    <t xml:space="preserve">Shekhpur</t>
  </si>
  <si>
    <t xml:space="preserve">0812900684105349</t>
  </si>
  <si>
    <t xml:space="preserve">Kabeeri</t>
  </si>
  <si>
    <t xml:space="preserve">0812900684105346</t>
  </si>
  <si>
    <t xml:space="preserve">27.07.2023</t>
  </si>
  <si>
    <t xml:space="preserve">Karanpura</t>
  </si>
  <si>
    <t xml:space="preserve">0812900684105345</t>
  </si>
  <si>
    <t xml:space="preserve">Dhabla</t>
  </si>
  <si>
    <t xml:space="preserve">0812900684105344</t>
  </si>
  <si>
    <t xml:space="preserve">17.07.2023</t>
  </si>
  <si>
    <t xml:space="preserve">Bardiya</t>
  </si>
  <si>
    <t xml:space="preserve">0812900684105342</t>
  </si>
  <si>
    <t xml:space="preserve">21.07.2023</t>
  </si>
  <si>
    <t xml:space="preserve">Gagurni</t>
  </si>
  <si>
    <t xml:space="preserve">0812900684105343</t>
  </si>
  <si>
    <t xml:space="preserve">23.07.2023</t>
  </si>
  <si>
    <t xml:space="preserve">Dobra</t>
  </si>
  <si>
    <t xml:space="preserve">20/07/2021</t>
  </si>
  <si>
    <t xml:space="preserve">0812900684105386</t>
  </si>
  <si>
    <t xml:space="preserve">Tokra</t>
  </si>
  <si>
    <t xml:space="preserve">0812900684105387</t>
  </si>
  <si>
    <t xml:space="preserve">0812900684105385</t>
  </si>
  <si>
    <t xml:space="preserve">Birma Kheri</t>
  </si>
  <si>
    <t xml:space="preserve">0812900684105383</t>
  </si>
  <si>
    <t xml:space="preserve">Daryaopura</t>
  </si>
  <si>
    <t xml:space="preserve">0812900684105374</t>
  </si>
  <si>
    <t xml:space="preserve">Ghati</t>
  </si>
  <si>
    <t xml:space="preserve">0812900684105376</t>
  </si>
  <si>
    <t xml:space="preserve">Dori</t>
  </si>
  <si>
    <t xml:space="preserve">5.07.2023</t>
  </si>
  <si>
    <t xml:space="preserve">DORI</t>
  </si>
  <si>
    <t xml:space="preserve">Sakatpur</t>
  </si>
  <si>
    <t xml:space="preserve">0812900684105382</t>
  </si>
  <si>
    <t xml:space="preserve">Bani Kheri</t>
  </si>
  <si>
    <t xml:space="preserve">0812900684105378</t>
  </si>
  <si>
    <t xml:space="preserve">Mangwaliya</t>
  </si>
  <si>
    <t xml:space="preserve">0812900684105377</t>
  </si>
  <si>
    <t xml:space="preserve">25.07.2023</t>
  </si>
  <si>
    <t xml:space="preserve">Parasli</t>
  </si>
  <si>
    <t xml:space="preserve">0812900684105379</t>
  </si>
  <si>
    <t xml:space="preserve">Nahar Ghatti</t>
  </si>
  <si>
    <t xml:space="preserve">0812900684105381</t>
  </si>
  <si>
    <t xml:space="preserve">DUDHA LIYA</t>
  </si>
  <si>
    <t xml:space="preserve">0812900684105366</t>
  </si>
  <si>
    <t xml:space="preserve">21.03.2025</t>
  </si>
  <si>
    <t xml:space="preserve">Ghata Kheri</t>
  </si>
  <si>
    <t xml:space="preserve">0812900684105315</t>
  </si>
  <si>
    <t xml:space="preserve">Chachurni</t>
  </si>
  <si>
    <t xml:space="preserve">0812900684105365</t>
  </si>
  <si>
    <t xml:space="preserve">0812900684105317</t>
  </si>
  <si>
    <t xml:space="preserve">GANGDHAR</t>
  </si>
  <si>
    <t xml:space="preserve">Gangdhar</t>
  </si>
  <si>
    <t xml:space="preserve">0812900684105223</t>
  </si>
  <si>
    <t xml:space="preserve">26/01/2023</t>
  </si>
  <si>
    <t xml:space="preserve">Mokal Kheri</t>
  </si>
  <si>
    <t xml:space="preserve">0812900684105258</t>
  </si>
  <si>
    <t xml:space="preserve">GUL KHERI</t>
  </si>
  <si>
    <t xml:space="preserve">0812900684105224</t>
  </si>
  <si>
    <t xml:space="preserve">GURADIYA JHALA</t>
  </si>
  <si>
    <t xml:space="preserve">Guradiya Jhala</t>
  </si>
  <si>
    <t xml:space="preserve">0812900684105214</t>
  </si>
  <si>
    <t xml:space="preserve">14.11.2022</t>
  </si>
  <si>
    <t xml:space="preserve">Rawatpura</t>
  </si>
  <si>
    <t xml:space="preserve">0812900684105211</t>
  </si>
  <si>
    <t xml:space="preserve">Deoriya Kilol</t>
  </si>
  <si>
    <t xml:space="preserve">0812900684105210</t>
  </si>
  <si>
    <t xml:space="preserve">Karna Kheri</t>
  </si>
  <si>
    <t xml:space="preserve">0812900684105209</t>
  </si>
  <si>
    <t xml:space="preserve"> </t>
  </si>
  <si>
    <t xml:space="preserve">19.02.2022</t>
  </si>
  <si>
    <t xml:space="preserve">Sakariya</t>
  </si>
  <si>
    <t xml:space="preserve">0812900684105212</t>
  </si>
  <si>
    <t xml:space="preserve">Semli Chharot</t>
  </si>
  <si>
    <t xml:space="preserve">0812900684105216</t>
  </si>
  <si>
    <t xml:space="preserve">0812900684105213</t>
  </si>
  <si>
    <t xml:space="preserve">Dheengani</t>
  </si>
  <si>
    <t xml:space="preserve">0812900684105215</t>
  </si>
  <si>
    <t xml:space="preserve">HARNAWADA</t>
  </si>
  <si>
    <t xml:space="preserve">Harnawada</t>
  </si>
  <si>
    <t xml:space="preserve">0812900684105340</t>
  </si>
  <si>
    <t xml:space="preserve">Gunai</t>
  </si>
  <si>
    <t xml:space="preserve">0812900684105339</t>
  </si>
  <si>
    <t xml:space="preserve">Kolvi</t>
  </si>
  <si>
    <t xml:space="preserve">0812900684105336</t>
  </si>
  <si>
    <t xml:space="preserve">Kundiya</t>
  </si>
  <si>
    <t xml:space="preserve">0812900684105341</t>
  </si>
  <si>
    <t xml:space="preserve">Fazilpur</t>
  </si>
  <si>
    <t xml:space="preserve">0812900684105348</t>
  </si>
  <si>
    <t xml:space="preserve">Parla</t>
  </si>
  <si>
    <t xml:space="preserve">0812900684105335</t>
  </si>
  <si>
    <t xml:space="preserve">JAGDISHPURA</t>
  </si>
  <si>
    <t xml:space="preserve">Jagishpura</t>
  </si>
  <si>
    <t xml:space="preserve">0812900684105370</t>
  </si>
  <si>
    <t xml:space="preserve">21/7/2021</t>
  </si>
  <si>
    <t xml:space="preserve">Chaukari Kalan</t>
  </si>
  <si>
    <t xml:space="preserve">0812900684105369</t>
  </si>
  <si>
    <t xml:space="preserve">0812900684105368</t>
  </si>
  <si>
    <t xml:space="preserve">Shivgarh</t>
  </si>
  <si>
    <t xml:space="preserve">0812900684105367</t>
  </si>
  <si>
    <t xml:space="preserve">Chaukari Khurd</t>
  </si>
  <si>
    <t xml:space="preserve">0812900684105364</t>
  </si>
  <si>
    <t xml:space="preserve">Garha</t>
  </si>
  <si>
    <t xml:space="preserve">0812900684105372</t>
  </si>
  <si>
    <t xml:space="preserve">0812900684105371</t>
  </si>
  <si>
    <t xml:space="preserve">Hidayat Nagar</t>
  </si>
  <si>
    <t xml:space="preserve">0812900684105363</t>
  </si>
  <si>
    <t xml:space="preserve">KACHHNARA</t>
  </si>
  <si>
    <t xml:space="preserve">Kachhnara</t>
  </si>
  <si>
    <t xml:space="preserve">0812900684105312</t>
  </si>
  <si>
    <t xml:space="preserve">Lakha Kheri Parmar</t>
  </si>
  <si>
    <t xml:space="preserve">0812900684105296</t>
  </si>
  <si>
    <t xml:space="preserve">Borkheri Kachhnara</t>
  </si>
  <si>
    <t xml:space="preserve">0812900684105274</t>
  </si>
  <si>
    <t xml:space="preserve">Chor Bardi</t>
  </si>
  <si>
    <t xml:space="preserve">0812900684105275</t>
  </si>
  <si>
    <t xml:space="preserve">Padma Kheri</t>
  </si>
  <si>
    <t xml:space="preserve">0812900684105283</t>
  </si>
  <si>
    <t xml:space="preserve">Senkala</t>
  </si>
  <si>
    <t xml:space="preserve">0812900684105278</t>
  </si>
  <si>
    <t xml:space="preserve">0812900684105279</t>
  </si>
  <si>
    <t xml:space="preserve">KEETIYA</t>
  </si>
  <si>
    <t xml:space="preserve">Keetiya</t>
  </si>
  <si>
    <t xml:space="preserve">0812900684105288</t>
  </si>
  <si>
    <t xml:space="preserve">13/08/2022</t>
  </si>
  <si>
    <t xml:space="preserve">0812900684105290</t>
  </si>
  <si>
    <t xml:space="preserve">Raipuriya</t>
  </si>
  <si>
    <t xml:space="preserve">0812900684105291</t>
  </si>
  <si>
    <t xml:space="preserve">Nisal Kheri</t>
  </si>
  <si>
    <t xml:space="preserve">0812900684105248</t>
  </si>
  <si>
    <t xml:space="preserve">Baman Deoriya</t>
  </si>
  <si>
    <t xml:space="preserve">0812900684105289</t>
  </si>
  <si>
    <t xml:space="preserve">Guradiya Deora</t>
  </si>
  <si>
    <t xml:space="preserve">0812900684105252</t>
  </si>
  <si>
    <t xml:space="preserve">Khasroo Kheri</t>
  </si>
  <si>
    <t xml:space="preserve">0812900684105250</t>
  </si>
  <si>
    <t xml:space="preserve">KELOO KHERA</t>
  </si>
  <si>
    <t xml:space="preserve">Keloo Khera</t>
  </si>
  <si>
    <t xml:space="preserve">0812900684105262</t>
  </si>
  <si>
    <t xml:space="preserve">Tigariya</t>
  </si>
  <si>
    <t xml:space="preserve">0812900684105271</t>
  </si>
  <si>
    <t xml:space="preserve">Guradiya Isar</t>
  </si>
  <si>
    <t xml:space="preserve">0812900684105270</t>
  </si>
  <si>
    <t xml:space="preserve">20/07/2022</t>
  </si>
  <si>
    <t xml:space="preserve">0812900684105261</t>
  </si>
  <si>
    <t xml:space="preserve">Lunakheda wala Rasta</t>
  </si>
  <si>
    <t xml:space="preserve">Khurchaniya</t>
  </si>
  <si>
    <t xml:space="preserve">0812900684105265</t>
  </si>
  <si>
    <t xml:space="preserve">0812900684105266</t>
  </si>
  <si>
    <t xml:space="preserve">Guwalad</t>
  </si>
  <si>
    <t xml:space="preserve">0812900684105263</t>
  </si>
  <si>
    <t xml:space="preserve">0812900684105264</t>
  </si>
  <si>
    <t xml:space="preserve">KOLVI URF MANDI RAJENDERPUR</t>
  </si>
  <si>
    <t xml:space="preserve">Kolvi @ Mandi Rajendrapur (CT)</t>
  </si>
  <si>
    <t xml:space="preserve">0812900684105388</t>
  </si>
  <si>
    <t xml:space="preserve">KOONDLA</t>
  </si>
  <si>
    <t xml:space="preserve">Koondla</t>
  </si>
  <si>
    <t xml:space="preserve">0812900684105233</t>
  </si>
  <si>
    <t xml:space="preserve">Seeta Mahu Road</t>
  </si>
  <si>
    <t xml:space="preserve">Charagah Vikas Karya   (P.D. mandsaur chomhla road)</t>
  </si>
  <si>
    <t xml:space="preserve">Nipaniya Jhala</t>
  </si>
  <si>
    <t xml:space="preserve">0812900684105232</t>
  </si>
  <si>
    <t xml:space="preserve">Kabir ke kuve k ps</t>
  </si>
  <si>
    <t xml:space="preserve">Khejariya</t>
  </si>
  <si>
    <t xml:space="preserve">0812900684105236</t>
  </si>
  <si>
    <t xml:space="preserve">Talab Ke Pass</t>
  </si>
  <si>
    <t xml:space="preserve">Jhakhni</t>
  </si>
  <si>
    <t xml:space="preserve">0812900684105234</t>
  </si>
  <si>
    <t xml:space="preserve">Akya Gehlot</t>
  </si>
  <si>
    <t xml:space="preserve">0812900684105202</t>
  </si>
  <si>
    <t xml:space="preserve">KUMATHIYA</t>
  </si>
  <si>
    <t xml:space="preserve">Kumathiya</t>
  </si>
  <si>
    <t xml:space="preserve">0812900684105307</t>
  </si>
  <si>
    <t xml:space="preserve">Sedara</t>
  </si>
  <si>
    <t xml:space="preserve">0812900684105304</t>
  </si>
  <si>
    <t xml:space="preserve">Dokar Khera</t>
  </si>
  <si>
    <t xml:space="preserve">0812900684105305</t>
  </si>
  <si>
    <t xml:space="preserve">Beel Kheri</t>
  </si>
  <si>
    <t xml:space="preserve">0812900684105306</t>
  </si>
  <si>
    <t xml:space="preserve">Dharmpuri</t>
  </si>
  <si>
    <t xml:space="preserve">0812900684105302</t>
  </si>
  <si>
    <t xml:space="preserve">Khankhari</t>
  </si>
  <si>
    <t xml:space="preserve">0812900684105300</t>
  </si>
  <si>
    <t xml:space="preserve">KYASRA</t>
  </si>
  <si>
    <t xml:space="preserve">Kyasara</t>
  </si>
  <si>
    <t xml:space="preserve">0812900684105358</t>
  </si>
  <si>
    <t xml:space="preserve">15/08/2022</t>
  </si>
  <si>
    <t xml:space="preserve">Mahuri Khera</t>
  </si>
  <si>
    <t xml:space="preserve">0812900684105375</t>
  </si>
  <si>
    <t xml:space="preserve">Sikandarpura</t>
  </si>
  <si>
    <t xml:space="preserve">0812900684105356</t>
  </si>
  <si>
    <t xml:space="preserve">Doli Sarna</t>
  </si>
  <si>
    <t xml:space="preserve">0812900684105359</t>
  </si>
  <si>
    <t xml:space="preserve">Saranga Khera</t>
  </si>
  <si>
    <t xml:space="preserve">0812900684105357</t>
  </si>
  <si>
    <t xml:space="preserve">0812900684105355</t>
  </si>
  <si>
    <t xml:space="preserve">Bhaisariya</t>
  </si>
  <si>
    <t xml:space="preserve">0812900684105354</t>
  </si>
  <si>
    <t xml:space="preserve">0812900684105338</t>
  </si>
  <si>
    <t xml:space="preserve">Malpura</t>
  </si>
  <si>
    <t xml:space="preserve">0812900684105337</t>
  </si>
  <si>
    <t xml:space="preserve">Puwandla</t>
  </si>
  <si>
    <t xml:space="preserve">0812900684105353</t>
  </si>
  <si>
    <t xml:space="preserve">LUHARIYA</t>
  </si>
  <si>
    <t xml:space="preserve">0812900684105352</t>
  </si>
  <si>
    <t xml:space="preserve">0812900684105380</t>
  </si>
  <si>
    <t xml:space="preserve">Nandpur</t>
  </si>
  <si>
    <t xml:space="preserve">0812900684105351</t>
  </si>
  <si>
    <t xml:space="preserve">0812900684105350</t>
  </si>
  <si>
    <t xml:space="preserve">MANDIRPUR</t>
  </si>
  <si>
    <t xml:space="preserve">Mandirpur</t>
  </si>
  <si>
    <t xml:space="preserve">0812900684105321</t>
  </si>
  <si>
    <t xml:space="preserve">Dudhlai</t>
  </si>
  <si>
    <t xml:space="preserve">0812900684105320</t>
  </si>
  <si>
    <t xml:space="preserve">Parthi Garh</t>
  </si>
  <si>
    <t xml:space="preserve">0812900684105361</t>
  </si>
  <si>
    <t xml:space="preserve">Peeplya Kalan</t>
  </si>
  <si>
    <t xml:space="preserve">0812900684105360</t>
  </si>
  <si>
    <t xml:space="preserve">Patlai</t>
  </si>
  <si>
    <t xml:space="preserve">0812900684105322</t>
  </si>
  <si>
    <t xml:space="preserve">Sujanpur</t>
  </si>
  <si>
    <t xml:space="preserve">0812900684105331</t>
  </si>
  <si>
    <t xml:space="preserve">PARA PEEPLI</t>
  </si>
  <si>
    <t xml:space="preserve">Para Peepli</t>
  </si>
  <si>
    <t xml:space="preserve">0812900684105197</t>
  </si>
  <si>
    <t xml:space="preserve">Semli Gehlot</t>
  </si>
  <si>
    <t xml:space="preserve">0812900684105201</t>
  </si>
  <si>
    <t xml:space="preserve">Bharka</t>
  </si>
  <si>
    <t xml:space="preserve">0812900684105235</t>
  </si>
  <si>
    <t xml:space="preserve">Chhappiya</t>
  </si>
  <si>
    <t xml:space="preserve">0812900684105199</t>
  </si>
  <si>
    <t xml:space="preserve">Bankari</t>
  </si>
  <si>
    <t xml:space="preserve">0812900684105204</t>
  </si>
  <si>
    <t xml:space="preserve">Makoriya</t>
  </si>
  <si>
    <t xml:space="preserve">0812900684105200</t>
  </si>
  <si>
    <t xml:space="preserve">0812900684105198</t>
  </si>
  <si>
    <t xml:space="preserve">PARALIYA</t>
  </si>
  <si>
    <t xml:space="preserve">Paraliya</t>
  </si>
  <si>
    <t xml:space="preserve">0812900684105231</t>
  </si>
  <si>
    <t xml:space="preserve">Chhayan</t>
  </si>
  <si>
    <t xml:space="preserve">0812900684105249</t>
  </si>
  <si>
    <t xml:space="preserve">Aranya</t>
  </si>
  <si>
    <t xml:space="preserve">0812900684105247</t>
  </si>
  <si>
    <t xml:space="preserve">Lakha Kheri Umat</t>
  </si>
  <si>
    <t xml:space="preserve">0812900684105251</t>
  </si>
  <si>
    <t xml:space="preserve">Harni Khera</t>
  </si>
  <si>
    <t xml:space="preserve">0812900684105228</t>
  </si>
  <si>
    <t xml:space="preserve">Piplai</t>
  </si>
  <si>
    <t xml:space="preserve">0812900684105226</t>
  </si>
  <si>
    <t xml:space="preserve">PEEPLYA KHURD</t>
  </si>
  <si>
    <t xml:space="preserve">Peeplya Khurd</t>
  </si>
  <si>
    <t xml:space="preserve">0812900684105327</t>
  </si>
  <si>
    <t xml:space="preserve">Dhamanda Khurd</t>
  </si>
  <si>
    <t xml:space="preserve">0812900684105330</t>
  </si>
  <si>
    <t xml:space="preserve">Dhamanda Kalan</t>
  </si>
  <si>
    <t xml:space="preserve">0812900684105329</t>
  </si>
  <si>
    <t xml:space="preserve">Chandrapura</t>
  </si>
  <si>
    <t xml:space="preserve">0812900684105328</t>
  </si>
  <si>
    <t xml:space="preserve">Madhvi</t>
  </si>
  <si>
    <t xml:space="preserve">0812900684105332</t>
  </si>
  <si>
    <t xml:space="preserve">0812900684105326</t>
  </si>
  <si>
    <t xml:space="preserve">Bhaisajhar</t>
  </si>
  <si>
    <t xml:space="preserve">0812900684105333</t>
  </si>
  <si>
    <t xml:space="preserve">Kishan Nagar</t>
  </si>
  <si>
    <t xml:space="preserve">0812900684105334</t>
  </si>
  <si>
    <t xml:space="preserve">RAMPURA</t>
  </si>
  <si>
    <t xml:space="preserve">0812900684105311</t>
  </si>
  <si>
    <t xml:space="preserve">Sarwar</t>
  </si>
  <si>
    <t xml:space="preserve">0812900684105298</t>
  </si>
  <si>
    <t xml:space="preserve">Bardiya Lakha</t>
  </si>
  <si>
    <t xml:space="preserve">0812900684105297</t>
  </si>
  <si>
    <t xml:space="preserve">RANAYRA</t>
  </si>
  <si>
    <t xml:space="preserve">Ranayra</t>
  </si>
  <si>
    <t xml:space="preserve">0812900684105229</t>
  </si>
  <si>
    <t xml:space="preserve">Deoriya Kanwal</t>
  </si>
  <si>
    <t xml:space="preserve">0812900684105230</t>
  </si>
  <si>
    <t xml:space="preserve">Bishniya</t>
  </si>
  <si>
    <t xml:space="preserve">0812900684105225</t>
  </si>
  <si>
    <t xml:space="preserve">0812900684105207</t>
  </si>
  <si>
    <t xml:space="preserve">0812900684105203</t>
  </si>
  <si>
    <t xml:space="preserve">Kolva Goojar</t>
  </si>
  <si>
    <t xml:space="preserve">0812900684105208</t>
  </si>
  <si>
    <t xml:space="preserve">Borkheri Karamchand</t>
  </si>
  <si>
    <t xml:space="preserve">0812900684105206</t>
  </si>
  <si>
    <t xml:space="preserve">Ghattiya</t>
  </si>
  <si>
    <t xml:space="preserve">0812900684105205</t>
  </si>
  <si>
    <t xml:space="preserve">RAWAN GURARI</t>
  </si>
  <si>
    <t xml:space="preserve">Rawan Gurari</t>
  </si>
  <si>
    <t xml:space="preserve">0812900684105240</t>
  </si>
  <si>
    <t xml:space="preserve">Tonkara</t>
  </si>
  <si>
    <t xml:space="preserve">0812900684105245</t>
  </si>
  <si>
    <t xml:space="preserve">Majanpur</t>
  </si>
  <si>
    <t xml:space="preserve">0812900684105246</t>
  </si>
  <si>
    <t xml:space="preserve">Harmatya Meran</t>
  </si>
  <si>
    <t xml:space="preserve">0812900684105244</t>
  </si>
  <si>
    <t xml:space="preserve">Harmatya Ratna</t>
  </si>
  <si>
    <t xml:space="preserve">0812900684105243</t>
  </si>
  <si>
    <t xml:space="preserve">Dokar Kheri</t>
  </si>
  <si>
    <t xml:space="preserve">0812900684105242</t>
  </si>
  <si>
    <t xml:space="preserve">Parasali</t>
  </si>
  <si>
    <t xml:space="preserve">0812900684105238</t>
  </si>
  <si>
    <t xml:space="preserve">Somchiri</t>
  </si>
  <si>
    <t xml:space="preserve">0812900684105239</t>
  </si>
  <si>
    <t xml:space="preserve">Seendhala</t>
  </si>
  <si>
    <t xml:space="preserve">0812900684105237</t>
  </si>
  <si>
    <t xml:space="preserve">Rati Kheri</t>
  </si>
  <si>
    <t xml:space="preserve">0812900684105241</t>
  </si>
  <si>
    <t xml:space="preserve">ROJHANA</t>
  </si>
  <si>
    <t xml:space="preserve">Rojhana</t>
  </si>
  <si>
    <t xml:space="preserve">0812900684105219</t>
  </si>
  <si>
    <t xml:space="preserve">05.12.2022</t>
  </si>
  <si>
    <t xml:space="preserve">0812900684105222</t>
  </si>
  <si>
    <t xml:space="preserve">Jeta Kheri</t>
  </si>
  <si>
    <t xml:space="preserve">0812900684105221</t>
  </si>
  <si>
    <t xml:space="preserve">Nipaniya Kaloo</t>
  </si>
  <si>
    <t xml:space="preserve">0812900684105220</t>
  </si>
  <si>
    <t xml:space="preserve">Hasamadi</t>
  </si>
  <si>
    <t xml:space="preserve">0812900684105218</t>
  </si>
  <si>
    <t xml:space="preserve">Kaleshwar Mandir Ke pass</t>
  </si>
  <si>
    <t xml:space="preserve">PLD work CCT</t>
  </si>
  <si>
    <t xml:space="preserve">Karnaliya</t>
  </si>
  <si>
    <t xml:space="preserve">0812900684105217</t>
  </si>
  <si>
    <t xml:space="preserve">Talab Ke pass</t>
  </si>
  <si>
    <t xml:space="preserve">Charagah </t>
  </si>
  <si>
    <t xml:space="preserve">SUNARI</t>
  </si>
  <si>
    <t xml:space="preserve">Sunari</t>
  </si>
  <si>
    <t xml:space="preserve">0812900684105277</t>
  </si>
  <si>
    <t xml:space="preserve">15.08.2021</t>
  </si>
  <si>
    <t xml:space="preserve">Beti Kheri</t>
  </si>
  <si>
    <t xml:space="preserve">0812900684105273</t>
  </si>
  <si>
    <t xml:space="preserve">Tapli</t>
  </si>
  <si>
    <t xml:space="preserve">0812900684105272</t>
  </si>
  <si>
    <t xml:space="preserve">Dela Kheri</t>
  </si>
  <si>
    <t xml:space="preserve">0812900684105276</t>
  </si>
  <si>
    <t xml:space="preserve">Bar Khera</t>
  </si>
  <si>
    <t xml:space="preserve">0812900684105280</t>
  </si>
  <si>
    <t xml:space="preserve">Punwar Kheri</t>
  </si>
  <si>
    <t xml:space="preserve">0812900684105281</t>
  </si>
  <si>
    <t xml:space="preserve">Borkheri Anjana</t>
  </si>
  <si>
    <t xml:space="preserve">0812900684105282</t>
  </si>
  <si>
    <t xml:space="preserve">Akya Parmar</t>
  </si>
  <si>
    <t xml:space="preserve">0812900684105285</t>
  </si>
  <si>
    <t xml:space="preserve">Loona Kheri</t>
  </si>
  <si>
    <t xml:space="preserve">0812900684105259</t>
  </si>
  <si>
    <t xml:space="preserve">Loona Khera</t>
  </si>
  <si>
    <t xml:space="preserve">0812900684105260</t>
  </si>
  <si>
    <t xml:space="preserve">TALAWALI</t>
  </si>
  <si>
    <t xml:space="preserve">Talawali</t>
  </si>
  <si>
    <t xml:space="preserve">0812900684105287</t>
  </si>
  <si>
    <t xml:space="preserve">05.02.2025</t>
  </si>
  <si>
    <t xml:space="preserve">Kutki</t>
  </si>
  <si>
    <t xml:space="preserve">0812900684105254</t>
  </si>
  <si>
    <t xml:space="preserve">Peepa Kheri</t>
  </si>
  <si>
    <t xml:space="preserve">0812900684105286</t>
  </si>
  <si>
    <t xml:space="preserve">Chistipura</t>
  </si>
  <si>
    <t xml:space="preserve">0812900684105256</t>
  </si>
  <si>
    <t xml:space="preserve">0812900684105253</t>
  </si>
  <si>
    <t xml:space="preserve">Bilawali</t>
  </si>
  <si>
    <t xml:space="preserve">0812900684105255</t>
  </si>
  <si>
    <t xml:space="preserve">Malhar Ganj</t>
  </si>
  <si>
    <t xml:space="preserve">0812900684105257</t>
  </si>
  <si>
    <t xml:space="preserve">Rapa Kheri</t>
  </si>
  <si>
    <t xml:space="preserve">0812900684105227</t>
  </si>
  <si>
    <t xml:space="preserve">TISAI</t>
  </si>
  <si>
    <t xml:space="preserve">Tisai</t>
  </si>
  <si>
    <t xml:space="preserve">0812900684105316</t>
  </si>
  <si>
    <t xml:space="preserve">Suhagara</t>
  </si>
  <si>
    <t xml:space="preserve">0812900684105313</t>
  </si>
  <si>
    <t xml:space="preserve">0812900684105314</t>
  </si>
  <si>
    <t xml:space="preserve">Kalyanpura</t>
  </si>
  <si>
    <t xml:space="preserve">0812900684105362</t>
  </si>
  <si>
    <t xml:space="preserve">Lasooriya</t>
  </si>
  <si>
    <t xml:space="preserve">0812900684105269</t>
  </si>
  <si>
    <t xml:space="preserve">Udaipur</t>
  </si>
  <si>
    <t xml:space="preserve">0812900684105318</t>
  </si>
  <si>
    <t xml:space="preserve">0812900684105319</t>
  </si>
  <si>
    <t xml:space="preserve">UNHEL</t>
  </si>
  <si>
    <t xml:space="preserve">Unhel</t>
  </si>
  <si>
    <t xml:space="preserve">0812900684105303</t>
  </si>
  <si>
    <t xml:space="preserve">Karma Kheri</t>
  </si>
  <si>
    <t xml:space="preserve">0812900684105292</t>
  </si>
  <si>
    <t xml:space="preserve">0812900684105293</t>
  </si>
  <si>
    <t xml:space="preserve">Salariya</t>
  </si>
  <si>
    <t xml:space="preserve">0812900684105294</t>
  </si>
  <si>
    <t xml:space="preserve">PIRAWA (SUNEL)</t>
  </si>
  <si>
    <t xml:space="preserve">BANOR</t>
  </si>
  <si>
    <t xml:space="preserve">Banor</t>
  </si>
  <si>
    <t xml:space="preserve">0812900683105084</t>
  </si>
  <si>
    <t xml:space="preserve">05.01.2024</t>
  </si>
  <si>
    <t xml:space="preserve">Teliya Kheri</t>
  </si>
  <si>
    <t xml:space="preserve">0812900683105085</t>
  </si>
  <si>
    <t xml:space="preserve">Asandiya</t>
  </si>
  <si>
    <t xml:space="preserve">0812900683105041</t>
  </si>
  <si>
    <t xml:space="preserve">0812900683105051</t>
  </si>
  <si>
    <t xml:space="preserve">BOLIYA BUJURG</t>
  </si>
  <si>
    <t xml:space="preserve">Boliya Bujurg</t>
  </si>
  <si>
    <t xml:space="preserve">0812900683105100</t>
  </si>
  <si>
    <t xml:space="preserve">Sanoriya</t>
  </si>
  <si>
    <t xml:space="preserve">0812900683105071</t>
  </si>
  <si>
    <t xml:space="preserve">CHACHHLAO</t>
  </si>
  <si>
    <t xml:space="preserve">Chachhalao</t>
  </si>
  <si>
    <t xml:space="preserve">0812900683105025</t>
  </si>
  <si>
    <t xml:space="preserve">mata mandir wala charagha </t>
  </si>
  <si>
    <t xml:space="preserve">pahadi ke paas wala</t>
  </si>
  <si>
    <t xml:space="preserve">GoshalakePassWallCharagah</t>
  </si>
  <si>
    <t xml:space="preserve">Khelmaidankepass</t>
  </si>
  <si>
    <t xml:space="preserve">0812900683105029</t>
  </si>
  <si>
    <t xml:space="preserve">Chachhalai</t>
  </si>
  <si>
    <t xml:space="preserve">0812900683105027</t>
  </si>
  <si>
    <t xml:space="preserve">Balaji Charagah</t>
  </si>
  <si>
    <t xml:space="preserve">Pau Kheri</t>
  </si>
  <si>
    <t xml:space="preserve">0812900683105028</t>
  </si>
  <si>
    <t xml:space="preserve">0812900683104980</t>
  </si>
  <si>
    <t xml:space="preserve">Kalyakheri Charagah</t>
  </si>
  <si>
    <t xml:space="preserve">DABLA BHOJ</t>
  </si>
  <si>
    <t xml:space="preserve">Dabla Bhoj</t>
  </si>
  <si>
    <t xml:space="preserve">0812900683105183</t>
  </si>
  <si>
    <t xml:space="preserve">Peepaliya</t>
  </si>
  <si>
    <t xml:space="preserve">0812900683105185</t>
  </si>
  <si>
    <t xml:space="preserve">0812900683105180</t>
  </si>
  <si>
    <t xml:space="preserve">DANTA</t>
  </si>
  <si>
    <t xml:space="preserve">Danta</t>
  </si>
  <si>
    <t xml:space="preserve">0812900683105179</t>
  </si>
  <si>
    <t xml:space="preserve">14.09.2023</t>
  </si>
  <si>
    <t xml:space="preserve">Sanwat Khera</t>
  </si>
  <si>
    <t xml:space="preserve">0812900683105186</t>
  </si>
  <si>
    <t xml:space="preserve">0812900683105178</t>
  </si>
  <si>
    <t xml:space="preserve">Balda</t>
  </si>
  <si>
    <t xml:space="preserve">0812900683105166</t>
  </si>
  <si>
    <t xml:space="preserve">Narana</t>
  </si>
  <si>
    <t xml:space="preserve">0812900683105165</t>
  </si>
  <si>
    <t xml:space="preserve">0812900683105159</t>
  </si>
  <si>
    <t xml:space="preserve">DEEWAL KHERA</t>
  </si>
  <si>
    <t xml:space="preserve">Deewal Khera</t>
  </si>
  <si>
    <t xml:space="preserve">0812900683105036</t>
  </si>
  <si>
    <t xml:space="preserve">Roopa Kheri</t>
  </si>
  <si>
    <t xml:space="preserve">0812900683105037</t>
  </si>
  <si>
    <t xml:space="preserve">0812900683105012</t>
  </si>
  <si>
    <t xml:space="preserve">DHABLA KHEENCHI</t>
  </si>
  <si>
    <t xml:space="preserve">Dhabla Kheenchi</t>
  </si>
  <si>
    <t xml:space="preserve">0812900683105072</t>
  </si>
  <si>
    <t xml:space="preserve">Hanotiya Hindusingh</t>
  </si>
  <si>
    <t xml:space="preserve">0812900683105099</t>
  </si>
  <si>
    <t xml:space="preserve">Hanotiya Raimal</t>
  </si>
  <si>
    <t xml:space="preserve">0812900683105098</t>
  </si>
  <si>
    <t xml:space="preserve">0812900683105077</t>
  </si>
  <si>
    <t xml:space="preserve">0812900683105074</t>
  </si>
  <si>
    <t xml:space="preserve">DHARONIYA</t>
  </si>
  <si>
    <t xml:space="preserve">Dharoniya</t>
  </si>
  <si>
    <t xml:space="preserve">0812900683105122</t>
  </si>
  <si>
    <t xml:space="preserve">Saroniya</t>
  </si>
  <si>
    <t xml:space="preserve">0812900683105125</t>
  </si>
  <si>
    <t xml:space="preserve">Azizpur</t>
  </si>
  <si>
    <t xml:space="preserve">0812900683105126</t>
  </si>
  <si>
    <t xml:space="preserve">DOLA</t>
  </si>
  <si>
    <t xml:space="preserve">Dola</t>
  </si>
  <si>
    <t xml:space="preserve">0812900683105112</t>
  </si>
  <si>
    <t xml:space="preserve">Gardan Kheri</t>
  </si>
  <si>
    <t xml:space="preserve">0812900683105133</t>
  </si>
  <si>
    <t xml:space="preserve">Chhori</t>
  </si>
  <si>
    <t xml:space="preserve">0812900683105110</t>
  </si>
  <si>
    <t xml:space="preserve">0812900683105107</t>
  </si>
  <si>
    <t xml:space="preserve">DUBALIYA</t>
  </si>
  <si>
    <t xml:space="preserve">Dubaliya</t>
  </si>
  <si>
    <t xml:space="preserve">0812900683105023</t>
  </si>
  <si>
    <t xml:space="preserve">Hanotiya Dubaliya</t>
  </si>
  <si>
    <t xml:space="preserve">0812900683105022</t>
  </si>
  <si>
    <t xml:space="preserve">Azampur</t>
  </si>
  <si>
    <t xml:space="preserve">0812900683105019</t>
  </si>
  <si>
    <t xml:space="preserve">Maroom Kheri</t>
  </si>
  <si>
    <t xml:space="preserve">0812900683105024</t>
  </si>
  <si>
    <t xml:space="preserve">25/01/2023</t>
  </si>
  <si>
    <t xml:space="preserve">Barkheri Jadeed</t>
  </si>
  <si>
    <t xml:space="preserve">0812900683105021</t>
  </si>
  <si>
    <t xml:space="preserve">FATEHGARH</t>
  </si>
  <si>
    <t xml:space="preserve">Fatehgarh</t>
  </si>
  <si>
    <t xml:space="preserve">0812900683105087</t>
  </si>
  <si>
    <t xml:space="preserve">Nimba Hera</t>
  </si>
  <si>
    <t xml:space="preserve">0812900683105121</t>
  </si>
  <si>
    <t xml:space="preserve">Kachra Kheri</t>
  </si>
  <si>
    <t xml:space="preserve">0812900683105088</t>
  </si>
  <si>
    <t xml:space="preserve">Khijarpur</t>
  </si>
  <si>
    <t xml:space="preserve">0812900683105086</t>
  </si>
  <si>
    <t xml:space="preserve">GADIYA</t>
  </si>
  <si>
    <t xml:space="preserve">0812900683104999</t>
  </si>
  <si>
    <t xml:space="preserve">Rajpura Khurd</t>
  </si>
  <si>
    <t xml:space="preserve">0812900683105020</t>
  </si>
  <si>
    <t xml:space="preserve">0812900683104998</t>
  </si>
  <si>
    <t xml:space="preserve">Jhirniya</t>
  </si>
  <si>
    <t xml:space="preserve">0812900683105000</t>
  </si>
  <si>
    <t xml:space="preserve">Samiya</t>
  </si>
  <si>
    <t xml:space="preserve">0812900683104996</t>
  </si>
  <si>
    <t xml:space="preserve">Guradiya</t>
  </si>
  <si>
    <t xml:space="preserve">0812900683104997</t>
  </si>
  <si>
    <t xml:space="preserve">GELANI</t>
  </si>
  <si>
    <t xml:space="preserve">Gelani</t>
  </si>
  <si>
    <t xml:space="preserve">0812900683105105</t>
  </si>
  <si>
    <t xml:space="preserve">Raja Kheri</t>
  </si>
  <si>
    <t xml:space="preserve">0812900683105139</t>
  </si>
  <si>
    <t xml:space="preserve">Khera Nipaniya</t>
  </si>
  <si>
    <t xml:space="preserve">0812900683105106</t>
  </si>
  <si>
    <t xml:space="preserve">28.07.2023</t>
  </si>
  <si>
    <t xml:space="preserve">0812900683105104</t>
  </si>
  <si>
    <t xml:space="preserve">Gelana</t>
  </si>
  <si>
    <t xml:space="preserve">0812900683105103</t>
  </si>
  <si>
    <t xml:space="preserve">0812900683105146</t>
  </si>
  <si>
    <t xml:space="preserve">Udliya Kheri</t>
  </si>
  <si>
    <t xml:space="preserve">0812900683105145</t>
  </si>
  <si>
    <t xml:space="preserve">Mumana</t>
  </si>
  <si>
    <t xml:space="preserve">0812900683105147</t>
  </si>
  <si>
    <t xml:space="preserve">Charagah Vikas Karya   (Deep cct nerega talai ke pass 1000rm)</t>
  </si>
  <si>
    <t xml:space="preserve">0812900683105144</t>
  </si>
  <si>
    <t xml:space="preserve">Ameenpur</t>
  </si>
  <si>
    <t xml:space="preserve">0812900683105138</t>
  </si>
  <si>
    <t xml:space="preserve">Charagah Vikas Karya   (Cct talai ke pass 1000rm)</t>
  </si>
  <si>
    <t xml:space="preserve">Suwa Sara</t>
  </si>
  <si>
    <t xml:space="preserve">0812900683105140</t>
  </si>
  <si>
    <t xml:space="preserve">Dhatooriya Khurd</t>
  </si>
  <si>
    <t xml:space="preserve">0812900683105143</t>
  </si>
  <si>
    <t xml:space="preserve">Anya Kheri</t>
  </si>
  <si>
    <t xml:space="preserve">0812900683105142</t>
  </si>
  <si>
    <t xml:space="preserve">Dhatooriya Kalan</t>
  </si>
  <si>
    <t xml:space="preserve">0812900683105141</t>
  </si>
  <si>
    <t xml:space="preserve">HARNAWADA GAJA</t>
  </si>
  <si>
    <t xml:space="preserve">Harnawada Gaja</t>
  </si>
  <si>
    <t xml:space="preserve">0812900683105194</t>
  </si>
  <si>
    <t xml:space="preserve">20.09.2023</t>
  </si>
  <si>
    <t xml:space="preserve">Fatehpur</t>
  </si>
  <si>
    <t xml:space="preserve">0812900683105196</t>
  </si>
  <si>
    <t xml:space="preserve">Harnawda Peetha</t>
  </si>
  <si>
    <t xml:space="preserve">0812900683105195</t>
  </si>
  <si>
    <t xml:space="preserve">Alipur</t>
  </si>
  <si>
    <t xml:space="preserve">0812900683105193</t>
  </si>
  <si>
    <t xml:space="preserve">Semli Chauhan</t>
  </si>
  <si>
    <t xml:space="preserve">0812900683105192</t>
  </si>
  <si>
    <t xml:space="preserve">Chak Semli</t>
  </si>
  <si>
    <t xml:space="preserve">0812900683105184</t>
  </si>
  <si>
    <t xml:space="preserve">HEMRA</t>
  </si>
  <si>
    <t xml:space="preserve">Hemra</t>
  </si>
  <si>
    <t xml:space="preserve">0812900683105096</t>
  </si>
  <si>
    <t xml:space="preserve">0812900683105079</t>
  </si>
  <si>
    <t xml:space="preserve">Peetha Kheri</t>
  </si>
  <si>
    <t xml:space="preserve">0812900683105097</t>
  </si>
  <si>
    <t xml:space="preserve">HIMMATGARH</t>
  </si>
  <si>
    <t xml:space="preserve">0812900683105090</t>
  </si>
  <si>
    <t xml:space="preserve">5.09.2023</t>
  </si>
  <si>
    <t xml:space="preserve">0812900683105120</t>
  </si>
  <si>
    <t xml:space="preserve">Dharoo Kheri</t>
  </si>
  <si>
    <t xml:space="preserve">0812900683105119</t>
  </si>
  <si>
    <t xml:space="preserve">Hanotiya Dharoniya</t>
  </si>
  <si>
    <t xml:space="preserve">0812900683105089</t>
  </si>
  <si>
    <t xml:space="preserve">Karadiya Osav</t>
  </si>
  <si>
    <t xml:space="preserve">0812900683105091</t>
  </si>
  <si>
    <t xml:space="preserve">Tiktikiya</t>
  </si>
  <si>
    <t xml:space="preserve">0812900683105092</t>
  </si>
  <si>
    <t xml:space="preserve">0812900683105083</t>
  </si>
  <si>
    <t xml:space="preserve">KADODIYA</t>
  </si>
  <si>
    <t xml:space="preserve">Kadodiya</t>
  </si>
  <si>
    <t xml:space="preserve">0812900683105032</t>
  </si>
  <si>
    <t xml:space="preserve">Pagariya</t>
  </si>
  <si>
    <t xml:space="preserve">0812900683105033</t>
  </si>
  <si>
    <t xml:space="preserve">Roshan Bari</t>
  </si>
  <si>
    <t xml:space="preserve">0812900683105026</t>
  </si>
  <si>
    <t xml:space="preserve">KALI TALAI</t>
  </si>
  <si>
    <t xml:space="preserve">Kali Talai</t>
  </si>
  <si>
    <t xml:space="preserve">0812900683105039</t>
  </si>
  <si>
    <t xml:space="preserve">Chawandiya</t>
  </si>
  <si>
    <t xml:space="preserve">0812900683105050</t>
  </si>
  <si>
    <t xml:space="preserve">Kotri Khurd</t>
  </si>
  <si>
    <t xml:space="preserve">0812900683105043</t>
  </si>
  <si>
    <t xml:space="preserve">Chanwli</t>
  </si>
  <si>
    <t xml:space="preserve">0812900683105040</t>
  </si>
  <si>
    <t xml:space="preserve">Jheekari</t>
  </si>
  <si>
    <t xml:space="preserve">0812900683105042</t>
  </si>
  <si>
    <t xml:space="preserve">0812900683105049</t>
  </si>
  <si>
    <t xml:space="preserve">Bhat Khera</t>
  </si>
  <si>
    <t xml:space="preserve">0812900683105048</t>
  </si>
  <si>
    <t xml:space="preserve">Bhandar</t>
  </si>
  <si>
    <t xml:space="preserve">0812900683105047</t>
  </si>
  <si>
    <t xml:space="preserve">Dhamaniya</t>
  </si>
  <si>
    <t xml:space="preserve">0812900683105046</t>
  </si>
  <si>
    <t xml:space="preserve">KANWARI</t>
  </si>
  <si>
    <t xml:space="preserve">Kan Wari</t>
  </si>
  <si>
    <t xml:space="preserve">0812900683104989</t>
  </si>
  <si>
    <t xml:space="preserve">RamkundBalajiWalaCharagah</t>
  </si>
  <si>
    <t xml:space="preserve">Pet Bhar</t>
  </si>
  <si>
    <t xml:space="preserve">0812900683104992</t>
  </si>
  <si>
    <t xml:space="preserve">Khamni</t>
  </si>
  <si>
    <t xml:space="preserve">Gadara</t>
  </si>
  <si>
    <t xml:space="preserve">0812900683104991</t>
  </si>
  <si>
    <t xml:space="preserve">0812900683104984</t>
  </si>
  <si>
    <t xml:space="preserve">Gundi</t>
  </si>
  <si>
    <t xml:space="preserve">0812900683104985</t>
  </si>
  <si>
    <t xml:space="preserve">0812900683104990</t>
  </si>
  <si>
    <t xml:space="preserve">Tal</t>
  </si>
  <si>
    <t xml:space="preserve">0812900683104986</t>
  </si>
  <si>
    <t xml:space="preserve">Borkheri Khurd</t>
  </si>
  <si>
    <t xml:space="preserve">0812900683104987</t>
  </si>
  <si>
    <t xml:space="preserve">0812900683104988</t>
  </si>
  <si>
    <t xml:space="preserve">KHAIRANA</t>
  </si>
  <si>
    <t xml:space="preserve">Khairana</t>
  </si>
  <si>
    <t xml:space="preserve">0812900683105114</t>
  </si>
  <si>
    <t xml:space="preserve">01.08.2025</t>
  </si>
  <si>
    <t xml:space="preserve">Tomariya Kheri</t>
  </si>
  <si>
    <t xml:space="preserve">0812900683105113</t>
  </si>
  <si>
    <t xml:space="preserve">15.08.2025</t>
  </si>
  <si>
    <t xml:space="preserve">Samli Jinnar</t>
  </si>
  <si>
    <t xml:space="preserve">0812900683105117</t>
  </si>
  <si>
    <t xml:space="preserve">Loti</t>
  </si>
  <si>
    <t xml:space="preserve">0812900683105116</t>
  </si>
  <si>
    <t xml:space="preserve">Motmindganj</t>
  </si>
  <si>
    <t xml:space="preserve">0812900683105093</t>
  </si>
  <si>
    <t xml:space="preserve">0812900683105095</t>
  </si>
  <si>
    <t xml:space="preserve">0812900683105080</t>
  </si>
  <si>
    <t xml:space="preserve">KHARPA KALAN</t>
  </si>
  <si>
    <t xml:space="preserve">Kharpa Kalan</t>
  </si>
  <si>
    <t xml:space="preserve">0812900683105136</t>
  </si>
  <si>
    <t xml:space="preserve">28.09.2023</t>
  </si>
  <si>
    <t xml:space="preserve">Kundla Khemraj</t>
  </si>
  <si>
    <t xml:space="preserve">0812900683105137</t>
  </si>
  <si>
    <t xml:space="preserve">Silori</t>
  </si>
  <si>
    <t xml:space="preserve">0812900683105111</t>
  </si>
  <si>
    <t xml:space="preserve">0812900683105109</t>
  </si>
  <si>
    <t xml:space="preserve">Koli Khera</t>
  </si>
  <si>
    <t xml:space="preserve">0812900683105108</t>
  </si>
  <si>
    <t xml:space="preserve">KOTRI</t>
  </si>
  <si>
    <t xml:space="preserve">Kotri</t>
  </si>
  <si>
    <t xml:space="preserve">0812900683105135</t>
  </si>
  <si>
    <t xml:space="preserve">Beer Sarkari</t>
  </si>
  <si>
    <t xml:space="preserve">0812900683105164</t>
  </si>
  <si>
    <t xml:space="preserve">Ilahipura</t>
  </si>
  <si>
    <t xml:space="preserve">0812900683105163</t>
  </si>
  <si>
    <t xml:space="preserve">Dhara Kheri</t>
  </si>
  <si>
    <t xml:space="preserve">0812900683105158</t>
  </si>
  <si>
    <t xml:space="preserve">Jablen</t>
  </si>
  <si>
    <t xml:space="preserve">0812900683105160</t>
  </si>
  <si>
    <t xml:space="preserve">Parihar Kheri</t>
  </si>
  <si>
    <t xml:space="preserve">0812900683105134</t>
  </si>
  <si>
    <t xml:space="preserve">Bismillapura</t>
  </si>
  <si>
    <t xml:space="preserve">0812900683105162</t>
  </si>
  <si>
    <t xml:space="preserve">0812900683105161</t>
  </si>
  <si>
    <t xml:space="preserve">MAGEESPUR</t>
  </si>
  <si>
    <t xml:space="preserve">Mageespur</t>
  </si>
  <si>
    <t xml:space="preserve">0812900683105078</t>
  </si>
  <si>
    <t xml:space="preserve">2.10.23</t>
  </si>
  <si>
    <t xml:space="preserve">Set Kheri</t>
  </si>
  <si>
    <t xml:space="preserve">0812900683105076</t>
  </si>
  <si>
    <t xml:space="preserve">Khaleel Nagar</t>
  </si>
  <si>
    <t xml:space="preserve">0812900683105056</t>
  </si>
  <si>
    <t xml:space="preserve">Kundala Pratap</t>
  </si>
  <si>
    <t xml:space="preserve">0812900683105057</t>
  </si>
  <si>
    <t xml:space="preserve">MATHANIYA</t>
  </si>
  <si>
    <t xml:space="preserve">Mathaniya</t>
  </si>
  <si>
    <t xml:space="preserve">0812900683105052</t>
  </si>
  <si>
    <t xml:space="preserve">Sirpoi Khurd</t>
  </si>
  <si>
    <t xml:space="preserve">0812900683105053</t>
  </si>
  <si>
    <t xml:space="preserve">Naklang</t>
  </si>
  <si>
    <t xml:space="preserve">0812900683105054</t>
  </si>
  <si>
    <t xml:space="preserve">0812900683105055</t>
  </si>
  <si>
    <t xml:space="preserve">NAULAI</t>
  </si>
  <si>
    <t xml:space="preserve">Naulai</t>
  </si>
  <si>
    <t xml:space="preserve">0812900683105151</t>
  </si>
  <si>
    <t xml:space="preserve">Nagar</t>
  </si>
  <si>
    <t xml:space="preserve">0812900683105152</t>
  </si>
  <si>
    <t xml:space="preserve">0812900683105154</t>
  </si>
  <si>
    <t xml:space="preserve">0812900683105150</t>
  </si>
  <si>
    <t xml:space="preserve">Bhoor Kheri</t>
  </si>
  <si>
    <t xml:space="preserve">0812900683105148</t>
  </si>
  <si>
    <t xml:space="preserve">Kharpa Khurd</t>
  </si>
  <si>
    <t xml:space="preserve">0812900683105155</t>
  </si>
  <si>
    <t xml:space="preserve">Bar Kheri</t>
  </si>
  <si>
    <t xml:space="preserve">0812900683105149</t>
  </si>
  <si>
    <t xml:space="preserve">ODIYA KHERI</t>
  </si>
  <si>
    <t xml:space="preserve">Odiya Kheri</t>
  </si>
  <si>
    <t xml:space="preserve">0812900683105115</t>
  </si>
  <si>
    <t xml:space="preserve">22.02.2022</t>
  </si>
  <si>
    <t xml:space="preserve">Amrit Sarover Ke Pass</t>
  </si>
  <si>
    <t xml:space="preserve">0812900683105132</t>
  </si>
  <si>
    <t xml:space="preserve">Dilawara</t>
  </si>
  <si>
    <t xml:space="preserve">0812900683105128</t>
  </si>
  <si>
    <t xml:space="preserve">Ameerpura</t>
  </si>
  <si>
    <t xml:space="preserve">0812900683105129</t>
  </si>
  <si>
    <t xml:space="preserve">0812900683105131</t>
  </si>
  <si>
    <t xml:space="preserve">Mandir Ke Pass</t>
  </si>
  <si>
    <t xml:space="preserve">Kita Kheri</t>
  </si>
  <si>
    <t xml:space="preserve">0812900683105127</t>
  </si>
  <si>
    <t xml:space="preserve">Maya Kheri</t>
  </si>
  <si>
    <t xml:space="preserve">0812900683105130</t>
  </si>
  <si>
    <t xml:space="preserve">Road ke pass Main Road Pidawa</t>
  </si>
  <si>
    <t xml:space="preserve">Farshpura</t>
  </si>
  <si>
    <t xml:space="preserve">0812900683105118</t>
  </si>
  <si>
    <t xml:space="preserve">OSAV</t>
  </si>
  <si>
    <t xml:space="preserve">Osav</t>
  </si>
  <si>
    <t xml:space="preserve">Charagah Vikas Karya   (CCT)</t>
  </si>
  <si>
    <t xml:space="preserve">0812900683105082</t>
  </si>
  <si>
    <t xml:space="preserve">0812900683105094</t>
  </si>
  <si>
    <t xml:space="preserve">Dharmachya Kheri</t>
  </si>
  <si>
    <t xml:space="preserve">0812900683105081</t>
  </si>
  <si>
    <t xml:space="preserve">RAIPUR</t>
  </si>
  <si>
    <t xml:space="preserve">Raipur</t>
  </si>
  <si>
    <t xml:space="preserve">0812900683105010</t>
  </si>
  <si>
    <t xml:space="preserve">Raipur Charagha </t>
  </si>
  <si>
    <t xml:space="preserve">Raghunathpura</t>
  </si>
  <si>
    <t xml:space="preserve">0812900683105009</t>
  </si>
  <si>
    <t xml:space="preserve">Raghunath pura charagha</t>
  </si>
  <si>
    <t xml:space="preserve">RAMAY DALPAT</t>
  </si>
  <si>
    <t xml:space="preserve">Ramay Dalpat</t>
  </si>
  <si>
    <t xml:space="preserve">0812900683105153</t>
  </si>
  <si>
    <t xml:space="preserve">Ramay Mahoo</t>
  </si>
  <si>
    <t xml:space="preserve">0812900683105182</t>
  </si>
  <si>
    <t xml:space="preserve">Dhandera</t>
  </si>
  <si>
    <t xml:space="preserve">0812900683105181</t>
  </si>
  <si>
    <t xml:space="preserve">0812900683105157</t>
  </si>
  <si>
    <t xml:space="preserve">Hanotiya Kotri</t>
  </si>
  <si>
    <t xml:space="preserve">0812900683105156</t>
  </si>
  <si>
    <t xml:space="preserve">RAMPURIYA</t>
  </si>
  <si>
    <t xml:space="preserve">0812900683105175</t>
  </si>
  <si>
    <t xml:space="preserve">Beejanya Kheri</t>
  </si>
  <si>
    <t xml:space="preserve">0812900683105177</t>
  </si>
  <si>
    <t xml:space="preserve">Ada Kheri</t>
  </si>
  <si>
    <t xml:space="preserve">0812900683105176</t>
  </si>
  <si>
    <t xml:space="preserve">Rasoolpura</t>
  </si>
  <si>
    <t xml:space="preserve">0812900683105173</t>
  </si>
  <si>
    <t xml:space="preserve">Ramthi</t>
  </si>
  <si>
    <t xml:space="preserve">0812900683105172</t>
  </si>
  <si>
    <t xml:space="preserve">SALOTIYA</t>
  </si>
  <si>
    <t xml:space="preserve">Salotiya</t>
  </si>
  <si>
    <t xml:space="preserve">0812900683104995</t>
  </si>
  <si>
    <t xml:space="preserve">Bhatkhera Kalan</t>
  </si>
  <si>
    <t xml:space="preserve">0812900683104994</t>
  </si>
  <si>
    <t xml:space="preserve">Rajpura Bujurg</t>
  </si>
  <si>
    <t xml:space="preserve">0812900683104981</t>
  </si>
  <si>
    <t xml:space="preserve">Kalotiya</t>
  </si>
  <si>
    <t xml:space="preserve">0812900683104993</t>
  </si>
  <si>
    <t xml:space="preserve">0812900683104979</t>
  </si>
  <si>
    <t xml:space="preserve">Lal Gaon</t>
  </si>
  <si>
    <t xml:space="preserve">0812900683104982</t>
  </si>
  <si>
    <t xml:space="preserve">0812900683104983</t>
  </si>
  <si>
    <t xml:space="preserve">SALRI</t>
  </si>
  <si>
    <t xml:space="preserve">Salri</t>
  </si>
  <si>
    <t xml:space="preserve">0812900683105004</t>
  </si>
  <si>
    <t xml:space="preserve">Rawal</t>
  </si>
  <si>
    <t xml:space="preserve">0812900683105008</t>
  </si>
  <si>
    <t xml:space="preserve">Dabal</t>
  </si>
  <si>
    <t xml:space="preserve">0812900683105007</t>
  </si>
  <si>
    <t xml:space="preserve">0812900683105006</t>
  </si>
  <si>
    <t xml:space="preserve">SEMLI KALYAN</t>
  </si>
  <si>
    <t xml:space="preserve">0812900683105005</t>
  </si>
  <si>
    <t xml:space="preserve">SAMARIYA</t>
  </si>
  <si>
    <t xml:space="preserve">Samariya</t>
  </si>
  <si>
    <t xml:space="preserve">0812900683105064</t>
  </si>
  <si>
    <t xml:space="preserve">01.08.2023</t>
  </si>
  <si>
    <t xml:space="preserve">School Ke Pass</t>
  </si>
  <si>
    <t xml:space="preserve">1347,1667,2,566,570,725,3</t>
  </si>
  <si>
    <t xml:space="preserve">Sirpoi road tirahe ke pass walla charagah</t>
  </si>
  <si>
    <t xml:space="preserve">GoshalakePass</t>
  </si>
  <si>
    <t xml:space="preserve">Nadi ke pass</t>
  </si>
  <si>
    <t xml:space="preserve">Jaswantpura</t>
  </si>
  <si>
    <t xml:space="preserve">0812900683105063</t>
  </si>
  <si>
    <t xml:space="preserve">Khandal Kheri</t>
  </si>
  <si>
    <t xml:space="preserve">0812900683105062</t>
  </si>
  <si>
    <t xml:space="preserve">Arniya</t>
  </si>
  <si>
    <t xml:space="preserve">0812900683105066</t>
  </si>
  <si>
    <t xml:space="preserve">Chandra Pura</t>
  </si>
  <si>
    <t xml:space="preserve">0812900683105030</t>
  </si>
  <si>
    <t xml:space="preserve">SAMLI KHAM</t>
  </si>
  <si>
    <t xml:space="preserve">Samli Kham</t>
  </si>
  <si>
    <t xml:space="preserve">0812900683105035</t>
  </si>
  <si>
    <t xml:space="preserve">chargah</t>
  </si>
  <si>
    <t xml:space="preserve">0812900683105013</t>
  </si>
  <si>
    <t xml:space="preserve">0812900683105034</t>
  </si>
  <si>
    <t xml:space="preserve">Dobri</t>
  </si>
  <si>
    <t xml:space="preserve">0812900683105014</t>
  </si>
  <si>
    <t xml:space="preserve">SANGARIYA</t>
  </si>
  <si>
    <t xml:space="preserve">Sangariya</t>
  </si>
  <si>
    <t xml:space="preserve">0812900683105102</t>
  </si>
  <si>
    <t xml:space="preserve">26.01.2023</t>
  </si>
  <si>
    <t xml:space="preserve">0812900683105101</t>
  </si>
  <si>
    <t xml:space="preserve">SAR KHERI</t>
  </si>
  <si>
    <t xml:space="preserve">Sar Kheri</t>
  </si>
  <si>
    <t xml:space="preserve">0812900683105188</t>
  </si>
  <si>
    <t xml:space="preserve">Charagh</t>
  </si>
  <si>
    <t xml:space="preserve">0812900683105190</t>
  </si>
  <si>
    <t xml:space="preserve">Khadagpura</t>
  </si>
  <si>
    <t xml:space="preserve">0812900683105191</t>
  </si>
  <si>
    <t xml:space="preserve">0812900683105189</t>
  </si>
  <si>
    <t xml:space="preserve">Karadiya Sherpur</t>
  </si>
  <si>
    <t xml:space="preserve">0812900683105174</t>
  </si>
  <si>
    <t xml:space="preserve">Bolya Bari</t>
  </si>
  <si>
    <t xml:space="preserve">0812900683105187</t>
  </si>
  <si>
    <t xml:space="preserve">SEMLA</t>
  </si>
  <si>
    <t xml:space="preserve">Semla</t>
  </si>
  <si>
    <t xml:space="preserve">0812900683105073</t>
  </si>
  <si>
    <t xml:space="preserve">05.03.2024</t>
  </si>
  <si>
    <t xml:space="preserve">Wazeerpura</t>
  </si>
  <si>
    <t xml:space="preserve">0812900683105058</t>
  </si>
  <si>
    <t xml:space="preserve">Noorpura</t>
  </si>
  <si>
    <t xml:space="preserve">0812900683105075</t>
  </si>
  <si>
    <t xml:space="preserve">Kotra Pratap</t>
  </si>
  <si>
    <t xml:space="preserve">0812900683105061</t>
  </si>
  <si>
    <t xml:space="preserve">SHERPUR</t>
  </si>
  <si>
    <t xml:space="preserve">Sherpur</t>
  </si>
  <si>
    <t xml:space="preserve">0812900683105170</t>
  </si>
  <si>
    <t xml:space="preserve">0812900683105167</t>
  </si>
  <si>
    <t xml:space="preserve">Deochi</t>
  </si>
  <si>
    <t xml:space="preserve">0812900683105171</t>
  </si>
  <si>
    <t xml:space="preserve">Mohammadpura</t>
  </si>
  <si>
    <t xml:space="preserve">0812900683105169</t>
  </si>
  <si>
    <t xml:space="preserve">Meerpura</t>
  </si>
  <si>
    <t xml:space="preserve">0812900683105168</t>
  </si>
  <si>
    <t xml:space="preserve">0812900683105124</t>
  </si>
  <si>
    <t xml:space="preserve">0812900683105123</t>
  </si>
  <si>
    <t xml:space="preserve">SIRPOI</t>
  </si>
  <si>
    <t xml:space="preserve">Sirpoi</t>
  </si>
  <si>
    <t xml:space="preserve">0812900683105068</t>
  </si>
  <si>
    <t xml:space="preserve">Khera Sanoriya</t>
  </si>
  <si>
    <t xml:space="preserve">0812900683105070</t>
  </si>
  <si>
    <t xml:space="preserve">Kotra Jetmal</t>
  </si>
  <si>
    <t xml:space="preserve">0812900683105069</t>
  </si>
  <si>
    <t xml:space="preserve">Tulkya Kheri</t>
  </si>
  <si>
    <t xml:space="preserve">0812900683105067</t>
  </si>
  <si>
    <t xml:space="preserve">SOYLA</t>
  </si>
  <si>
    <t xml:space="preserve">Soyla</t>
  </si>
  <si>
    <t xml:space="preserve">0812900683105002</t>
  </si>
  <si>
    <t xml:space="preserve"> 24.399161°</t>
  </si>
  <si>
    <t xml:space="preserve"> 76.113183°</t>
  </si>
  <si>
    <t xml:space="preserve">0812900683105016</t>
  </si>
  <si>
    <t xml:space="preserve">0812900683105015</t>
  </si>
  <si>
    <t xml:space="preserve">Bajrangpura</t>
  </si>
  <si>
    <t xml:space="preserve">0812900683105017</t>
  </si>
  <si>
    <t xml:space="preserve">0812900683105018</t>
  </si>
  <si>
    <t xml:space="preserve">Pal Khanda</t>
  </si>
  <si>
    <t xml:space="preserve">0812900683105003</t>
  </si>
  <si>
    <t xml:space="preserve">Soyli</t>
  </si>
  <si>
    <t xml:space="preserve">0812900683105001</t>
  </si>
  <si>
    <t xml:space="preserve">SUNEL</t>
  </si>
  <si>
    <t xml:space="preserve">Sunel</t>
  </si>
  <si>
    <t xml:space="preserve">0812900683105065</t>
  </si>
  <si>
    <t xml:space="preserve">05.02.2024</t>
  </si>
  <si>
    <t xml:space="preserve">SUNWAS</t>
  </si>
  <si>
    <t xml:space="preserve">Sunwas</t>
  </si>
  <si>
    <t xml:space="preserve">0812900683105038</t>
  </si>
  <si>
    <t xml:space="preserve">17.12.2023</t>
  </si>
  <si>
    <t xml:space="preserve">Semli Bhawani</t>
  </si>
  <si>
    <t xml:space="preserve">0812900683105044</t>
  </si>
  <si>
    <t xml:space="preserve">26.01.2024</t>
  </si>
  <si>
    <t xml:space="preserve">0812900683105045</t>
  </si>
  <si>
    <t xml:space="preserve">Nandpura</t>
  </si>
  <si>
    <t xml:space="preserve">0812900683105011</t>
  </si>
  <si>
    <t xml:space="preserve">0812900683105031</t>
  </si>
  <si>
    <t xml:space="preserve">Kesarpura</t>
  </si>
  <si>
    <t xml:space="preserve">0812900683105059</t>
  </si>
  <si>
    <t xml:space="preserve">Kadar Nagar</t>
  </si>
  <si>
    <t xml:space="preserve">0812900683105060</t>
  </si>
  <si>
    <t xml:space="preserve">Pirawa (M)</t>
  </si>
  <si>
    <t xml:space="preserve">0812900683800621</t>
  </si>
  <si>
    <t xml:space="preserve">BHAWANI MANDI</t>
  </si>
  <si>
    <t xml:space="preserve">ALAWA</t>
  </si>
  <si>
    <t xml:space="preserve">Alawa</t>
  </si>
  <si>
    <t xml:space="preserve">29/09/22</t>
  </si>
  <si>
    <t xml:space="preserve">Naya ganv road</t>
  </si>
  <si>
    <t xml:space="preserve">Chor Kheri</t>
  </si>
  <si>
    <t xml:space="preserve">Alawa road wala charagah</t>
  </si>
  <si>
    <t xml:space="preserve">Kheta Khera</t>
  </si>
  <si>
    <t xml:space="preserve">sunel road wala charagah</t>
  </si>
  <si>
    <t xml:space="preserve">Semlibakta</t>
  </si>
  <si>
    <t xml:space="preserve">Guradiya Road wala charagah </t>
  </si>
  <si>
    <t xml:space="preserve">Chor khedi Road wala charagah</t>
  </si>
  <si>
    <t xml:space="preserve">ANK KHERI</t>
  </si>
  <si>
    <t xml:space="preserve">Nipaniya Road pr</t>
  </si>
  <si>
    <t xml:space="preserve">Ankh Khedi Road</t>
  </si>
  <si>
    <t xml:space="preserve">Nal Khadi</t>
  </si>
  <si>
    <t xml:space="preserve">Nal Khadi Road</t>
  </si>
  <si>
    <t xml:space="preserve">Harmatya</t>
  </si>
  <si>
    <t xml:space="preserve">Kali talai Road</t>
  </si>
  <si>
    <t xml:space="preserve">Nipaniya Hara</t>
  </si>
  <si>
    <t xml:space="preserve">Mishroli Raod pr</t>
  </si>
  <si>
    <t xml:space="preserve">ANWALI KALAN</t>
  </si>
  <si>
    <t xml:space="preserve">Gulya Kheri</t>
  </si>
  <si>
    <t xml:space="preserve">28/09/22</t>
  </si>
  <si>
    <t xml:space="preserve">Khatoth road wala charagah</t>
  </si>
  <si>
    <t xml:space="preserve">Anwali Kalan</t>
  </si>
  <si>
    <t xml:space="preserve">Sanskrit school ke samne</t>
  </si>
  <si>
    <t xml:space="preserve">Bakani Khurd</t>
  </si>
  <si>
    <t xml:space="preserve">Keta kheda road </t>
  </si>
  <si>
    <t xml:space="preserve">Anwali Khurd</t>
  </si>
  <si>
    <t xml:space="preserve">School ke samne</t>
  </si>
  <si>
    <t xml:space="preserve">AWAR</t>
  </si>
  <si>
    <t xml:space="preserve">Lar Khera</t>
  </si>
  <si>
    <t xml:space="preserve">30/09/2022</t>
  </si>
  <si>
    <t xml:space="preserve">van vibhag ke pass</t>
  </si>
  <si>
    <t xml:space="preserve">Awar</t>
  </si>
  <si>
    <t xml:space="preserve">Pirawa Road pr</t>
  </si>
  <si>
    <t xml:space="preserve">Main Road par</t>
  </si>
  <si>
    <t xml:space="preserve">Ganv Ke pass</t>
  </si>
  <si>
    <t xml:space="preserve">BHAISANI</t>
  </si>
  <si>
    <t xml:space="preserve">Mahuriya</t>
  </si>
  <si>
    <t xml:space="preserve">17/01/2023</t>
  </si>
  <si>
    <t xml:space="preserve">school ke pass</t>
  </si>
  <si>
    <t xml:space="preserve">Deliya Kheri</t>
  </si>
  <si>
    <t xml:space="preserve">bhaisani Road wala Charagah</t>
  </si>
  <si>
    <t xml:space="preserve">Lolra</t>
  </si>
  <si>
    <t xml:space="preserve">Mandir ke pass</t>
  </si>
  <si>
    <t xml:space="preserve">Akiya</t>
  </si>
  <si>
    <t xml:space="preserve">talai wala charagah</t>
  </si>
  <si>
    <t xml:space="preserve">Main road pr</t>
  </si>
  <si>
    <t xml:space="preserve">Arniya road wala </t>
  </si>
  <si>
    <t xml:space="preserve">BHILWARI</t>
  </si>
  <si>
    <t xml:space="preserve">Roonji</t>
  </si>
  <si>
    <t xml:space="preserve">bhilwari road pr</t>
  </si>
  <si>
    <t xml:space="preserve">Bhilwari</t>
  </si>
  <si>
    <t xml:space="preserve">main road pr</t>
  </si>
  <si>
    <t xml:space="preserve">Aroliya</t>
  </si>
  <si>
    <t xml:space="preserve">bardi ke pass</t>
  </si>
  <si>
    <t xml:space="preserve">Naharawad</t>
  </si>
  <si>
    <t xml:space="preserve">mandir ke pass</t>
  </si>
  <si>
    <t xml:space="preserve">GANESHPURA</t>
  </si>
  <si>
    <t xml:space="preserve">20/12/2022</t>
  </si>
  <si>
    <t xml:space="preserve">talab ke piche </t>
  </si>
  <si>
    <t xml:space="preserve">Road Ke Pass Wala Charagah</t>
  </si>
  <si>
    <t xml:space="preserve">Garnawad</t>
  </si>
  <si>
    <t xml:space="preserve">Khoriya</t>
  </si>
  <si>
    <t xml:space="preserve">Main road pr </t>
  </si>
  <si>
    <t xml:space="preserve">shamshan ke pass</t>
  </si>
  <si>
    <t xml:space="preserve">GHATOD</t>
  </si>
  <si>
    <t xml:space="preserve">Budhanpur</t>
  </si>
  <si>
    <t xml:space="preserve">30.09.2022</t>
  </si>
  <si>
    <t xml:space="preserve">Ghatod</t>
  </si>
  <si>
    <t xml:space="preserve">Menhadiya Kheri</t>
  </si>
  <si>
    <t xml:space="preserve">GURADIYA JOGA</t>
  </si>
  <si>
    <t xml:space="preserve">Deoriya</t>
  </si>
  <si>
    <t xml:space="preserve">Guradiya Joga</t>
  </si>
  <si>
    <t xml:space="preserve">Morda</t>
  </si>
  <si>
    <t xml:space="preserve">Charagah Vikas Karya   (DCCT)</t>
  </si>
  <si>
    <t xml:space="preserve">GURADIYA KALAN</t>
  </si>
  <si>
    <t xml:space="preserve">Panipura ka Harna</t>
  </si>
  <si>
    <t xml:space="preserve">Hatya Gaur</t>
  </si>
  <si>
    <t xml:space="preserve">Patel Ka khoyera</t>
  </si>
  <si>
    <t xml:space="preserve">Jajni</t>
  </si>
  <si>
    <t xml:space="preserve">Binnayaga</t>
  </si>
  <si>
    <t xml:space="preserve">Rauta Ki Taraf</t>
  </si>
  <si>
    <t xml:space="preserve">Guradiya Kalan</t>
  </si>
  <si>
    <t xml:space="preserve">Barli ka sarna</t>
  </si>
  <si>
    <t xml:space="preserve">Hodi ki guda</t>
  </si>
  <si>
    <t xml:space="preserve">GURADIYA MANA</t>
  </si>
  <si>
    <t xml:space="preserve">BHIMNAGAR</t>
  </si>
  <si>
    <t xml:space="preserve">Pani ki tanki ke pass</t>
  </si>
  <si>
    <t xml:space="preserve">Khoti</t>
  </si>
  <si>
    <t xml:space="preserve">MALI KHERA</t>
  </si>
  <si>
    <t xml:space="preserve">Guradiya Bharta</t>
  </si>
  <si>
    <t xml:space="preserve">Kanar Kheri</t>
  </si>
  <si>
    <t xml:space="preserve">Nirdhari</t>
  </si>
  <si>
    <t xml:space="preserve">Road ke pass</t>
  </si>
  <si>
    <t xml:space="preserve">Guradiya Mana</t>
  </si>
  <si>
    <t xml:space="preserve">Khel medan ke pass</t>
  </si>
  <si>
    <t xml:space="preserve">GURAH</t>
  </si>
  <si>
    <t xml:space="preserve">Banjaro Ka Kheda</t>
  </si>
  <si>
    <t xml:space="preserve">Kaleshwar mandir ke pass</t>
  </si>
  <si>
    <t xml:space="preserve">Tai Ka Kheda</t>
  </si>
  <si>
    <t xml:space="preserve">Guda road wala charagah</t>
  </si>
  <si>
    <t xml:space="preserve">Era Khera</t>
  </si>
  <si>
    <t xml:space="preserve">Main Road</t>
  </si>
  <si>
    <t xml:space="preserve">Eri</t>
  </si>
  <si>
    <t xml:space="preserve">Padasali</t>
  </si>
  <si>
    <t xml:space="preserve">shamshan ke paas</t>
  </si>
  <si>
    <t xml:space="preserve">Sangali</t>
  </si>
  <si>
    <t xml:space="preserve">Pachpahar road</t>
  </si>
  <si>
    <t xml:space="preserve">Sarkanya</t>
  </si>
  <si>
    <t xml:space="preserve">Main Road wala charagah</t>
  </si>
  <si>
    <t xml:space="preserve">Kothala</t>
  </si>
  <si>
    <t xml:space="preserve">Balaji mandir ke pass</t>
  </si>
  <si>
    <t xml:space="preserve">Khandar</t>
  </si>
  <si>
    <t xml:space="preserve">Railway patri ke samne</t>
  </si>
  <si>
    <t xml:space="preserve">Malakhera</t>
  </si>
  <si>
    <t xml:space="preserve">29.09.2022</t>
  </si>
  <si>
    <t xml:space="preserve">Charagah Vikas Karya   (deepcct)</t>
  </si>
  <si>
    <t xml:space="preserve">KARAWAN</t>
  </si>
  <si>
    <t xml:space="preserve">Karawan</t>
  </si>
  <si>
    <t xml:space="preserve">Mandir Ke pass</t>
  </si>
  <si>
    <t xml:space="preserve">MainRoadDAG</t>
  </si>
  <si>
    <t xml:space="preserve">Ganv ke Pass</t>
  </si>
  <si>
    <t xml:space="preserve">Nathoo Kheri</t>
  </si>
  <si>
    <t xml:space="preserve">Ganv ke bahar</t>
  </si>
  <si>
    <t xml:space="preserve">KHOKHARIYA KHURD</t>
  </si>
  <si>
    <t xml:space="preserve">Khokhariya Kalan</t>
  </si>
  <si>
    <t xml:space="preserve">Chhan Ka Khera</t>
  </si>
  <si>
    <t xml:space="preserve">Main road par</t>
  </si>
  <si>
    <t xml:space="preserve">Ghughwa</t>
  </si>
  <si>
    <t xml:space="preserve">Kholkheda ke raste pr</t>
  </si>
  <si>
    <t xml:space="preserve">Khol Kheri</t>
  </si>
  <si>
    <t xml:space="preserve">Bhagwati ji ke khet ke pass</t>
  </si>
  <si>
    <t xml:space="preserve">Aru Kheri</t>
  </si>
  <si>
    <t xml:space="preserve">Khokhariya Khurd</t>
  </si>
  <si>
    <t xml:space="preserve">School Ke pass</t>
  </si>
  <si>
    <t xml:space="preserve">Gangaliya Kheri</t>
  </si>
  <si>
    <t xml:space="preserve">Ramdev mandir ke piche</t>
  </si>
  <si>
    <t xml:space="preserve">KUNDI KHERA</t>
  </si>
  <si>
    <t xml:space="preserve">Bishaniya</t>
  </si>
  <si>
    <t xml:space="preserve">20.09.2022</t>
  </si>
  <si>
    <t xml:space="preserve">Kundi Khera</t>
  </si>
  <si>
    <t xml:space="preserve">Charnot</t>
  </si>
  <si>
    <t xml:space="preserve">Mandvi</t>
  </si>
  <si>
    <t xml:space="preserve">Semli Jassa</t>
  </si>
  <si>
    <t xml:space="preserve">Hatuniya</t>
  </si>
  <si>
    <t xml:space="preserve">MISHROLI</t>
  </si>
  <si>
    <t xml:space="preserve">Mishroli</t>
  </si>
  <si>
    <t xml:space="preserve">Annpurna Charagah</t>
  </si>
  <si>
    <t xml:space="preserve">Amliya</t>
  </si>
  <si>
    <t xml:space="preserve">MOGRA</t>
  </si>
  <si>
    <t xml:space="preserve">Kotra</t>
  </si>
  <si>
    <t xml:space="preserve">Jhijhniya road</t>
  </si>
  <si>
    <t xml:space="preserve">Moya Khera</t>
  </si>
  <si>
    <t xml:space="preserve">Mogra</t>
  </si>
  <si>
    <t xml:space="preserve">Akhdi ke raste</t>
  </si>
  <si>
    <t xml:space="preserve">NAHAR GHATTA</t>
  </si>
  <si>
    <t xml:space="preserve">Sagriya</t>
  </si>
  <si>
    <t xml:space="preserve">Nahargatta Road pr</t>
  </si>
  <si>
    <t xml:space="preserve">25.01.2023</t>
  </si>
  <si>
    <t xml:space="preserve">Nahar Ghatta</t>
  </si>
  <si>
    <t xml:space="preserve">Main road</t>
  </si>
  <si>
    <t xml:space="preserve">Jheejhani</t>
  </si>
  <si>
    <t xml:space="preserve">Sankdiya road wala Charagah</t>
  </si>
  <si>
    <t xml:space="preserve">Bhagwatipura</t>
  </si>
  <si>
    <t xml:space="preserve">Rajgarh</t>
  </si>
  <si>
    <t xml:space="preserve">Chandarpura Road Pr</t>
  </si>
  <si>
    <t xml:space="preserve">Badli wala Charagah</t>
  </si>
  <si>
    <t xml:space="preserve">NARAYAN KHERA</t>
  </si>
  <si>
    <t xml:space="preserve">Nipaniya Uda</t>
  </si>
  <si>
    <t xml:space="preserve">Narayan Khera</t>
  </si>
  <si>
    <t xml:space="preserve">Paliya Kheri</t>
  </si>
  <si>
    <t xml:space="preserve">PAGARIYA</t>
  </si>
  <si>
    <t xml:space="preserve">30.04.2026</t>
  </si>
  <si>
    <t xml:space="preserve">Payra</t>
  </si>
  <si>
    <t xml:space="preserve">Bheemni</t>
  </si>
  <si>
    <t xml:space="preserve">PEEPLIYA</t>
  </si>
  <si>
    <t xml:space="preserve">Peepliya</t>
  </si>
  <si>
    <t xml:space="preserve">Shamiyan</t>
  </si>
  <si>
    <t xml:space="preserve">SAROD</t>
  </si>
  <si>
    <t xml:space="preserve">Bajpura</t>
  </si>
  <si>
    <t xml:space="preserve">sarod ke raste</t>
  </si>
  <si>
    <t xml:space="preserve">Sarod</t>
  </si>
  <si>
    <t xml:space="preserve">barli wala charagah</t>
  </si>
  <si>
    <t xml:space="preserve">Charagah Vikas Karya   (deep cct)</t>
  </si>
  <si>
    <t xml:space="preserve">ranayara ke raste</t>
  </si>
  <si>
    <t xml:space="preserve">SHRI CHHATRAPUR</t>
  </si>
  <si>
    <t xml:space="preserve">Khejriya Khal</t>
  </si>
  <si>
    <t xml:space="preserve">2.10.2022</t>
  </si>
  <si>
    <t xml:space="preserve">Amliya Kheri</t>
  </si>
  <si>
    <t xml:space="preserve">Shri Chhatrapur</t>
  </si>
  <si>
    <t xml:space="preserve">Kaliyakheri</t>
  </si>
  <si>
    <t xml:space="preserve">Khod</t>
  </si>
  <si>
    <t xml:space="preserve">SILEHGARH</t>
  </si>
  <si>
    <t xml:space="preserve">Silehgarh</t>
  </si>
  <si>
    <t xml:space="preserve">Khadya Godam Ke Pass</t>
  </si>
  <si>
    <t xml:space="preserve">Kochariya Kheri</t>
  </si>
  <si>
    <t xml:space="preserve">Marlawada</t>
  </si>
  <si>
    <t xml:space="preserve">Sargas maharaj Ke pass</t>
  </si>
  <si>
    <t xml:space="preserve">Grampanchayatkepass</t>
  </si>
  <si>
    <t xml:space="preserve">Dev maharaj ke Pas</t>
  </si>
  <si>
    <t xml:space="preserve">Singh Pur</t>
  </si>
  <si>
    <t xml:space="preserve">Bani</t>
  </si>
  <si>
    <t xml:space="preserve">singh pur road</t>
  </si>
  <si>
    <t xml:space="preserve">SOOLIYA</t>
  </si>
  <si>
    <t xml:space="preserve">Sooliya</t>
  </si>
  <si>
    <t xml:space="preserve">05.09.2023</t>
  </si>
  <si>
    <t xml:space="preserve">Gangpura</t>
  </si>
  <si>
    <t xml:space="preserve">THEEKARIYA</t>
  </si>
  <si>
    <t xml:space="preserve">Vistuniya</t>
  </si>
  <si>
    <t xml:space="preserve">20/07/22</t>
  </si>
  <si>
    <t xml:space="preserve">bistuniya road wala charagah</t>
  </si>
  <si>
    <t xml:space="preserve">Toongani</t>
  </si>
  <si>
    <t xml:space="preserve">Guradiya Khurd</t>
  </si>
  <si>
    <t xml:space="preserve">Dev narayan mandir ke pass</t>
  </si>
  <si>
    <t xml:space="preserve">Jalni</t>
  </si>
  <si>
    <t xml:space="preserve">Mandir ke pass </t>
  </si>
  <si>
    <t xml:space="preserve">Shiv Mandir ke pass</t>
  </si>
  <si>
    <t xml:space="preserve">Meghwalo Ka kheda</t>
  </si>
  <si>
    <t xml:space="preserve">Charagah Vikas Karya   (Cct nirman 300 rm bani)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</si>
</sst>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mm/yy"/>
    <numFmt numFmtId="167" formatCode="0.00000"/>
    <numFmt numFmtId="168" formatCode="#,##0"/>
    <numFmt numFmtId="169" formatCode="General"/>
    <numFmt numFmtId="170" formatCode="0"/>
  </numFmts>
  <fonts count="2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2060"/>
      <name val="Calibri"/>
      <family val="2"/>
      <charset val="1"/>
    </font>
    <font>
      <sz val="11"/>
      <color rgb="FF00206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name val="Calibri"/>
      <family val="2"/>
      <charset val="1"/>
    </font>
    <font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rgb="FF212529"/>
      <name val="Segoe UI"/>
      <family val="2"/>
      <charset val="1"/>
    </font>
    <font>
      <sz val="10"/>
      <color rgb="FF212529"/>
      <name val="Segoe UI"/>
      <family val="2"/>
      <charset val="1"/>
    </font>
    <font>
      <sz val="10"/>
      <color rgb="FF000000"/>
      <name val="Calibri"/>
      <family val="2"/>
      <charset val="1"/>
    </font>
    <font>
      <sz val="12"/>
      <color rgb="FF212529"/>
      <name val="Segoe UI"/>
      <family val="2"/>
      <charset val="1"/>
    </font>
    <font>
      <sz val="16"/>
      <color rgb="FF000000"/>
      <name val="Times New Roman"/>
      <family val="1"/>
      <charset val="1"/>
    </font>
    <font>
      <sz val="9"/>
      <color rgb="FF000000"/>
      <name val="Verdana"/>
      <family val="2"/>
      <charset val="1"/>
    </font>
    <font>
      <b val="true"/>
      <sz val="10"/>
      <name val="Tahoma"/>
      <family val="2"/>
      <charset val="1"/>
    </font>
    <font>
      <b val="true"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Tahoma"/>
      <family val="2"/>
      <charset val="1"/>
    </font>
    <font>
      <sz val="12"/>
      <name val="Calibri"/>
      <family val="2"/>
      <charset val="1"/>
    </font>
    <font>
      <sz val="12"/>
      <color rgb="FF00206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4"/>
      <color rgb="FF000000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C6D9F1"/>
      </patternFill>
    </fill>
    <fill>
      <patternFill patternType="solid">
        <fgColor rgb="FFC6D9F1"/>
        <bgColor rgb="FFB7DEE8"/>
      </patternFill>
    </fill>
    <fill>
      <patternFill patternType="solid">
        <fgColor rgb="FFD99694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EEECE1"/>
        <bgColor rgb="FFFFFFFF"/>
      </patternFill>
    </fill>
    <fill>
      <patternFill patternType="solid">
        <fgColor rgb="FFFABF8F"/>
        <bgColor rgb="FFFF99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</cellStyles>
  <dxfs count="216"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ABF8F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44"/>
  <sheetViews>
    <sheetView showFormulas="false" showGridLines="true" showRowColHeaders="true" showZeros="true" rightToLeft="false" tabSelected="true" showOutlineSymbols="true" defaultGridColor="true" view="normal" topLeftCell="A2" colorId="64" zoomScale="90" zoomScaleNormal="90" zoomScalePageLayoutView="100" workbookViewId="0">
      <pane xSplit="4" ySplit="2" topLeftCell="E4" activePane="bottomRight" state="frozen"/>
      <selection pane="topLeft" activeCell="A2" activeCellId="0" sqref="A2"/>
      <selection pane="topRight" activeCell="E2" activeCellId="0" sqref="E2"/>
      <selection pane="bottomLeft" activeCell="A4" activeCellId="0" sqref="A4"/>
      <selection pane="bottomRight" activeCell="L51" activeCellId="0" sqref="L51"/>
    </sheetView>
  </sheetViews>
  <sheetFormatPr defaultColWidth="8.859375" defaultRowHeight="15" zeroHeight="false" outlineLevelRow="0" outlineLevelCol="0"/>
  <cols>
    <col collapsed="false" customWidth="false" hidden="false" outlineLevel="0" max="2" min="1" style="1" width="8.85"/>
    <col collapsed="false" customWidth="true" hidden="false" outlineLevel="0" max="3" min="3" style="1" width="14.85"/>
    <col collapsed="false" customWidth="true" hidden="false" outlineLevel="0" max="4" min="4" style="1" width="26.42"/>
    <col collapsed="false" customWidth="false" hidden="false" outlineLevel="0" max="14" min="5" style="1" width="8.85"/>
    <col collapsed="false" customWidth="true" hidden="false" outlineLevel="0" max="15" min="15" style="1" width="14.57"/>
    <col collapsed="false" customWidth="false" hidden="false" outlineLevel="0" max="16" min="16" style="1" width="8.85"/>
    <col collapsed="false" customWidth="true" hidden="false" outlineLevel="0" max="17" min="17" style="1" width="13"/>
    <col collapsed="false" customWidth="true" hidden="false" outlineLevel="0" max="18" min="18" style="1" width="13.71"/>
    <col collapsed="false" customWidth="true" hidden="false" outlineLevel="0" max="19" min="19" style="1" width="15.28"/>
    <col collapsed="false" customWidth="true" hidden="false" outlineLevel="0" max="20" min="20" style="1" width="23.43"/>
    <col collapsed="false" customWidth="true" hidden="false" outlineLevel="0" max="21" min="21" style="1" width="14.43"/>
    <col collapsed="false" customWidth="true" hidden="false" outlineLevel="0" max="22" min="22" style="1" width="13.57"/>
    <col collapsed="false" customWidth="true" hidden="false" outlineLevel="0" max="23" min="23" style="1" width="12.71"/>
    <col collapsed="false" customWidth="true" hidden="false" outlineLevel="0" max="24" min="24" style="1" width="17"/>
    <col collapsed="false" customWidth="true" hidden="false" outlineLevel="0" max="25" min="25" style="1" width="17.57"/>
    <col collapsed="false" customWidth="true" hidden="false" outlineLevel="0" max="26" min="26" style="1" width="16"/>
    <col collapsed="false" customWidth="true" hidden="false" outlineLevel="0" max="27" min="27" style="1" width="16.85"/>
    <col collapsed="false" customWidth="true" hidden="false" outlineLevel="0" max="28" min="28" style="1" width="17.28"/>
    <col collapsed="false" customWidth="true" hidden="false" outlineLevel="0" max="29" min="29" style="1" width="20.43"/>
    <col collapsed="false" customWidth="true" hidden="false" outlineLevel="0" max="30" min="30" style="1" width="11.57"/>
    <col collapsed="false" customWidth="true" hidden="false" outlineLevel="0" max="31" min="31" style="1" width="11.28"/>
    <col collapsed="false" customWidth="false" hidden="false" outlineLevel="0" max="1024" min="32" style="1" width="8.85"/>
  </cols>
  <sheetData>
    <row r="1" s="5" customFormat="true" ht="15" hidden="true" customHeight="false" outlineLevel="0" collapsed="false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0</v>
      </c>
      <c r="R1" s="4" t="s">
        <v>0</v>
      </c>
      <c r="S1" s="4" t="s">
        <v>0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</row>
    <row r="2" s="9" customFormat="true" ht="75" hidden="false" customHeight="true" outlineLevel="0" collapsed="false">
      <c r="A2" s="6" t="s">
        <v>3</v>
      </c>
      <c r="B2" s="6" t="s">
        <v>4</v>
      </c>
      <c r="C2" s="6" t="s">
        <v>5</v>
      </c>
      <c r="D2" s="7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/>
      <c r="M2" s="6" t="s">
        <v>14</v>
      </c>
      <c r="N2" s="6"/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8" t="s">
        <v>20</v>
      </c>
      <c r="U2" s="6" t="s">
        <v>21</v>
      </c>
      <c r="V2" s="8" t="s">
        <v>22</v>
      </c>
      <c r="W2" s="6" t="s">
        <v>23</v>
      </c>
      <c r="X2" s="6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/>
    </row>
    <row r="3" s="9" customFormat="true" ht="22.15" hidden="false" customHeight="true" outlineLevel="0" collapsed="false">
      <c r="A3" s="6"/>
      <c r="B3" s="6"/>
      <c r="C3" s="6"/>
      <c r="D3" s="7"/>
      <c r="E3" s="6"/>
      <c r="F3" s="6" t="s">
        <v>31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33</v>
      </c>
      <c r="M3" s="6"/>
      <c r="N3" s="6" t="s">
        <v>33</v>
      </c>
      <c r="O3" s="6" t="s">
        <v>31</v>
      </c>
      <c r="P3" s="6" t="s">
        <v>31</v>
      </c>
      <c r="Q3" s="6" t="s">
        <v>34</v>
      </c>
      <c r="R3" s="6" t="s">
        <v>35</v>
      </c>
      <c r="S3" s="6" t="s">
        <v>31</v>
      </c>
      <c r="T3" s="8" t="s">
        <v>31</v>
      </c>
      <c r="U3" s="6" t="s">
        <v>34</v>
      </c>
      <c r="V3" s="6" t="s">
        <v>34</v>
      </c>
      <c r="W3" s="8" t="s">
        <v>34</v>
      </c>
      <c r="X3" s="8" t="s">
        <v>34</v>
      </c>
      <c r="Y3" s="8" t="s">
        <v>31</v>
      </c>
      <c r="Z3" s="8" t="s">
        <v>34</v>
      </c>
      <c r="AA3" s="8" t="s">
        <v>34</v>
      </c>
      <c r="AB3" s="8" t="s">
        <v>31</v>
      </c>
      <c r="AC3" s="6" t="s">
        <v>36</v>
      </c>
      <c r="AD3" s="8" t="s">
        <v>37</v>
      </c>
      <c r="AE3" s="8" t="s">
        <v>38</v>
      </c>
    </row>
    <row r="4" s="13" customFormat="true" ht="15" hidden="false" customHeight="false" outlineLevel="0" collapsed="false">
      <c r="A4" s="10" t="s">
        <v>39</v>
      </c>
      <c r="B4" s="10" t="s">
        <v>40</v>
      </c>
      <c r="C4" s="11" t="s">
        <v>41</v>
      </c>
      <c r="D4" s="10" t="s">
        <v>42</v>
      </c>
      <c r="E4" s="10" t="n">
        <v>104413</v>
      </c>
      <c r="F4" s="10" t="n">
        <v>650.94</v>
      </c>
      <c r="G4" s="10" t="n">
        <v>472</v>
      </c>
      <c r="H4" s="10" t="n">
        <v>2167</v>
      </c>
      <c r="I4" s="10" t="n">
        <v>1106</v>
      </c>
      <c r="J4" s="10" t="n">
        <v>1061</v>
      </c>
      <c r="K4" s="10" t="n">
        <v>129</v>
      </c>
      <c r="L4" s="10" t="n">
        <f aca="false">K4*100/H4</f>
        <v>5.95293031841255</v>
      </c>
      <c r="M4" s="10" t="n">
        <v>1582</v>
      </c>
      <c r="N4" s="10" t="n">
        <f aca="false">M4*100/H4</f>
        <v>73.0041532071989</v>
      </c>
      <c r="O4" s="10" t="n">
        <v>14.14</v>
      </c>
      <c r="P4" s="10" t="n">
        <v>87.05</v>
      </c>
      <c r="Q4" s="12" t="s">
        <v>43</v>
      </c>
      <c r="R4" s="12" t="s">
        <v>44</v>
      </c>
      <c r="S4" s="10"/>
      <c r="T4" s="12" t="n">
        <v>16.0498</v>
      </c>
      <c r="U4" s="10"/>
      <c r="V4" s="10"/>
      <c r="W4" s="10"/>
      <c r="X4" s="10"/>
      <c r="Y4" s="10"/>
      <c r="Z4" s="10"/>
      <c r="AA4" s="12" t="s">
        <v>45</v>
      </c>
      <c r="AB4" s="12" t="n">
        <v>5</v>
      </c>
      <c r="AC4" s="12"/>
      <c r="AD4" s="12" t="n">
        <v>24.417095</v>
      </c>
      <c r="AE4" s="12" t="n">
        <v>76.430847</v>
      </c>
    </row>
    <row r="5" s="13" customFormat="true" ht="15" hidden="false" customHeight="false" outlineLevel="0" collapsed="false">
      <c r="A5" s="10" t="s">
        <v>39</v>
      </c>
      <c r="B5" s="10" t="s">
        <v>40</v>
      </c>
      <c r="C5" s="11" t="s">
        <v>41</v>
      </c>
      <c r="D5" s="10" t="s">
        <v>46</v>
      </c>
      <c r="E5" s="10" t="n">
        <v>104425</v>
      </c>
      <c r="F5" s="10" t="n">
        <v>281.52</v>
      </c>
      <c r="G5" s="10" t="n">
        <v>192</v>
      </c>
      <c r="H5" s="10" t="n">
        <v>887</v>
      </c>
      <c r="I5" s="10" t="n">
        <v>466</v>
      </c>
      <c r="J5" s="10" t="n">
        <v>421</v>
      </c>
      <c r="K5" s="10" t="n">
        <v>38</v>
      </c>
      <c r="L5" s="10" t="n">
        <f aca="false">K5*100/H5</f>
        <v>4.28410372040586</v>
      </c>
      <c r="M5" s="10" t="n">
        <v>557</v>
      </c>
      <c r="N5" s="10" t="n">
        <f aca="false">M5*100/H5</f>
        <v>62.7959413754228</v>
      </c>
      <c r="O5" s="10" t="n">
        <v>24.78</v>
      </c>
      <c r="P5" s="10" t="n">
        <v>46.92</v>
      </c>
      <c r="Q5" s="12" t="s">
        <v>43</v>
      </c>
      <c r="R5" s="12" t="s">
        <v>44</v>
      </c>
      <c r="S5" s="10"/>
      <c r="T5" s="12" t="n">
        <v>29.5985</v>
      </c>
      <c r="U5" s="10"/>
      <c r="V5" s="10"/>
      <c r="W5" s="10"/>
      <c r="X5" s="10"/>
      <c r="Y5" s="10"/>
      <c r="Z5" s="10"/>
      <c r="AA5" s="12" t="s">
        <v>47</v>
      </c>
      <c r="AB5" s="12"/>
      <c r="AC5" s="12"/>
      <c r="AD5" s="12"/>
      <c r="AE5" s="12"/>
    </row>
    <row r="6" s="13" customFormat="true" ht="15" hidden="false" customHeight="false" outlineLevel="0" collapsed="false">
      <c r="A6" s="10" t="s">
        <v>39</v>
      </c>
      <c r="B6" s="10" t="s">
        <v>40</v>
      </c>
      <c r="C6" s="11" t="s">
        <v>41</v>
      </c>
      <c r="D6" s="10" t="s">
        <v>48</v>
      </c>
      <c r="E6" s="10" t="n">
        <v>104428</v>
      </c>
      <c r="F6" s="10" t="n">
        <v>176.26</v>
      </c>
      <c r="G6" s="10" t="n">
        <v>185</v>
      </c>
      <c r="H6" s="10" t="n">
        <v>929</v>
      </c>
      <c r="I6" s="10" t="n">
        <v>483</v>
      </c>
      <c r="J6" s="10" t="n">
        <v>446</v>
      </c>
      <c r="K6" s="10" t="n">
        <v>145</v>
      </c>
      <c r="L6" s="10" t="n">
        <f aca="false">K6*100/H6</f>
        <v>15.6081808396125</v>
      </c>
      <c r="M6" s="10" t="n">
        <v>272</v>
      </c>
      <c r="N6" s="10" t="n">
        <f aca="false">M6*100/H6</f>
        <v>29.2787944025834</v>
      </c>
      <c r="O6" s="10" t="n">
        <v>24.68</v>
      </c>
      <c r="P6" s="10" t="n">
        <v>7.5</v>
      </c>
      <c r="Q6" s="12" t="s">
        <v>43</v>
      </c>
      <c r="R6" s="12" t="s">
        <v>44</v>
      </c>
      <c r="S6" s="10"/>
      <c r="T6" s="12" t="n">
        <v>26.9927</v>
      </c>
      <c r="U6" s="10"/>
      <c r="V6" s="10" t="s">
        <v>49</v>
      </c>
      <c r="W6" s="10"/>
      <c r="X6" s="10"/>
      <c r="Y6" s="10"/>
      <c r="Z6" s="10"/>
      <c r="AA6" s="12" t="s">
        <v>45</v>
      </c>
      <c r="AB6" s="12" t="n">
        <v>15</v>
      </c>
      <c r="AC6" s="12"/>
      <c r="AD6" s="12" t="n">
        <v>24.417537</v>
      </c>
      <c r="AE6" s="12" t="n">
        <v>76.47114</v>
      </c>
    </row>
    <row r="7" s="13" customFormat="true" ht="15" hidden="false" customHeight="false" outlineLevel="0" collapsed="false">
      <c r="A7" s="10" t="s">
        <v>39</v>
      </c>
      <c r="B7" s="10" t="s">
        <v>40</v>
      </c>
      <c r="C7" s="11" t="s">
        <v>41</v>
      </c>
      <c r="D7" s="10" t="s">
        <v>50</v>
      </c>
      <c r="E7" s="10" t="n">
        <v>104427</v>
      </c>
      <c r="F7" s="10" t="n">
        <v>255.63</v>
      </c>
      <c r="G7" s="10" t="n">
        <v>71</v>
      </c>
      <c r="H7" s="10" t="n">
        <v>352</v>
      </c>
      <c r="I7" s="10" t="n">
        <v>177</v>
      </c>
      <c r="J7" s="10" t="n">
        <v>175</v>
      </c>
      <c r="K7" s="10" t="n">
        <v>0</v>
      </c>
      <c r="L7" s="10" t="n">
        <f aca="false">K7*100/H7</f>
        <v>0</v>
      </c>
      <c r="M7" s="10" t="n">
        <v>343</v>
      </c>
      <c r="N7" s="10" t="n">
        <f aca="false">M7*100/H7</f>
        <v>97.4431818181818</v>
      </c>
      <c r="O7" s="10" t="n">
        <v>24.58</v>
      </c>
      <c r="P7" s="10" t="n">
        <v>167.25</v>
      </c>
      <c r="Q7" s="12" t="s">
        <v>43</v>
      </c>
      <c r="R7" s="12" t="s">
        <v>44</v>
      </c>
      <c r="S7" s="10"/>
      <c r="T7" s="14"/>
      <c r="U7" s="10"/>
      <c r="V7" s="10"/>
      <c r="W7" s="10"/>
      <c r="X7" s="10"/>
      <c r="Y7" s="10"/>
      <c r="Z7" s="10"/>
      <c r="AA7" s="12"/>
      <c r="AB7" s="12"/>
      <c r="AC7" s="12"/>
      <c r="AD7" s="12"/>
      <c r="AE7" s="12"/>
    </row>
    <row r="8" s="13" customFormat="true" ht="15" hidden="false" customHeight="false" outlineLevel="0" collapsed="false">
      <c r="A8" s="10" t="s">
        <v>39</v>
      </c>
      <c r="B8" s="10" t="s">
        <v>40</v>
      </c>
      <c r="C8" s="11" t="s">
        <v>41</v>
      </c>
      <c r="D8" s="10" t="s">
        <v>51</v>
      </c>
      <c r="E8" s="10" t="n">
        <v>104479</v>
      </c>
      <c r="F8" s="10" t="n">
        <v>186.82</v>
      </c>
      <c r="G8" s="10" t="n">
        <v>100</v>
      </c>
      <c r="H8" s="10" t="n">
        <v>474</v>
      </c>
      <c r="I8" s="10" t="n">
        <v>228</v>
      </c>
      <c r="J8" s="10" t="n">
        <v>246</v>
      </c>
      <c r="K8" s="10" t="n">
        <v>131</v>
      </c>
      <c r="L8" s="10" t="n">
        <f aca="false">K8*100/H8</f>
        <v>27.6371308016878</v>
      </c>
      <c r="M8" s="10" t="n">
        <v>178</v>
      </c>
      <c r="N8" s="10" t="n">
        <f aca="false">M8*100/H8</f>
        <v>37.5527426160338</v>
      </c>
      <c r="O8" s="10" t="n">
        <v>15.44</v>
      </c>
      <c r="P8" s="10" t="n">
        <v>140.11</v>
      </c>
      <c r="Q8" s="12" t="s">
        <v>43</v>
      </c>
      <c r="R8" s="12" t="s">
        <v>44</v>
      </c>
      <c r="S8" s="10"/>
      <c r="T8" s="12" t="n">
        <v>42.3787</v>
      </c>
      <c r="U8" s="10"/>
      <c r="V8" s="10"/>
      <c r="W8" s="10"/>
      <c r="X8" s="10"/>
      <c r="Y8" s="10"/>
      <c r="Z8" s="10"/>
      <c r="AA8" s="12" t="s">
        <v>47</v>
      </c>
      <c r="AB8" s="12"/>
      <c r="AC8" s="12"/>
      <c r="AD8" s="12"/>
      <c r="AE8" s="12"/>
    </row>
    <row r="9" s="13" customFormat="true" ht="15" hidden="false" customHeight="false" outlineLevel="0" collapsed="false">
      <c r="A9" s="10" t="s">
        <v>39</v>
      </c>
      <c r="B9" s="10" t="s">
        <v>40</v>
      </c>
      <c r="C9" s="11" t="s">
        <v>41</v>
      </c>
      <c r="D9" s="10" t="s">
        <v>52</v>
      </c>
      <c r="E9" s="10" t="n">
        <v>104520</v>
      </c>
      <c r="F9" s="10" t="n">
        <v>386.92</v>
      </c>
      <c r="G9" s="10" t="n">
        <v>26</v>
      </c>
      <c r="H9" s="10" t="n">
        <v>106</v>
      </c>
      <c r="I9" s="10" t="n">
        <v>52</v>
      </c>
      <c r="J9" s="10" t="n">
        <v>54</v>
      </c>
      <c r="K9" s="10" t="n">
        <v>5</v>
      </c>
      <c r="L9" s="10" t="n">
        <f aca="false">K9*100/H9</f>
        <v>4.71698113207547</v>
      </c>
      <c r="M9" s="10" t="n">
        <v>0</v>
      </c>
      <c r="N9" s="10" t="n">
        <f aca="false">M9*100/H9</f>
        <v>0</v>
      </c>
      <c r="O9" s="10" t="n">
        <v>15.54</v>
      </c>
      <c r="P9" s="10" t="n">
        <v>278.94</v>
      </c>
      <c r="Q9" s="12" t="s">
        <v>43</v>
      </c>
      <c r="R9" s="12" t="s">
        <v>44</v>
      </c>
      <c r="S9" s="10"/>
      <c r="T9" s="12" t="n">
        <v>27.5021</v>
      </c>
      <c r="U9" s="10"/>
      <c r="V9" s="10"/>
      <c r="W9" s="10"/>
      <c r="X9" s="10"/>
      <c r="Y9" s="10"/>
      <c r="Z9" s="10"/>
      <c r="AA9" s="12" t="s">
        <v>47</v>
      </c>
      <c r="AB9" s="12"/>
      <c r="AC9" s="12"/>
      <c r="AD9" s="12"/>
      <c r="AE9" s="12"/>
    </row>
    <row r="10" s="13" customFormat="true" ht="15" hidden="false" customHeight="false" outlineLevel="0" collapsed="false">
      <c r="A10" s="10" t="s">
        <v>39</v>
      </c>
      <c r="B10" s="10" t="s">
        <v>40</v>
      </c>
      <c r="C10" s="11" t="s">
        <v>41</v>
      </c>
      <c r="D10" s="10" t="s">
        <v>53</v>
      </c>
      <c r="E10" s="10" t="n">
        <v>104416</v>
      </c>
      <c r="F10" s="10" t="n">
        <v>441.43</v>
      </c>
      <c r="G10" s="10" t="n">
        <v>1</v>
      </c>
      <c r="H10" s="10" t="n">
        <v>5</v>
      </c>
      <c r="I10" s="10" t="n">
        <v>3</v>
      </c>
      <c r="J10" s="10" t="n">
        <v>2</v>
      </c>
      <c r="K10" s="10" t="n">
        <v>0</v>
      </c>
      <c r="L10" s="10" t="n">
        <f aca="false">K10*100/H10</f>
        <v>0</v>
      </c>
      <c r="M10" s="10" t="n">
        <v>0</v>
      </c>
      <c r="N10" s="10" t="n">
        <f aca="false">M10*100/H10</f>
        <v>0</v>
      </c>
      <c r="O10" s="10" t="n">
        <v>16.47</v>
      </c>
      <c r="P10" s="10" t="n">
        <v>404.85</v>
      </c>
      <c r="Q10" s="12" t="s">
        <v>43</v>
      </c>
      <c r="R10" s="12" t="s">
        <v>44</v>
      </c>
      <c r="S10" s="10"/>
      <c r="T10" s="12" t="n">
        <v>20.477</v>
      </c>
      <c r="U10" s="10"/>
      <c r="V10" s="10"/>
      <c r="W10" s="10"/>
      <c r="X10" s="10"/>
      <c r="Y10" s="10"/>
      <c r="Z10" s="10"/>
      <c r="AA10" s="12" t="s">
        <v>47</v>
      </c>
      <c r="AB10" s="12"/>
      <c r="AC10" s="12"/>
      <c r="AD10" s="12"/>
      <c r="AE10" s="12"/>
    </row>
    <row r="11" s="13" customFormat="true" ht="15" hidden="false" customHeight="false" outlineLevel="0" collapsed="false">
      <c r="A11" s="10" t="s">
        <v>39</v>
      </c>
      <c r="B11" s="10" t="s">
        <v>40</v>
      </c>
      <c r="C11" s="11" t="s">
        <v>41</v>
      </c>
      <c r="D11" s="10" t="s">
        <v>54</v>
      </c>
      <c r="E11" s="10" t="n">
        <v>104415</v>
      </c>
      <c r="F11" s="10" t="n">
        <v>383.12</v>
      </c>
      <c r="G11" s="10" t="n">
        <v>129</v>
      </c>
      <c r="H11" s="10" t="n">
        <v>467</v>
      </c>
      <c r="I11" s="10" t="n">
        <v>230</v>
      </c>
      <c r="J11" s="10" t="n">
        <v>237</v>
      </c>
      <c r="K11" s="10" t="n">
        <v>8</v>
      </c>
      <c r="L11" s="10" t="n">
        <f aca="false">K11*100/H11</f>
        <v>1.71306209850107</v>
      </c>
      <c r="M11" s="10" t="n">
        <v>0</v>
      </c>
      <c r="N11" s="10" t="n">
        <f aca="false">M11*100/H11</f>
        <v>0</v>
      </c>
      <c r="O11" s="10" t="n">
        <v>26.74</v>
      </c>
      <c r="P11" s="10" t="n">
        <v>250.07</v>
      </c>
      <c r="Q11" s="12" t="s">
        <v>43</v>
      </c>
      <c r="R11" s="12" t="s">
        <v>44</v>
      </c>
      <c r="S11" s="10"/>
      <c r="T11" s="12" t="n">
        <v>33.6859</v>
      </c>
      <c r="U11" s="10"/>
      <c r="V11" s="10"/>
      <c r="W11" s="10"/>
      <c r="X11" s="10"/>
      <c r="Y11" s="10"/>
      <c r="Z11" s="10"/>
      <c r="AA11" s="12" t="s">
        <v>47</v>
      </c>
      <c r="AB11" s="12"/>
      <c r="AC11" s="12"/>
      <c r="AD11" s="12"/>
      <c r="AE11" s="12"/>
    </row>
    <row r="12" s="13" customFormat="true" ht="15" hidden="false" customHeight="false" outlineLevel="0" collapsed="false">
      <c r="A12" s="10" t="s">
        <v>39</v>
      </c>
      <c r="B12" s="10" t="s">
        <v>40</v>
      </c>
      <c r="C12" s="11" t="s">
        <v>55</v>
      </c>
      <c r="D12" s="10" t="s">
        <v>56</v>
      </c>
      <c r="E12" s="10" t="n">
        <v>104505</v>
      </c>
      <c r="F12" s="10" t="n">
        <v>318.46</v>
      </c>
      <c r="G12" s="10" t="n">
        <v>282</v>
      </c>
      <c r="H12" s="10" t="n">
        <v>1264</v>
      </c>
      <c r="I12" s="10" t="n">
        <v>668</v>
      </c>
      <c r="J12" s="10" t="n">
        <v>596</v>
      </c>
      <c r="K12" s="10" t="n">
        <v>143</v>
      </c>
      <c r="L12" s="10" t="n">
        <f aca="false">K12*100/H12</f>
        <v>11.3132911392405</v>
      </c>
      <c r="M12" s="10" t="n">
        <v>903</v>
      </c>
      <c r="N12" s="10" t="n">
        <f aca="false">M12*100/H12</f>
        <v>71.4398734177215</v>
      </c>
      <c r="O12" s="10" t="n">
        <v>31.94</v>
      </c>
      <c r="P12" s="10" t="n">
        <v>23.07</v>
      </c>
      <c r="Q12" s="12" t="s">
        <v>49</v>
      </c>
      <c r="R12" s="14" t="s">
        <v>57</v>
      </c>
      <c r="S12" s="10"/>
      <c r="T12" s="12" t="n">
        <v>33.1598</v>
      </c>
      <c r="U12" s="10"/>
      <c r="V12" s="10"/>
      <c r="W12" s="10"/>
      <c r="X12" s="10"/>
      <c r="Y12" s="10"/>
      <c r="Z12" s="10"/>
      <c r="AA12" s="12" t="s">
        <v>47</v>
      </c>
      <c r="AB12" s="12"/>
      <c r="AC12" s="12"/>
      <c r="AD12" s="12"/>
      <c r="AE12" s="12"/>
    </row>
    <row r="13" s="13" customFormat="true" ht="15" hidden="false" customHeight="false" outlineLevel="0" collapsed="false">
      <c r="A13" s="10" t="s">
        <v>39</v>
      </c>
      <c r="B13" s="10" t="s">
        <v>40</v>
      </c>
      <c r="C13" s="11" t="s">
        <v>55</v>
      </c>
      <c r="D13" s="10" t="s">
        <v>58</v>
      </c>
      <c r="E13" s="10" t="n">
        <v>104504</v>
      </c>
      <c r="F13" s="10" t="n">
        <v>692</v>
      </c>
      <c r="G13" s="10" t="n">
        <v>89</v>
      </c>
      <c r="H13" s="10" t="n">
        <v>448</v>
      </c>
      <c r="I13" s="10" t="n">
        <v>219</v>
      </c>
      <c r="J13" s="10" t="n">
        <v>229</v>
      </c>
      <c r="K13" s="10" t="n">
        <v>0</v>
      </c>
      <c r="L13" s="10" t="n">
        <f aca="false">K13*100/H13</f>
        <v>0</v>
      </c>
      <c r="M13" s="10" t="n">
        <v>342</v>
      </c>
      <c r="N13" s="10" t="n">
        <f aca="false">M13*100/H13</f>
        <v>76.3392857142857</v>
      </c>
      <c r="O13" s="10" t="n">
        <v>0</v>
      </c>
      <c r="P13" s="10" t="n">
        <v>589</v>
      </c>
      <c r="Q13" s="12" t="s">
        <v>49</v>
      </c>
      <c r="R13" s="14" t="s">
        <v>57</v>
      </c>
      <c r="S13" s="10"/>
      <c r="T13" s="12" t="n">
        <v>10.1981</v>
      </c>
      <c r="U13" s="10"/>
      <c r="V13" s="10"/>
      <c r="W13" s="10"/>
      <c r="X13" s="10"/>
      <c r="Y13" s="10"/>
      <c r="Z13" s="10"/>
      <c r="AA13" s="12" t="s">
        <v>47</v>
      </c>
      <c r="AB13" s="12"/>
      <c r="AC13" s="12"/>
      <c r="AD13" s="12"/>
      <c r="AE13" s="12"/>
    </row>
    <row r="14" s="13" customFormat="true" ht="15" hidden="false" customHeight="false" outlineLevel="0" collapsed="false">
      <c r="A14" s="10" t="s">
        <v>39</v>
      </c>
      <c r="B14" s="10" t="s">
        <v>40</v>
      </c>
      <c r="C14" s="11" t="s">
        <v>55</v>
      </c>
      <c r="D14" s="10" t="s">
        <v>59</v>
      </c>
      <c r="E14" s="10" t="n">
        <v>104462</v>
      </c>
      <c r="F14" s="10" t="n">
        <v>400.19</v>
      </c>
      <c r="G14" s="10" t="n">
        <v>225</v>
      </c>
      <c r="H14" s="10" t="n">
        <v>1048</v>
      </c>
      <c r="I14" s="10" t="n">
        <v>525</v>
      </c>
      <c r="J14" s="10" t="n">
        <v>523</v>
      </c>
      <c r="K14" s="10" t="n">
        <v>65</v>
      </c>
      <c r="L14" s="10" t="n">
        <f aca="false">K14*100/H14</f>
        <v>6.20229007633588</v>
      </c>
      <c r="M14" s="10" t="n">
        <v>914</v>
      </c>
      <c r="N14" s="10" t="n">
        <f aca="false">M14*100/H14</f>
        <v>87.2137404580153</v>
      </c>
      <c r="O14" s="10" t="n">
        <v>15.58</v>
      </c>
      <c r="P14" s="10" t="n">
        <v>53.71</v>
      </c>
      <c r="Q14" s="12" t="s">
        <v>49</v>
      </c>
      <c r="R14" s="14" t="s">
        <v>57</v>
      </c>
      <c r="S14" s="10"/>
      <c r="T14" s="12" t="n">
        <v>22.2496</v>
      </c>
      <c r="U14" s="10"/>
      <c r="V14" s="10"/>
      <c r="W14" s="10"/>
      <c r="X14" s="10"/>
      <c r="Y14" s="10"/>
      <c r="Z14" s="10"/>
      <c r="AA14" s="12" t="s">
        <v>47</v>
      </c>
      <c r="AB14" s="12"/>
      <c r="AC14" s="12"/>
      <c r="AD14" s="12"/>
      <c r="AE14" s="12"/>
    </row>
    <row r="15" s="13" customFormat="true" ht="15" hidden="false" customHeight="false" outlineLevel="0" collapsed="false">
      <c r="A15" s="10" t="s">
        <v>39</v>
      </c>
      <c r="B15" s="10" t="s">
        <v>40</v>
      </c>
      <c r="C15" s="11" t="s">
        <v>55</v>
      </c>
      <c r="D15" s="10" t="s">
        <v>60</v>
      </c>
      <c r="E15" s="10" t="n">
        <v>104501</v>
      </c>
      <c r="F15" s="10" t="n">
        <v>77.07</v>
      </c>
      <c r="G15" s="10"/>
      <c r="H15" s="10" t="n">
        <v>0</v>
      </c>
      <c r="I15" s="10"/>
      <c r="J15" s="10"/>
      <c r="K15" s="10" t="n">
        <v>0</v>
      </c>
      <c r="L15" s="10"/>
      <c r="M15" s="10"/>
      <c r="N15" s="10"/>
      <c r="O15" s="10" t="n">
        <v>0</v>
      </c>
      <c r="P15" s="10" t="n">
        <v>35.8</v>
      </c>
      <c r="Q15" s="12" t="s">
        <v>49</v>
      </c>
      <c r="R15" s="14" t="s">
        <v>57</v>
      </c>
      <c r="S15" s="10"/>
      <c r="T15" s="12"/>
      <c r="U15" s="10"/>
      <c r="V15" s="10"/>
      <c r="W15" s="10"/>
      <c r="X15" s="10"/>
      <c r="Y15" s="10"/>
      <c r="Z15" s="10"/>
      <c r="AA15" s="12"/>
      <c r="AB15" s="12"/>
      <c r="AC15" s="12"/>
      <c r="AD15" s="12"/>
      <c r="AE15" s="12"/>
    </row>
    <row r="16" s="13" customFormat="true" ht="15" hidden="false" customHeight="false" outlineLevel="0" collapsed="false">
      <c r="A16" s="10" t="s">
        <v>39</v>
      </c>
      <c r="B16" s="10" t="s">
        <v>40</v>
      </c>
      <c r="C16" s="11" t="s">
        <v>55</v>
      </c>
      <c r="D16" s="10" t="s">
        <v>61</v>
      </c>
      <c r="E16" s="10" t="n">
        <v>104502</v>
      </c>
      <c r="F16" s="10" t="n">
        <v>168.62</v>
      </c>
      <c r="G16" s="10" t="n">
        <v>185</v>
      </c>
      <c r="H16" s="10" t="n">
        <v>869</v>
      </c>
      <c r="I16" s="10" t="n">
        <v>446</v>
      </c>
      <c r="J16" s="10" t="n">
        <v>423</v>
      </c>
      <c r="K16" s="10" t="n">
        <v>8</v>
      </c>
      <c r="L16" s="10" t="n">
        <f aca="false">K16*100/H16</f>
        <v>0.920598388952819</v>
      </c>
      <c r="M16" s="10" t="n">
        <v>426</v>
      </c>
      <c r="N16" s="10" t="n">
        <f aca="false">M16*100/H16</f>
        <v>49.0218642117376</v>
      </c>
      <c r="O16" s="10" t="n">
        <v>16.79</v>
      </c>
      <c r="P16" s="10" t="n">
        <v>9.31</v>
      </c>
      <c r="Q16" s="12" t="s">
        <v>49</v>
      </c>
      <c r="R16" s="14" t="s">
        <v>57</v>
      </c>
      <c r="S16" s="10"/>
      <c r="T16" s="12" t="n">
        <v>16.43</v>
      </c>
      <c r="U16" s="10"/>
      <c r="V16" s="10"/>
      <c r="W16" s="10"/>
      <c r="X16" s="10"/>
      <c r="Y16" s="10"/>
      <c r="Z16" s="10"/>
      <c r="AA16" s="12" t="s">
        <v>47</v>
      </c>
      <c r="AB16" s="12"/>
      <c r="AC16" s="12"/>
      <c r="AD16" s="12"/>
      <c r="AE16" s="12"/>
    </row>
    <row r="17" s="13" customFormat="true" ht="15" hidden="false" customHeight="false" outlineLevel="0" collapsed="false">
      <c r="A17" s="10" t="s">
        <v>39</v>
      </c>
      <c r="B17" s="10" t="s">
        <v>40</v>
      </c>
      <c r="C17" s="11" t="s">
        <v>55</v>
      </c>
      <c r="D17" s="10" t="s">
        <v>62</v>
      </c>
      <c r="E17" s="10" t="n">
        <v>104463</v>
      </c>
      <c r="F17" s="10" t="n">
        <v>217.1</v>
      </c>
      <c r="G17" s="10" t="n">
        <v>103</v>
      </c>
      <c r="H17" s="10" t="n">
        <v>496</v>
      </c>
      <c r="I17" s="10" t="n">
        <v>249</v>
      </c>
      <c r="J17" s="10" t="n">
        <v>247</v>
      </c>
      <c r="K17" s="10" t="n">
        <v>27</v>
      </c>
      <c r="L17" s="10" t="n">
        <f aca="false">K17*100/H17</f>
        <v>5.44354838709677</v>
      </c>
      <c r="M17" s="10" t="n">
        <v>433</v>
      </c>
      <c r="N17" s="10" t="n">
        <f aca="false">M17*100/H17</f>
        <v>87.2983870967742</v>
      </c>
      <c r="O17" s="10" t="n">
        <v>21.71</v>
      </c>
      <c r="P17" s="10" t="n">
        <v>31.93</v>
      </c>
      <c r="Q17" s="12" t="s">
        <v>49</v>
      </c>
      <c r="R17" s="14" t="s">
        <v>57</v>
      </c>
      <c r="S17" s="10"/>
      <c r="T17" s="12" t="n">
        <v>6.8473</v>
      </c>
      <c r="U17" s="10"/>
      <c r="V17" s="10"/>
      <c r="W17" s="10"/>
      <c r="X17" s="10"/>
      <c r="Y17" s="10"/>
      <c r="Z17" s="10"/>
      <c r="AA17" s="12" t="s">
        <v>47</v>
      </c>
      <c r="AB17" s="12"/>
      <c r="AC17" s="12"/>
      <c r="AD17" s="12"/>
      <c r="AE17" s="12"/>
    </row>
    <row r="18" s="13" customFormat="true" ht="15" hidden="false" customHeight="false" outlineLevel="0" collapsed="false">
      <c r="A18" s="10" t="s">
        <v>39</v>
      </c>
      <c r="B18" s="10" t="s">
        <v>40</v>
      </c>
      <c r="C18" s="11" t="s">
        <v>55</v>
      </c>
      <c r="D18" s="10" t="s">
        <v>63</v>
      </c>
      <c r="E18" s="10" t="n">
        <v>104503</v>
      </c>
      <c r="F18" s="10" t="n">
        <v>53.11</v>
      </c>
      <c r="G18" s="10" t="n">
        <v>29</v>
      </c>
      <c r="H18" s="10" t="n">
        <v>124</v>
      </c>
      <c r="I18" s="10" t="n">
        <v>68</v>
      </c>
      <c r="J18" s="10" t="n">
        <v>56</v>
      </c>
      <c r="K18" s="10" t="n">
        <v>8</v>
      </c>
      <c r="L18" s="10" t="n">
        <f aca="false">K18*100/H18</f>
        <v>6.45161290322581</v>
      </c>
      <c r="M18" s="10" t="n">
        <v>116</v>
      </c>
      <c r="N18" s="10" t="n">
        <f aca="false">M18*100/H18</f>
        <v>93.5483870967742</v>
      </c>
      <c r="O18" s="10" t="n">
        <v>1.34</v>
      </c>
      <c r="P18" s="10" t="n">
        <v>0</v>
      </c>
      <c r="Q18" s="12" t="s">
        <v>49</v>
      </c>
      <c r="R18" s="14" t="s">
        <v>57</v>
      </c>
      <c r="S18" s="10"/>
      <c r="T18" s="12"/>
      <c r="U18" s="10"/>
      <c r="V18" s="10"/>
      <c r="W18" s="10"/>
      <c r="X18" s="10"/>
      <c r="Y18" s="10"/>
      <c r="Z18" s="10"/>
      <c r="AA18" s="12" t="s">
        <v>47</v>
      </c>
      <c r="AB18" s="12"/>
      <c r="AC18" s="12"/>
      <c r="AD18" s="12"/>
      <c r="AE18" s="12"/>
    </row>
    <row r="19" s="13" customFormat="true" ht="15" hidden="false" customHeight="false" outlineLevel="0" collapsed="false">
      <c r="A19" s="10" t="s">
        <v>39</v>
      </c>
      <c r="B19" s="10" t="s">
        <v>40</v>
      </c>
      <c r="C19" s="11" t="s">
        <v>64</v>
      </c>
      <c r="D19" s="10" t="s">
        <v>65</v>
      </c>
      <c r="E19" s="10" t="n">
        <v>104566</v>
      </c>
      <c r="F19" s="10" t="n">
        <v>632.59</v>
      </c>
      <c r="G19" s="10" t="n">
        <v>262</v>
      </c>
      <c r="H19" s="10" t="n">
        <v>1176</v>
      </c>
      <c r="I19" s="10" t="n">
        <v>620</v>
      </c>
      <c r="J19" s="10" t="n">
        <v>556</v>
      </c>
      <c r="K19" s="10" t="n">
        <v>231</v>
      </c>
      <c r="L19" s="10" t="n">
        <f aca="false">K19*100/H19</f>
        <v>19.6428571428571</v>
      </c>
      <c r="M19" s="10" t="n">
        <v>182</v>
      </c>
      <c r="N19" s="10" t="n">
        <f aca="false">M19*100/H19</f>
        <v>15.4761904761905</v>
      </c>
      <c r="O19" s="10" t="n">
        <v>39.65</v>
      </c>
      <c r="P19" s="10" t="n">
        <v>268.16</v>
      </c>
      <c r="Q19" s="12" t="s">
        <v>45</v>
      </c>
      <c r="R19" s="12" t="s">
        <v>66</v>
      </c>
      <c r="S19" s="10"/>
      <c r="T19" s="12" t="n">
        <v>37.83</v>
      </c>
      <c r="U19" s="10"/>
      <c r="V19" s="10"/>
      <c r="W19" s="10"/>
      <c r="X19" s="10"/>
      <c r="Y19" s="10"/>
      <c r="Z19" s="10"/>
      <c r="AA19" s="12" t="s">
        <v>45</v>
      </c>
      <c r="AB19" s="12" t="n">
        <v>18</v>
      </c>
      <c r="AC19" s="12"/>
      <c r="AD19" s="12" t="n">
        <v>24.270238</v>
      </c>
      <c r="AE19" s="12" t="n">
        <v>76.49766</v>
      </c>
    </row>
    <row r="20" s="13" customFormat="true" ht="15" hidden="false" customHeight="false" outlineLevel="0" collapsed="false">
      <c r="A20" s="10" t="s">
        <v>39</v>
      </c>
      <c r="B20" s="10" t="s">
        <v>40</v>
      </c>
      <c r="C20" s="11" t="s">
        <v>64</v>
      </c>
      <c r="D20" s="10" t="s">
        <v>67</v>
      </c>
      <c r="E20" s="10" t="n">
        <v>104542</v>
      </c>
      <c r="F20" s="10" t="n">
        <v>288.4</v>
      </c>
      <c r="G20" s="10" t="n">
        <v>180</v>
      </c>
      <c r="H20" s="10" t="n">
        <v>853</v>
      </c>
      <c r="I20" s="10" t="n">
        <v>448</v>
      </c>
      <c r="J20" s="10" t="n">
        <v>405</v>
      </c>
      <c r="K20" s="10" t="n">
        <v>0</v>
      </c>
      <c r="L20" s="10" t="n">
        <f aca="false">K20*100/H20</f>
        <v>0</v>
      </c>
      <c r="M20" s="10" t="n">
        <v>853</v>
      </c>
      <c r="N20" s="10" t="n">
        <f aca="false">M20*100/H20</f>
        <v>100</v>
      </c>
      <c r="O20" s="10" t="n">
        <v>42.88</v>
      </c>
      <c r="P20" s="10" t="n">
        <v>69.84</v>
      </c>
      <c r="Q20" s="12" t="s">
        <v>45</v>
      </c>
      <c r="R20" s="12" t="s">
        <v>66</v>
      </c>
      <c r="S20" s="10"/>
      <c r="T20" s="10" t="n">
        <v>43.0342</v>
      </c>
      <c r="U20" s="10"/>
      <c r="V20" s="10"/>
      <c r="W20" s="10"/>
      <c r="X20" s="10"/>
      <c r="Y20" s="10"/>
      <c r="Z20" s="10"/>
      <c r="AA20" s="12" t="s">
        <v>47</v>
      </c>
      <c r="AB20" s="12"/>
      <c r="AC20" s="10"/>
      <c r="AD20" s="10" t="n">
        <v>24.269766</v>
      </c>
      <c r="AE20" s="10" t="n">
        <v>76.50799</v>
      </c>
    </row>
    <row r="21" s="13" customFormat="true" ht="15" hidden="false" customHeight="false" outlineLevel="0" collapsed="false">
      <c r="A21" s="10" t="s">
        <v>39</v>
      </c>
      <c r="B21" s="10" t="s">
        <v>40</v>
      </c>
      <c r="C21" s="11" t="s">
        <v>64</v>
      </c>
      <c r="D21" s="10" t="s">
        <v>68</v>
      </c>
      <c r="E21" s="10" t="n">
        <v>104592</v>
      </c>
      <c r="F21" s="10" t="n">
        <v>190.81</v>
      </c>
      <c r="G21" s="10" t="n">
        <v>78</v>
      </c>
      <c r="H21" s="10" t="n">
        <v>360</v>
      </c>
      <c r="I21" s="10" t="n">
        <v>182</v>
      </c>
      <c r="J21" s="10" t="n">
        <v>178</v>
      </c>
      <c r="K21" s="10" t="n">
        <v>84</v>
      </c>
      <c r="L21" s="10" t="n">
        <f aca="false">K21*100/H21</f>
        <v>23.3333333333333</v>
      </c>
      <c r="M21" s="10" t="n">
        <v>0</v>
      </c>
      <c r="N21" s="10" t="n">
        <f aca="false">M21*100/H21</f>
        <v>0</v>
      </c>
      <c r="O21" s="10" t="n">
        <v>20.21</v>
      </c>
      <c r="P21" s="10" t="n">
        <v>56.34</v>
      </c>
      <c r="Q21" s="12" t="s">
        <v>45</v>
      </c>
      <c r="R21" s="12" t="s">
        <v>66</v>
      </c>
      <c r="S21" s="10"/>
      <c r="T21" s="12" t="n">
        <v>20.2018</v>
      </c>
      <c r="U21" s="10"/>
      <c r="V21" s="10"/>
      <c r="W21" s="10"/>
      <c r="X21" s="10"/>
      <c r="Y21" s="10"/>
      <c r="Z21" s="10"/>
      <c r="AA21" s="12" t="s">
        <v>47</v>
      </c>
      <c r="AB21" s="12"/>
      <c r="AC21" s="12"/>
      <c r="AD21" s="12" t="n">
        <v>24.245086</v>
      </c>
      <c r="AE21" s="12" t="n">
        <v>76.539324</v>
      </c>
    </row>
    <row r="22" s="13" customFormat="true" ht="15" hidden="false" customHeight="false" outlineLevel="0" collapsed="false">
      <c r="A22" s="10" t="s">
        <v>39</v>
      </c>
      <c r="B22" s="10" t="s">
        <v>40</v>
      </c>
      <c r="C22" s="11" t="s">
        <v>64</v>
      </c>
      <c r="D22" s="10" t="s">
        <v>69</v>
      </c>
      <c r="E22" s="10" t="n">
        <v>104565</v>
      </c>
      <c r="F22" s="10" t="n">
        <v>866.85</v>
      </c>
      <c r="G22" s="10" t="n">
        <v>243</v>
      </c>
      <c r="H22" s="10" t="n">
        <v>1197</v>
      </c>
      <c r="I22" s="10" t="n">
        <v>616</v>
      </c>
      <c r="J22" s="10" t="n">
        <v>581</v>
      </c>
      <c r="K22" s="10" t="n">
        <v>229</v>
      </c>
      <c r="L22" s="10" t="n">
        <f aca="false">K22*100/H22</f>
        <v>19.1311612364244</v>
      </c>
      <c r="M22" s="10" t="n">
        <v>13</v>
      </c>
      <c r="N22" s="10" t="n">
        <f aca="false">M22*100/H22</f>
        <v>1.08604845446951</v>
      </c>
      <c r="O22" s="10" t="n">
        <v>0</v>
      </c>
      <c r="P22" s="10" t="n">
        <v>374.98</v>
      </c>
      <c r="Q22" s="12" t="s">
        <v>45</v>
      </c>
      <c r="R22" s="12" t="s">
        <v>66</v>
      </c>
      <c r="S22" s="10"/>
      <c r="T22" s="12"/>
      <c r="U22" s="10"/>
      <c r="V22" s="10"/>
      <c r="W22" s="10"/>
      <c r="X22" s="10"/>
      <c r="Y22" s="10"/>
      <c r="Z22" s="10"/>
      <c r="AA22" s="12"/>
      <c r="AB22" s="12"/>
      <c r="AC22" s="12"/>
      <c r="AD22" s="12" t="n">
        <v>24.254625</v>
      </c>
      <c r="AE22" s="12" t="n">
        <v>76.484453</v>
      </c>
    </row>
    <row r="23" s="13" customFormat="true" ht="15" hidden="false" customHeight="false" outlineLevel="0" collapsed="false">
      <c r="A23" s="10" t="s">
        <v>39</v>
      </c>
      <c r="B23" s="10" t="s">
        <v>40</v>
      </c>
      <c r="C23" s="11" t="s">
        <v>64</v>
      </c>
      <c r="D23" s="10" t="s">
        <v>70</v>
      </c>
      <c r="E23" s="10" t="n">
        <v>104567</v>
      </c>
      <c r="F23" s="10" t="n">
        <v>314.42</v>
      </c>
      <c r="G23" s="10" t="n">
        <v>121</v>
      </c>
      <c r="H23" s="10" t="n">
        <v>540</v>
      </c>
      <c r="I23" s="10" t="n">
        <v>261</v>
      </c>
      <c r="J23" s="10" t="n">
        <v>279</v>
      </c>
      <c r="K23" s="10" t="n">
        <v>90</v>
      </c>
      <c r="L23" s="10" t="n">
        <f aca="false">K23*100/H23</f>
        <v>16.6666666666667</v>
      </c>
      <c r="M23" s="10" t="n">
        <v>10</v>
      </c>
      <c r="N23" s="10" t="n">
        <f aca="false">M23*100/H23</f>
        <v>1.85185185185185</v>
      </c>
      <c r="O23" s="10" t="n">
        <v>43.16</v>
      </c>
      <c r="P23" s="10" t="n">
        <v>45.83</v>
      </c>
      <c r="Q23" s="12" t="s">
        <v>45</v>
      </c>
      <c r="R23" s="12" t="s">
        <v>66</v>
      </c>
      <c r="S23" s="10"/>
      <c r="T23" s="12" t="n">
        <v>44.5638</v>
      </c>
      <c r="U23" s="10"/>
      <c r="V23" s="10"/>
      <c r="W23" s="10"/>
      <c r="X23" s="10"/>
      <c r="Y23" s="10"/>
      <c r="Z23" s="10"/>
      <c r="AA23" s="12" t="s">
        <v>47</v>
      </c>
      <c r="AB23" s="12"/>
      <c r="AC23" s="12"/>
      <c r="AD23" s="12" t="n">
        <v>24.241793</v>
      </c>
      <c r="AE23" s="12" t="n">
        <v>76.526037</v>
      </c>
    </row>
    <row r="24" s="13" customFormat="true" ht="15" hidden="false" customHeight="false" outlineLevel="0" collapsed="false">
      <c r="A24" s="10" t="s">
        <v>39</v>
      </c>
      <c r="B24" s="10" t="s">
        <v>40</v>
      </c>
      <c r="C24" s="11" t="s">
        <v>64</v>
      </c>
      <c r="D24" s="10" t="s">
        <v>71</v>
      </c>
      <c r="E24" s="10" t="n">
        <v>104569</v>
      </c>
      <c r="F24" s="10" t="n">
        <v>361.19</v>
      </c>
      <c r="G24" s="10" t="n">
        <v>160</v>
      </c>
      <c r="H24" s="10" t="n">
        <v>754</v>
      </c>
      <c r="I24" s="10" t="n">
        <v>387</v>
      </c>
      <c r="J24" s="10" t="n">
        <v>367</v>
      </c>
      <c r="K24" s="10" t="n">
        <v>377</v>
      </c>
      <c r="L24" s="10" t="n">
        <f aca="false">K24*100/H24</f>
        <v>50</v>
      </c>
      <c r="M24" s="10" t="n">
        <v>91</v>
      </c>
      <c r="N24" s="10" t="n">
        <f aca="false">M24*100/H24</f>
        <v>12.0689655172414</v>
      </c>
      <c r="O24" s="10" t="n">
        <v>0</v>
      </c>
      <c r="P24" s="10" t="n">
        <v>249.79</v>
      </c>
      <c r="Q24" s="12" t="s">
        <v>45</v>
      </c>
      <c r="R24" s="12" t="s">
        <v>66</v>
      </c>
      <c r="S24" s="10"/>
      <c r="T24" s="10" t="n">
        <v>12.9175</v>
      </c>
      <c r="U24" s="10"/>
      <c r="V24" s="10"/>
      <c r="W24" s="10"/>
      <c r="X24" s="10"/>
      <c r="Y24" s="10"/>
      <c r="Z24" s="10"/>
      <c r="AA24" s="12" t="s">
        <v>47</v>
      </c>
      <c r="AB24" s="12"/>
      <c r="AC24" s="10"/>
      <c r="AD24" s="10" t="n">
        <v>24.262201</v>
      </c>
      <c r="AE24" s="10" t="n">
        <v>76.534179</v>
      </c>
    </row>
    <row r="25" s="13" customFormat="true" ht="15" hidden="false" customHeight="false" outlineLevel="0" collapsed="false">
      <c r="A25" s="10" t="s">
        <v>39</v>
      </c>
      <c r="B25" s="10" t="s">
        <v>40</v>
      </c>
      <c r="C25" s="11" t="s">
        <v>64</v>
      </c>
      <c r="D25" s="10" t="s">
        <v>72</v>
      </c>
      <c r="E25" s="10" t="n">
        <v>104568</v>
      </c>
      <c r="F25" s="10" t="n">
        <v>112.75</v>
      </c>
      <c r="G25" s="10" t="n">
        <v>46</v>
      </c>
      <c r="H25" s="10" t="n">
        <v>194</v>
      </c>
      <c r="I25" s="10" t="n">
        <v>109</v>
      </c>
      <c r="J25" s="10" t="n">
        <v>85</v>
      </c>
      <c r="K25" s="10" t="n">
        <v>0</v>
      </c>
      <c r="L25" s="10" t="n">
        <f aca="false">K25*100/H25</f>
        <v>0</v>
      </c>
      <c r="M25" s="10" t="n">
        <v>0</v>
      </c>
      <c r="N25" s="10" t="n">
        <f aca="false">M25*100/H25</f>
        <v>0</v>
      </c>
      <c r="O25" s="10" t="n">
        <v>11.76</v>
      </c>
      <c r="P25" s="10" t="n">
        <v>54.75</v>
      </c>
      <c r="Q25" s="12" t="s">
        <v>45</v>
      </c>
      <c r="R25" s="12" t="s">
        <v>66</v>
      </c>
      <c r="S25" s="10"/>
      <c r="T25" s="12" t="n">
        <v>12.3429</v>
      </c>
      <c r="U25" s="10"/>
      <c r="V25" s="10"/>
      <c r="W25" s="10"/>
      <c r="X25" s="10"/>
      <c r="Y25" s="10"/>
      <c r="Z25" s="10"/>
      <c r="AA25" s="12" t="s">
        <v>47</v>
      </c>
      <c r="AB25" s="12"/>
      <c r="AC25" s="12"/>
      <c r="AD25" s="12" t="n">
        <v>24.254424</v>
      </c>
      <c r="AE25" s="12" t="n">
        <v>76.532571</v>
      </c>
    </row>
    <row r="26" s="13" customFormat="true" ht="15" hidden="false" customHeight="false" outlineLevel="0" collapsed="false">
      <c r="A26" s="10" t="s">
        <v>39</v>
      </c>
      <c r="B26" s="10" t="s">
        <v>40</v>
      </c>
      <c r="C26" s="11" t="s">
        <v>73</v>
      </c>
      <c r="D26" s="10" t="s">
        <v>74</v>
      </c>
      <c r="E26" s="10" t="n">
        <v>104491</v>
      </c>
      <c r="F26" s="10" t="n">
        <v>170.62</v>
      </c>
      <c r="G26" s="10" t="n">
        <v>131</v>
      </c>
      <c r="H26" s="10" t="n">
        <v>704</v>
      </c>
      <c r="I26" s="10" t="n">
        <v>360</v>
      </c>
      <c r="J26" s="10" t="n">
        <v>344</v>
      </c>
      <c r="K26" s="10" t="n">
        <v>136</v>
      </c>
      <c r="L26" s="10" t="n">
        <f aca="false">K26*100/H26</f>
        <v>19.3181818181818</v>
      </c>
      <c r="M26" s="10" t="n">
        <v>0</v>
      </c>
      <c r="N26" s="10" t="n">
        <f aca="false">M26*100/H26</f>
        <v>0</v>
      </c>
      <c r="O26" s="10" t="n">
        <v>0.37</v>
      </c>
      <c r="P26" s="10" t="n">
        <v>0</v>
      </c>
      <c r="Q26" s="15" t="s">
        <v>45</v>
      </c>
      <c r="R26" s="15" t="s">
        <v>75</v>
      </c>
      <c r="S26" s="10"/>
      <c r="T26" s="10"/>
      <c r="U26" s="10"/>
      <c r="V26" s="10" t="s">
        <v>49</v>
      </c>
      <c r="W26" s="10"/>
      <c r="X26" s="10"/>
      <c r="Y26" s="10"/>
      <c r="Z26" s="10"/>
      <c r="AA26" s="16" t="s">
        <v>45</v>
      </c>
      <c r="AB26" s="16" t="n">
        <v>12</v>
      </c>
      <c r="AC26" s="12"/>
      <c r="AD26" s="17" t="n">
        <v>24.3311783</v>
      </c>
      <c r="AE26" s="17" t="n">
        <v>76.441906</v>
      </c>
    </row>
    <row r="27" s="13" customFormat="true" ht="15" hidden="false" customHeight="false" outlineLevel="0" collapsed="false">
      <c r="A27" s="10" t="s">
        <v>39</v>
      </c>
      <c r="B27" s="10" t="s">
        <v>40</v>
      </c>
      <c r="C27" s="11" t="s">
        <v>73</v>
      </c>
      <c r="D27" s="10" t="s">
        <v>74</v>
      </c>
      <c r="E27" s="10" t="n">
        <v>104491</v>
      </c>
      <c r="F27" s="10" t="n">
        <v>170.62</v>
      </c>
      <c r="G27" s="10" t="n">
        <v>131</v>
      </c>
      <c r="H27" s="10" t="n">
        <v>704</v>
      </c>
      <c r="I27" s="10" t="n">
        <v>360</v>
      </c>
      <c r="J27" s="10" t="n">
        <v>344</v>
      </c>
      <c r="K27" s="10" t="n">
        <v>136</v>
      </c>
      <c r="L27" s="10" t="n">
        <f aca="false">K27*100/H27</f>
        <v>19.3181818181818</v>
      </c>
      <c r="M27" s="10" t="n">
        <v>0</v>
      </c>
      <c r="N27" s="10" t="n">
        <f aca="false">M27*100/H27</f>
        <v>0</v>
      </c>
      <c r="O27" s="15" t="n">
        <v>53.62</v>
      </c>
      <c r="P27" s="10" t="n">
        <v>0</v>
      </c>
      <c r="Q27" s="15" t="s">
        <v>45</v>
      </c>
      <c r="R27" s="18" t="n">
        <v>44800</v>
      </c>
      <c r="S27" s="10"/>
      <c r="T27" s="16" t="n">
        <v>41</v>
      </c>
      <c r="U27" s="10"/>
      <c r="V27" s="10"/>
      <c r="W27" s="10"/>
      <c r="X27" s="10"/>
      <c r="Y27" s="10"/>
      <c r="Z27" s="10"/>
      <c r="AA27" s="16" t="s">
        <v>45</v>
      </c>
      <c r="AB27" s="16" t="n">
        <v>12.62</v>
      </c>
      <c r="AC27" s="12"/>
      <c r="AD27" s="17" t="n">
        <v>24.331583</v>
      </c>
      <c r="AE27" s="17" t="n">
        <v>76.441906</v>
      </c>
    </row>
    <row r="28" s="13" customFormat="true" ht="15" hidden="false" customHeight="false" outlineLevel="0" collapsed="false">
      <c r="A28" s="10" t="s">
        <v>39</v>
      </c>
      <c r="B28" s="10" t="s">
        <v>40</v>
      </c>
      <c r="C28" s="11" t="s">
        <v>73</v>
      </c>
      <c r="D28" s="10" t="s">
        <v>76</v>
      </c>
      <c r="E28" s="10" t="n">
        <v>104488</v>
      </c>
      <c r="F28" s="10" t="n">
        <v>147.12</v>
      </c>
      <c r="G28" s="10" t="n">
        <v>76</v>
      </c>
      <c r="H28" s="10" t="n">
        <v>333</v>
      </c>
      <c r="I28" s="10" t="n">
        <v>181</v>
      </c>
      <c r="J28" s="10" t="n">
        <v>152</v>
      </c>
      <c r="K28" s="10" t="n">
        <v>7</v>
      </c>
      <c r="L28" s="10" t="n">
        <f aca="false">K28*100/H28</f>
        <v>2.1021021021021</v>
      </c>
      <c r="M28" s="10" t="n">
        <v>326</v>
      </c>
      <c r="N28" s="10" t="n">
        <f aca="false">M28*100/H28</f>
        <v>97.8978978978979</v>
      </c>
      <c r="O28" s="10" t="n">
        <v>12.99</v>
      </c>
      <c r="P28" s="10" t="n">
        <v>30.48</v>
      </c>
      <c r="Q28" s="15" t="s">
        <v>45</v>
      </c>
      <c r="R28" s="15" t="s">
        <v>75</v>
      </c>
      <c r="S28" s="10"/>
      <c r="T28" s="10"/>
      <c r="U28" s="10"/>
      <c r="V28" s="10" t="s">
        <v>49</v>
      </c>
      <c r="W28" s="10"/>
      <c r="X28" s="10"/>
      <c r="Y28" s="10"/>
      <c r="Z28" s="10"/>
      <c r="AA28" s="16" t="s">
        <v>45</v>
      </c>
      <c r="AB28" s="16" t="n">
        <v>11</v>
      </c>
      <c r="AC28" s="10"/>
      <c r="AD28" s="17" t="n">
        <v>24.32077</v>
      </c>
      <c r="AE28" s="17" t="n">
        <v>76.436667</v>
      </c>
    </row>
    <row r="29" s="13" customFormat="true" ht="15" hidden="false" customHeight="false" outlineLevel="0" collapsed="false">
      <c r="A29" s="10" t="s">
        <v>39</v>
      </c>
      <c r="B29" s="10" t="s">
        <v>40</v>
      </c>
      <c r="C29" s="11" t="s">
        <v>73</v>
      </c>
      <c r="D29" s="10" t="s">
        <v>76</v>
      </c>
      <c r="E29" s="10" t="n">
        <v>104488</v>
      </c>
      <c r="F29" s="10" t="n">
        <v>147.12</v>
      </c>
      <c r="G29" s="10" t="n">
        <v>76</v>
      </c>
      <c r="H29" s="10" t="n">
        <v>333</v>
      </c>
      <c r="I29" s="10" t="n">
        <v>181</v>
      </c>
      <c r="J29" s="10" t="n">
        <v>152</v>
      </c>
      <c r="K29" s="10" t="n">
        <v>7</v>
      </c>
      <c r="L29" s="10" t="n">
        <f aca="false">K29*100/H29</f>
        <v>2.1021021021021</v>
      </c>
      <c r="M29" s="10" t="n">
        <v>326</v>
      </c>
      <c r="N29" s="10" t="n">
        <f aca="false">M29*100/H29</f>
        <v>97.8978978978979</v>
      </c>
      <c r="O29" s="10" t="n">
        <v>12.99</v>
      </c>
      <c r="P29" s="10" t="n">
        <v>30.48</v>
      </c>
      <c r="Q29" s="15" t="s">
        <v>45</v>
      </c>
      <c r="R29" s="18" t="n">
        <v>44800</v>
      </c>
      <c r="S29" s="10"/>
      <c r="T29" s="16" t="n">
        <v>1.5</v>
      </c>
      <c r="U29" s="10"/>
      <c r="V29" s="10"/>
      <c r="W29" s="10"/>
      <c r="X29" s="10"/>
      <c r="Y29" s="10"/>
      <c r="Z29" s="10"/>
      <c r="AA29" s="16" t="s">
        <v>45</v>
      </c>
      <c r="AB29" s="16" t="n">
        <v>11.5</v>
      </c>
      <c r="AC29" s="10"/>
      <c r="AD29" s="17" t="n">
        <v>24.32077</v>
      </c>
      <c r="AE29" s="17" t="n">
        <v>76.436667</v>
      </c>
    </row>
    <row r="30" s="13" customFormat="true" ht="15" hidden="false" customHeight="false" outlineLevel="0" collapsed="false">
      <c r="A30" s="10" t="s">
        <v>39</v>
      </c>
      <c r="B30" s="10" t="s">
        <v>40</v>
      </c>
      <c r="C30" s="11" t="s">
        <v>73</v>
      </c>
      <c r="D30" s="10" t="s">
        <v>77</v>
      </c>
      <c r="E30" s="10" t="n">
        <v>104414</v>
      </c>
      <c r="F30" s="10" t="n">
        <v>358.42</v>
      </c>
      <c r="G30" s="10" t="n">
        <v>172</v>
      </c>
      <c r="H30" s="10" t="n">
        <v>658</v>
      </c>
      <c r="I30" s="10" t="n">
        <v>336</v>
      </c>
      <c r="J30" s="10" t="n">
        <v>322</v>
      </c>
      <c r="K30" s="10" t="n">
        <v>6</v>
      </c>
      <c r="L30" s="10" t="n">
        <f aca="false">K30*100/H30</f>
        <v>0.911854103343465</v>
      </c>
      <c r="M30" s="10" t="n">
        <v>0</v>
      </c>
      <c r="N30" s="10" t="n">
        <f aca="false">M30*100/H30</f>
        <v>0</v>
      </c>
      <c r="O30" s="10" t="n">
        <v>32.53</v>
      </c>
      <c r="P30" s="10" t="n">
        <v>165.5</v>
      </c>
      <c r="Q30" s="15" t="s">
        <v>45</v>
      </c>
      <c r="R30" s="18" t="n">
        <v>44800</v>
      </c>
      <c r="S30" s="10"/>
      <c r="T30" s="16" t="n">
        <v>4</v>
      </c>
      <c r="U30" s="10"/>
      <c r="V30" s="10" t="s">
        <v>49</v>
      </c>
      <c r="W30" s="10"/>
      <c r="X30" s="10"/>
      <c r="Y30" s="10"/>
      <c r="Z30" s="10"/>
      <c r="AA30" s="16" t="s">
        <v>45</v>
      </c>
      <c r="AB30" s="16" t="n">
        <v>11.45</v>
      </c>
      <c r="AC30" s="10"/>
      <c r="AD30" s="17" t="n">
        <v>24.339431</v>
      </c>
      <c r="AE30" s="17" t="n">
        <v>76.404009</v>
      </c>
    </row>
    <row r="31" s="13" customFormat="true" ht="15" hidden="false" customHeight="false" outlineLevel="0" collapsed="false">
      <c r="A31" s="10" t="s">
        <v>39</v>
      </c>
      <c r="B31" s="10" t="s">
        <v>40</v>
      </c>
      <c r="C31" s="11" t="s">
        <v>78</v>
      </c>
      <c r="D31" s="10" t="s">
        <v>79</v>
      </c>
      <c r="E31" s="10" t="n">
        <v>104555</v>
      </c>
      <c r="F31" s="10" t="n">
        <v>165.95</v>
      </c>
      <c r="G31" s="10" t="n">
        <v>38</v>
      </c>
      <c r="H31" s="10" t="n">
        <v>171</v>
      </c>
      <c r="I31" s="10" t="n">
        <v>94</v>
      </c>
      <c r="J31" s="10" t="n">
        <v>77</v>
      </c>
      <c r="K31" s="10" t="n">
        <v>16</v>
      </c>
      <c r="L31" s="10" t="n">
        <f aca="false">K31*100/H31</f>
        <v>9.35672514619883</v>
      </c>
      <c r="M31" s="10" t="n">
        <v>0</v>
      </c>
      <c r="N31" s="10" t="n">
        <f aca="false">M31*100/H31</f>
        <v>0</v>
      </c>
      <c r="O31" s="10" t="n">
        <v>5.13</v>
      </c>
      <c r="P31" s="10" t="n">
        <v>94.46</v>
      </c>
      <c r="Q31" s="12" t="s">
        <v>43</v>
      </c>
      <c r="R31" s="12" t="s">
        <v>44</v>
      </c>
      <c r="S31" s="10"/>
      <c r="T31" s="12" t="n">
        <v>5.32</v>
      </c>
      <c r="U31" s="10"/>
      <c r="V31" s="10"/>
      <c r="W31" s="10"/>
      <c r="X31" s="10"/>
      <c r="Y31" s="10"/>
      <c r="Z31" s="10"/>
      <c r="AA31" s="12" t="s">
        <v>80</v>
      </c>
      <c r="AB31" s="12" t="n">
        <v>0</v>
      </c>
      <c r="AC31" s="12"/>
      <c r="AD31" s="12"/>
      <c r="AE31" s="12"/>
    </row>
    <row r="32" s="13" customFormat="true" ht="15" hidden="false" customHeight="false" outlineLevel="0" collapsed="false">
      <c r="A32" s="10" t="s">
        <v>39</v>
      </c>
      <c r="B32" s="10" t="s">
        <v>40</v>
      </c>
      <c r="C32" s="11" t="s">
        <v>78</v>
      </c>
      <c r="D32" s="10" t="s">
        <v>81</v>
      </c>
      <c r="E32" s="10" t="n">
        <v>104556</v>
      </c>
      <c r="F32" s="10" t="n">
        <v>160</v>
      </c>
      <c r="G32" s="10" t="n">
        <v>37</v>
      </c>
      <c r="H32" s="10" t="n">
        <v>151</v>
      </c>
      <c r="I32" s="10" t="n">
        <v>82</v>
      </c>
      <c r="J32" s="10" t="n">
        <v>69</v>
      </c>
      <c r="K32" s="10" t="n">
        <v>28</v>
      </c>
      <c r="L32" s="10" t="n">
        <f aca="false">K32*100/H32</f>
        <v>18.5430463576159</v>
      </c>
      <c r="M32" s="10" t="n">
        <v>0</v>
      </c>
      <c r="N32" s="10" t="n">
        <f aca="false">M32*100/H32</f>
        <v>0</v>
      </c>
      <c r="O32" s="10" t="n">
        <v>22.19</v>
      </c>
      <c r="P32" s="10" t="n">
        <v>66.66</v>
      </c>
      <c r="Q32" s="12" t="s">
        <v>43</v>
      </c>
      <c r="R32" s="12" t="s">
        <v>44</v>
      </c>
      <c r="S32" s="10"/>
      <c r="T32" s="12" t="n">
        <v>22.18</v>
      </c>
      <c r="U32" s="10"/>
      <c r="V32" s="10"/>
      <c r="W32" s="10"/>
      <c r="X32" s="10"/>
      <c r="Y32" s="10"/>
      <c r="Z32" s="10"/>
      <c r="AA32" s="12" t="s">
        <v>80</v>
      </c>
      <c r="AB32" s="12" t="n">
        <v>0</v>
      </c>
      <c r="AC32" s="12"/>
      <c r="AD32" s="12"/>
      <c r="AE32" s="12"/>
    </row>
    <row r="33" s="13" customFormat="true" ht="15" hidden="false" customHeight="false" outlineLevel="0" collapsed="false">
      <c r="A33" s="10" t="s">
        <v>39</v>
      </c>
      <c r="B33" s="10" t="s">
        <v>40</v>
      </c>
      <c r="C33" s="11" t="s">
        <v>78</v>
      </c>
      <c r="D33" s="10" t="s">
        <v>81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" t="s">
        <v>43</v>
      </c>
      <c r="R33" s="12" t="s">
        <v>44</v>
      </c>
      <c r="S33" s="10"/>
      <c r="T33" s="19"/>
      <c r="U33" s="10"/>
      <c r="V33" s="10"/>
      <c r="W33" s="10"/>
      <c r="X33" s="10"/>
      <c r="Y33" s="10"/>
      <c r="Z33" s="10"/>
      <c r="AA33" s="12" t="s">
        <v>82</v>
      </c>
      <c r="AB33" s="10" t="n">
        <v>1.5</v>
      </c>
      <c r="AC33" s="12"/>
      <c r="AD33" s="10" t="n">
        <v>24.26735</v>
      </c>
      <c r="AE33" s="10" t="n">
        <v>76.39791</v>
      </c>
    </row>
    <row r="34" s="13" customFormat="true" ht="15" hidden="false" customHeight="false" outlineLevel="0" collapsed="false">
      <c r="A34" s="10" t="s">
        <v>39</v>
      </c>
      <c r="B34" s="10" t="s">
        <v>40</v>
      </c>
      <c r="C34" s="11" t="s">
        <v>78</v>
      </c>
      <c r="D34" s="10" t="s">
        <v>81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 t="s">
        <v>43</v>
      </c>
      <c r="R34" s="12" t="s">
        <v>44</v>
      </c>
      <c r="S34" s="10"/>
      <c r="T34" s="19"/>
      <c r="U34" s="10"/>
      <c r="V34" s="10"/>
      <c r="W34" s="10"/>
      <c r="X34" s="10"/>
      <c r="Y34" s="10"/>
      <c r="Z34" s="10"/>
      <c r="AA34" s="12" t="s">
        <v>82</v>
      </c>
      <c r="AB34" s="10" t="n">
        <v>2.156</v>
      </c>
      <c r="AC34" s="12"/>
      <c r="AD34" s="10" t="n">
        <v>24.26802</v>
      </c>
      <c r="AE34" s="10" t="n">
        <v>76.39507</v>
      </c>
    </row>
    <row r="35" s="13" customFormat="true" ht="15" hidden="false" customHeight="false" outlineLevel="0" collapsed="false">
      <c r="A35" s="10" t="s">
        <v>39</v>
      </c>
      <c r="B35" s="10" t="s">
        <v>40</v>
      </c>
      <c r="C35" s="11" t="s">
        <v>78</v>
      </c>
      <c r="D35" s="10" t="s">
        <v>81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" t="s">
        <v>43</v>
      </c>
      <c r="R35" s="12" t="s">
        <v>44</v>
      </c>
      <c r="S35" s="10"/>
      <c r="T35" s="19"/>
      <c r="U35" s="10"/>
      <c r="V35" s="10"/>
      <c r="W35" s="10"/>
      <c r="X35" s="10"/>
      <c r="Y35" s="10"/>
      <c r="Z35" s="10"/>
      <c r="AA35" s="12" t="s">
        <v>82</v>
      </c>
      <c r="AB35" s="10" t="n">
        <v>15</v>
      </c>
      <c r="AC35" s="12"/>
      <c r="AD35" s="10" t="n">
        <v>24.276752</v>
      </c>
      <c r="AE35" s="10" t="n">
        <v>76.409555</v>
      </c>
    </row>
    <row r="36" s="13" customFormat="true" ht="15" hidden="false" customHeight="false" outlineLevel="0" collapsed="false">
      <c r="A36" s="10" t="s">
        <v>39</v>
      </c>
      <c r="B36" s="10" t="s">
        <v>40</v>
      </c>
      <c r="C36" s="11" t="s">
        <v>78</v>
      </c>
      <c r="D36" s="10" t="s">
        <v>83</v>
      </c>
      <c r="E36" s="10" t="n">
        <v>104557</v>
      </c>
      <c r="F36" s="10" t="n">
        <v>1258.37</v>
      </c>
      <c r="G36" s="10" t="n">
        <v>810</v>
      </c>
      <c r="H36" s="10" t="n">
        <v>4239</v>
      </c>
      <c r="I36" s="10" t="n">
        <v>2169</v>
      </c>
      <c r="J36" s="10" t="n">
        <v>2070</v>
      </c>
      <c r="K36" s="10" t="n">
        <v>573</v>
      </c>
      <c r="L36" s="10" t="n">
        <f aca="false">K36*100/H36</f>
        <v>13.517338995046</v>
      </c>
      <c r="M36" s="10" t="n">
        <v>315</v>
      </c>
      <c r="N36" s="10" t="n">
        <f aca="false">M36*100/H36</f>
        <v>7.43099787685775</v>
      </c>
      <c r="O36" s="10" t="n">
        <v>173.8</v>
      </c>
      <c r="P36" s="10" t="n">
        <v>411.16</v>
      </c>
      <c r="Q36" s="12" t="s">
        <v>43</v>
      </c>
      <c r="R36" s="12" t="s">
        <v>44</v>
      </c>
      <c r="S36" s="10"/>
      <c r="T36" s="12" t="n">
        <v>174.93</v>
      </c>
      <c r="U36" s="10"/>
      <c r="V36" s="10"/>
      <c r="W36" s="10"/>
      <c r="X36" s="10"/>
      <c r="Y36" s="10"/>
      <c r="Z36" s="10"/>
      <c r="AA36" s="12" t="s">
        <v>80</v>
      </c>
      <c r="AB36" s="12" t="n">
        <v>0</v>
      </c>
      <c r="AC36" s="12"/>
      <c r="AD36" s="12"/>
      <c r="AE36" s="12"/>
    </row>
    <row r="37" s="13" customFormat="true" ht="15" hidden="false" customHeight="false" outlineLevel="0" collapsed="false">
      <c r="A37" s="10" t="s">
        <v>39</v>
      </c>
      <c r="B37" s="10" t="s">
        <v>40</v>
      </c>
      <c r="C37" s="11" t="s">
        <v>78</v>
      </c>
      <c r="D37" s="10" t="s">
        <v>83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" t="s">
        <v>43</v>
      </c>
      <c r="R37" s="12" t="s">
        <v>44</v>
      </c>
      <c r="S37" s="10"/>
      <c r="T37" s="19"/>
      <c r="U37" s="10"/>
      <c r="V37" s="10"/>
      <c r="W37" s="10"/>
      <c r="X37" s="10"/>
      <c r="Y37" s="10"/>
      <c r="Z37" s="10"/>
      <c r="AA37" s="12" t="s">
        <v>82</v>
      </c>
      <c r="AB37" s="10" t="n">
        <v>1.84</v>
      </c>
      <c r="AC37" s="12"/>
      <c r="AD37" s="10" t="n">
        <v>24.25344</v>
      </c>
      <c r="AE37" s="10" t="n">
        <v>76.43086</v>
      </c>
    </row>
    <row r="38" s="13" customFormat="true" ht="15" hidden="false" customHeight="false" outlineLevel="0" collapsed="false">
      <c r="A38" s="10" t="s">
        <v>39</v>
      </c>
      <c r="B38" s="10" t="s">
        <v>40</v>
      </c>
      <c r="C38" s="11" t="s">
        <v>78</v>
      </c>
      <c r="D38" s="10" t="s">
        <v>84</v>
      </c>
      <c r="E38" s="10" t="n">
        <v>104560</v>
      </c>
      <c r="F38" s="10" t="n">
        <v>36.84</v>
      </c>
      <c r="G38" s="10"/>
      <c r="H38" s="10" t="n">
        <v>0</v>
      </c>
      <c r="I38" s="10"/>
      <c r="J38" s="10"/>
      <c r="K38" s="10"/>
      <c r="L38" s="10"/>
      <c r="M38" s="10"/>
      <c r="N38" s="10"/>
      <c r="O38" s="10" t="n">
        <v>0</v>
      </c>
      <c r="P38" s="10" t="n">
        <v>2.73</v>
      </c>
      <c r="Q38" s="12" t="s">
        <v>43</v>
      </c>
      <c r="R38" s="12" t="s">
        <v>44</v>
      </c>
      <c r="S38" s="10"/>
      <c r="T38" s="14"/>
      <c r="U38" s="10"/>
      <c r="V38" s="10"/>
      <c r="W38" s="10"/>
      <c r="X38" s="10"/>
      <c r="Y38" s="10"/>
      <c r="Z38" s="10"/>
      <c r="AA38" s="12"/>
      <c r="AB38" s="12"/>
      <c r="AC38" s="12"/>
      <c r="AD38" s="12"/>
      <c r="AE38" s="12"/>
    </row>
    <row r="39" s="13" customFormat="true" ht="15" hidden="false" customHeight="false" outlineLevel="0" collapsed="false">
      <c r="A39" s="10" t="s">
        <v>39</v>
      </c>
      <c r="B39" s="10" t="s">
        <v>40</v>
      </c>
      <c r="C39" s="11" t="s">
        <v>78</v>
      </c>
      <c r="D39" s="10" t="s">
        <v>85</v>
      </c>
      <c r="E39" s="10" t="n">
        <v>104558</v>
      </c>
      <c r="F39" s="10" t="n">
        <v>260.29</v>
      </c>
      <c r="G39" s="10" t="n">
        <v>24</v>
      </c>
      <c r="H39" s="10" t="n">
        <v>109</v>
      </c>
      <c r="I39" s="10" t="n">
        <v>56</v>
      </c>
      <c r="J39" s="10" t="n">
        <v>53</v>
      </c>
      <c r="K39" s="10" t="n">
        <v>9</v>
      </c>
      <c r="L39" s="10" t="n">
        <f aca="false">K39*100/H39</f>
        <v>8.25688073394495</v>
      </c>
      <c r="M39" s="10" t="n">
        <v>0</v>
      </c>
      <c r="N39" s="10" t="n">
        <f aca="false">M39*100/H39</f>
        <v>0</v>
      </c>
      <c r="O39" s="10" t="n">
        <v>12.44</v>
      </c>
      <c r="P39" s="10" t="n">
        <v>200.56</v>
      </c>
      <c r="Q39" s="12" t="s">
        <v>43</v>
      </c>
      <c r="R39" s="12" t="s">
        <v>44</v>
      </c>
      <c r="S39" s="10"/>
      <c r="T39" s="12" t="n">
        <v>11.67</v>
      </c>
      <c r="U39" s="10"/>
      <c r="V39" s="10"/>
      <c r="W39" s="10"/>
      <c r="X39" s="10"/>
      <c r="Y39" s="10"/>
      <c r="Z39" s="10"/>
      <c r="AA39" s="12" t="s">
        <v>80</v>
      </c>
      <c r="AB39" s="12" t="n">
        <v>0</v>
      </c>
      <c r="AC39" s="12"/>
      <c r="AD39" s="12"/>
      <c r="AE39" s="12"/>
    </row>
    <row r="40" s="13" customFormat="true" ht="15" hidden="false" customHeight="false" outlineLevel="0" collapsed="false">
      <c r="A40" s="10" t="s">
        <v>39</v>
      </c>
      <c r="B40" s="10" t="s">
        <v>40</v>
      </c>
      <c r="C40" s="11" t="s">
        <v>86</v>
      </c>
      <c r="D40" s="10" t="s">
        <v>87</v>
      </c>
      <c r="E40" s="10" t="n">
        <v>104547</v>
      </c>
      <c r="F40" s="10" t="n">
        <v>144.49</v>
      </c>
      <c r="G40" s="10" t="n">
        <v>20</v>
      </c>
      <c r="H40" s="10" t="n">
        <v>82</v>
      </c>
      <c r="I40" s="10" t="n">
        <v>44</v>
      </c>
      <c r="J40" s="10" t="n">
        <v>38</v>
      </c>
      <c r="K40" s="10" t="n">
        <v>0</v>
      </c>
      <c r="L40" s="10" t="n">
        <f aca="false">K40*100/H40</f>
        <v>0</v>
      </c>
      <c r="M40" s="10" t="n">
        <v>0</v>
      </c>
      <c r="N40" s="10" t="n">
        <f aca="false">M40*100/H40</f>
        <v>0</v>
      </c>
      <c r="O40" s="10" t="n">
        <v>0</v>
      </c>
      <c r="P40" s="10" t="n">
        <v>92.96</v>
      </c>
      <c r="Q40" s="15" t="s">
        <v>45</v>
      </c>
      <c r="R40" s="12" t="s">
        <v>88</v>
      </c>
      <c r="S40" s="10"/>
      <c r="T40" s="14"/>
      <c r="U40" s="10"/>
      <c r="V40" s="10"/>
      <c r="W40" s="10"/>
      <c r="X40" s="10"/>
      <c r="Y40" s="10"/>
      <c r="Z40" s="10"/>
      <c r="AA40" s="12"/>
      <c r="AB40" s="12"/>
      <c r="AC40" s="12"/>
      <c r="AD40" s="12" t="n">
        <v>24.289835</v>
      </c>
      <c r="AE40" s="12" t="n">
        <v>76.421347</v>
      </c>
    </row>
    <row r="41" s="13" customFormat="true" ht="15" hidden="false" customHeight="false" outlineLevel="0" collapsed="false">
      <c r="A41" s="10" t="s">
        <v>39</v>
      </c>
      <c r="B41" s="10" t="s">
        <v>40</v>
      </c>
      <c r="C41" s="11" t="s">
        <v>86</v>
      </c>
      <c r="D41" s="10" t="s">
        <v>89</v>
      </c>
      <c r="E41" s="10" t="n">
        <v>104546</v>
      </c>
      <c r="F41" s="10" t="n">
        <v>665.78</v>
      </c>
      <c r="G41" s="10" t="n">
        <v>367</v>
      </c>
      <c r="H41" s="10" t="n">
        <v>1708</v>
      </c>
      <c r="I41" s="10" t="n">
        <v>880</v>
      </c>
      <c r="J41" s="10" t="n">
        <v>828</v>
      </c>
      <c r="K41" s="10" t="n">
        <v>17</v>
      </c>
      <c r="L41" s="10" t="n">
        <f aca="false">K41*100/H41</f>
        <v>0.995316159250585</v>
      </c>
      <c r="M41" s="10" t="n">
        <v>398</v>
      </c>
      <c r="N41" s="10" t="n">
        <f aca="false">M41*100/H41</f>
        <v>23.3021077283372</v>
      </c>
      <c r="O41" s="10" t="n">
        <v>69.93</v>
      </c>
      <c r="P41" s="10" t="n">
        <v>169.11</v>
      </c>
      <c r="Q41" s="15" t="s">
        <v>45</v>
      </c>
      <c r="R41" s="12" t="s">
        <v>88</v>
      </c>
      <c r="S41" s="10"/>
      <c r="T41" s="12"/>
      <c r="U41" s="10"/>
      <c r="V41" s="10"/>
      <c r="W41" s="10"/>
      <c r="X41" s="10"/>
      <c r="Y41" s="10"/>
      <c r="Z41" s="10"/>
      <c r="AA41" s="12" t="s">
        <v>43</v>
      </c>
      <c r="AB41" s="12" t="n">
        <v>60</v>
      </c>
      <c r="AC41" s="12"/>
      <c r="AD41" s="12"/>
      <c r="AE41" s="12"/>
    </row>
    <row r="42" s="13" customFormat="true" ht="15" hidden="false" customHeight="false" outlineLevel="0" collapsed="false">
      <c r="A42" s="10" t="s">
        <v>39</v>
      </c>
      <c r="B42" s="10" t="s">
        <v>40</v>
      </c>
      <c r="C42" s="11" t="s">
        <v>86</v>
      </c>
      <c r="D42" s="10" t="s">
        <v>90</v>
      </c>
      <c r="E42" s="10" t="n">
        <v>104487</v>
      </c>
      <c r="F42" s="10" t="n">
        <v>237.94</v>
      </c>
      <c r="G42" s="10" t="n">
        <v>104</v>
      </c>
      <c r="H42" s="10" t="n">
        <v>450</v>
      </c>
      <c r="I42" s="10" t="n">
        <v>246</v>
      </c>
      <c r="J42" s="10" t="n">
        <v>204</v>
      </c>
      <c r="K42" s="10" t="n">
        <v>10</v>
      </c>
      <c r="L42" s="10" t="n">
        <f aca="false">K42*100/H42</f>
        <v>2.22222222222222</v>
      </c>
      <c r="M42" s="10" t="n">
        <v>440</v>
      </c>
      <c r="N42" s="10" t="n">
        <f aca="false">M42*100/H42</f>
        <v>97.7777777777778</v>
      </c>
      <c r="O42" s="10" t="n">
        <v>11.06</v>
      </c>
      <c r="P42" s="10" t="n">
        <v>126.84</v>
      </c>
      <c r="Q42" s="15" t="s">
        <v>45</v>
      </c>
      <c r="R42" s="12" t="s">
        <v>88</v>
      </c>
      <c r="S42" s="10"/>
      <c r="T42" s="12"/>
      <c r="U42" s="10"/>
      <c r="V42" s="10"/>
      <c r="W42" s="10"/>
      <c r="X42" s="10"/>
      <c r="Y42" s="10"/>
      <c r="Z42" s="10"/>
      <c r="AA42" s="12"/>
      <c r="AB42" s="12"/>
      <c r="AC42" s="12"/>
      <c r="AD42" s="12"/>
      <c r="AE42" s="12"/>
    </row>
    <row r="43" s="13" customFormat="true" ht="15" hidden="false" customHeight="false" outlineLevel="0" collapsed="false">
      <c r="A43" s="10" t="s">
        <v>39</v>
      </c>
      <c r="B43" s="10" t="s">
        <v>40</v>
      </c>
      <c r="C43" s="11" t="s">
        <v>86</v>
      </c>
      <c r="D43" s="10" t="s">
        <v>91</v>
      </c>
      <c r="E43" s="10" t="n">
        <v>104549</v>
      </c>
      <c r="F43" s="10" t="n">
        <v>715.55</v>
      </c>
      <c r="G43" s="10" t="n">
        <v>269</v>
      </c>
      <c r="H43" s="10" t="n">
        <v>1135</v>
      </c>
      <c r="I43" s="10" t="n">
        <v>551</v>
      </c>
      <c r="J43" s="10" t="n">
        <v>584</v>
      </c>
      <c r="K43" s="10" t="n">
        <v>156</v>
      </c>
      <c r="L43" s="10" t="n">
        <f aca="false">K43*100/H43</f>
        <v>13.7444933920705</v>
      </c>
      <c r="M43" s="10" t="n">
        <v>0</v>
      </c>
      <c r="N43" s="10" t="n">
        <f aca="false">M43*100/H43</f>
        <v>0</v>
      </c>
      <c r="O43" s="10" t="n">
        <v>55.54</v>
      </c>
      <c r="P43" s="10" t="n">
        <v>229.91</v>
      </c>
      <c r="Q43" s="15" t="s">
        <v>45</v>
      </c>
      <c r="R43" s="12" t="s">
        <v>88</v>
      </c>
      <c r="S43" s="10"/>
      <c r="T43" s="14"/>
      <c r="U43" s="10"/>
      <c r="V43" s="10"/>
      <c r="W43" s="10"/>
      <c r="X43" s="10"/>
      <c r="Y43" s="10"/>
      <c r="Z43" s="10"/>
      <c r="AA43" s="12"/>
      <c r="AB43" s="12"/>
      <c r="AC43" s="12"/>
      <c r="AD43" s="12"/>
      <c r="AE43" s="12"/>
    </row>
    <row r="44" s="13" customFormat="true" ht="15" hidden="false" customHeight="false" outlineLevel="0" collapsed="false">
      <c r="A44" s="10" t="s">
        <v>39</v>
      </c>
      <c r="B44" s="10" t="s">
        <v>40</v>
      </c>
      <c r="C44" s="11" t="s">
        <v>86</v>
      </c>
      <c r="D44" s="10" t="s">
        <v>92</v>
      </c>
      <c r="E44" s="10" t="n">
        <v>104545</v>
      </c>
      <c r="F44" s="10" t="n">
        <v>228.64</v>
      </c>
      <c r="G44" s="10" t="n">
        <v>92</v>
      </c>
      <c r="H44" s="10" t="n">
        <v>430</v>
      </c>
      <c r="I44" s="10" t="n">
        <v>213</v>
      </c>
      <c r="J44" s="10" t="n">
        <v>217</v>
      </c>
      <c r="K44" s="10" t="n">
        <v>0</v>
      </c>
      <c r="L44" s="10" t="n">
        <f aca="false">K44*100/H44</f>
        <v>0</v>
      </c>
      <c r="M44" s="10" t="n">
        <v>0</v>
      </c>
      <c r="N44" s="10" t="n">
        <f aca="false">M44*100/H44</f>
        <v>0</v>
      </c>
      <c r="O44" s="10" t="n">
        <v>47.65</v>
      </c>
      <c r="P44" s="10" t="n">
        <v>0</v>
      </c>
      <c r="Q44" s="15" t="s">
        <v>45</v>
      </c>
      <c r="R44" s="12" t="s">
        <v>88</v>
      </c>
      <c r="S44" s="10"/>
      <c r="T44" s="14"/>
      <c r="U44" s="10"/>
      <c r="V44" s="10"/>
      <c r="W44" s="10"/>
      <c r="X44" s="10"/>
      <c r="Y44" s="10"/>
      <c r="Z44" s="10"/>
      <c r="AA44" s="12"/>
      <c r="AB44" s="12"/>
      <c r="AC44" s="12"/>
      <c r="AD44" s="12"/>
      <c r="AE44" s="12"/>
    </row>
    <row r="45" s="13" customFormat="true" ht="15" hidden="false" customHeight="false" outlineLevel="0" collapsed="false">
      <c r="A45" s="10" t="s">
        <v>39</v>
      </c>
      <c r="B45" s="10" t="s">
        <v>40</v>
      </c>
      <c r="C45" s="11" t="s">
        <v>86</v>
      </c>
      <c r="D45" s="10" t="s">
        <v>93</v>
      </c>
      <c r="E45" s="10" t="n">
        <v>104548</v>
      </c>
      <c r="F45" s="10" t="n">
        <v>147.83</v>
      </c>
      <c r="G45" s="10" t="n">
        <v>34</v>
      </c>
      <c r="H45" s="10" t="n">
        <v>162</v>
      </c>
      <c r="I45" s="10" t="n">
        <v>74</v>
      </c>
      <c r="J45" s="10" t="n">
        <v>88</v>
      </c>
      <c r="K45" s="10" t="n">
        <v>12</v>
      </c>
      <c r="L45" s="10" t="n">
        <f aca="false">K45*100/H45</f>
        <v>7.40740740740741</v>
      </c>
      <c r="M45" s="10" t="n">
        <v>37</v>
      </c>
      <c r="N45" s="10" t="n">
        <f aca="false">M45*100/H45</f>
        <v>22.8395061728395</v>
      </c>
      <c r="O45" s="10" t="n">
        <v>22.62</v>
      </c>
      <c r="P45" s="10" t="n">
        <v>66.39</v>
      </c>
      <c r="Q45" s="15" t="s">
        <v>45</v>
      </c>
      <c r="R45" s="12" t="s">
        <v>88</v>
      </c>
      <c r="S45" s="10"/>
      <c r="T45" s="14"/>
      <c r="U45" s="10"/>
      <c r="V45" s="10"/>
      <c r="W45" s="10"/>
      <c r="X45" s="10"/>
      <c r="Y45" s="10"/>
      <c r="Z45" s="10"/>
      <c r="AA45" s="12"/>
      <c r="AB45" s="12"/>
      <c r="AC45" s="12"/>
      <c r="AD45" s="12"/>
      <c r="AE45" s="12"/>
    </row>
    <row r="46" s="13" customFormat="true" ht="15" hidden="false" customHeight="false" outlineLevel="0" collapsed="false">
      <c r="A46" s="10" t="s">
        <v>39</v>
      </c>
      <c r="B46" s="10" t="s">
        <v>40</v>
      </c>
      <c r="C46" s="11" t="s">
        <v>86</v>
      </c>
      <c r="D46" s="10" t="s">
        <v>94</v>
      </c>
      <c r="E46" s="10" t="n">
        <v>104544</v>
      </c>
      <c r="F46" s="10" t="n">
        <v>897.29</v>
      </c>
      <c r="G46" s="10" t="n">
        <v>119</v>
      </c>
      <c r="H46" s="10" t="n">
        <v>577</v>
      </c>
      <c r="I46" s="10" t="n">
        <v>279</v>
      </c>
      <c r="J46" s="10" t="n">
        <v>298</v>
      </c>
      <c r="K46" s="10" t="n">
        <v>23</v>
      </c>
      <c r="L46" s="10" t="n">
        <f aca="false">K46*100/H46</f>
        <v>3.98613518197574</v>
      </c>
      <c r="M46" s="10" t="n">
        <v>554</v>
      </c>
      <c r="N46" s="10" t="n">
        <f aca="false">M46*100/H46</f>
        <v>96.0138648180243</v>
      </c>
      <c r="O46" s="10" t="n">
        <v>19.19</v>
      </c>
      <c r="P46" s="10" t="n">
        <v>776.08</v>
      </c>
      <c r="Q46" s="15" t="s">
        <v>45</v>
      </c>
      <c r="R46" s="12" t="s">
        <v>88</v>
      </c>
      <c r="S46" s="10"/>
      <c r="T46" s="12"/>
      <c r="U46" s="10"/>
      <c r="V46" s="10"/>
      <c r="W46" s="10"/>
      <c r="X46" s="10"/>
      <c r="Y46" s="10"/>
      <c r="Z46" s="10"/>
      <c r="AA46" s="12"/>
      <c r="AB46" s="12"/>
      <c r="AC46" s="12"/>
      <c r="AD46" s="12"/>
      <c r="AE46" s="12"/>
    </row>
    <row r="47" s="13" customFormat="true" ht="15" hidden="false" customHeight="false" outlineLevel="0" collapsed="false">
      <c r="A47" s="10" t="s">
        <v>39</v>
      </c>
      <c r="B47" s="10" t="s">
        <v>40</v>
      </c>
      <c r="C47" s="11" t="s">
        <v>95</v>
      </c>
      <c r="D47" s="10" t="s">
        <v>96</v>
      </c>
      <c r="E47" s="10" t="n">
        <v>104616</v>
      </c>
      <c r="F47" s="10" t="n">
        <v>940.41</v>
      </c>
      <c r="G47" s="10" t="n">
        <v>298</v>
      </c>
      <c r="H47" s="10" t="n">
        <v>1289</v>
      </c>
      <c r="I47" s="10" t="n">
        <v>666</v>
      </c>
      <c r="J47" s="10" t="n">
        <v>623</v>
      </c>
      <c r="K47" s="10" t="n">
        <v>51</v>
      </c>
      <c r="L47" s="10" t="n">
        <f aca="false">K47*100/H47</f>
        <v>3.95655546935609</v>
      </c>
      <c r="M47" s="10" t="n">
        <v>0</v>
      </c>
      <c r="N47" s="10" t="n">
        <f aca="false">M47*100/H47</f>
        <v>0</v>
      </c>
      <c r="O47" s="10" t="n">
        <v>165.69</v>
      </c>
      <c r="P47" s="10" t="n">
        <v>91.42</v>
      </c>
      <c r="Q47" s="12" t="s">
        <v>43</v>
      </c>
      <c r="R47" s="12" t="s">
        <v>97</v>
      </c>
      <c r="S47" s="10"/>
      <c r="T47" s="12" t="n">
        <v>122.7652</v>
      </c>
      <c r="U47" s="10"/>
      <c r="V47" s="10"/>
      <c r="W47" s="10"/>
      <c r="X47" s="10"/>
      <c r="Y47" s="10"/>
      <c r="Z47" s="10"/>
      <c r="AA47" s="12" t="s">
        <v>47</v>
      </c>
      <c r="AB47" s="12"/>
      <c r="AC47" s="12"/>
      <c r="AD47" s="12"/>
      <c r="AE47" s="12"/>
    </row>
    <row r="48" s="13" customFormat="true" ht="15" hidden="false" customHeight="false" outlineLevel="0" collapsed="false">
      <c r="A48" s="10" t="s">
        <v>39</v>
      </c>
      <c r="B48" s="10" t="s">
        <v>40</v>
      </c>
      <c r="C48" s="11" t="s">
        <v>95</v>
      </c>
      <c r="D48" s="10" t="s">
        <v>98</v>
      </c>
      <c r="E48" s="10" t="n">
        <v>104623</v>
      </c>
      <c r="F48" s="10" t="n">
        <v>225.21</v>
      </c>
      <c r="G48" s="10" t="n">
        <v>178</v>
      </c>
      <c r="H48" s="10" t="n">
        <v>732</v>
      </c>
      <c r="I48" s="10" t="n">
        <v>377</v>
      </c>
      <c r="J48" s="10" t="n">
        <v>355</v>
      </c>
      <c r="K48" s="10" t="n">
        <v>168</v>
      </c>
      <c r="L48" s="10" t="n">
        <f aca="false">K48*100/H48</f>
        <v>22.9508196721311</v>
      </c>
      <c r="M48" s="10" t="n">
        <v>0</v>
      </c>
      <c r="N48" s="10" t="n">
        <f aca="false">M48*100/H48</f>
        <v>0</v>
      </c>
      <c r="O48" s="10" t="n">
        <v>43.62</v>
      </c>
      <c r="P48" s="10" t="n">
        <v>0</v>
      </c>
      <c r="Q48" s="12" t="s">
        <v>43</v>
      </c>
      <c r="R48" s="12" t="s">
        <v>97</v>
      </c>
      <c r="S48" s="10"/>
      <c r="T48" s="12" t="n">
        <v>43.6088</v>
      </c>
      <c r="U48" s="10"/>
      <c r="V48" s="10"/>
      <c r="W48" s="10"/>
      <c r="X48" s="10"/>
      <c r="Y48" s="10"/>
      <c r="Z48" s="10"/>
      <c r="AA48" s="12" t="s">
        <v>45</v>
      </c>
      <c r="AB48" s="12" t="n">
        <v>16</v>
      </c>
      <c r="AC48" s="12"/>
      <c r="AD48" s="12" t="n">
        <v>24.274631</v>
      </c>
      <c r="AE48" s="12" t="n">
        <v>76.466682</v>
      </c>
    </row>
    <row r="49" s="13" customFormat="true" ht="15" hidden="false" customHeight="false" outlineLevel="0" collapsed="false">
      <c r="A49" s="10" t="s">
        <v>39</v>
      </c>
      <c r="B49" s="10" t="s">
        <v>40</v>
      </c>
      <c r="C49" s="11" t="s">
        <v>95</v>
      </c>
      <c r="D49" s="10" t="s">
        <v>99</v>
      </c>
      <c r="E49" s="10" t="n">
        <v>104625</v>
      </c>
      <c r="F49" s="10" t="n">
        <v>318.77</v>
      </c>
      <c r="G49" s="10" t="n">
        <v>130</v>
      </c>
      <c r="H49" s="10" t="n">
        <v>662</v>
      </c>
      <c r="I49" s="10" t="n">
        <v>334</v>
      </c>
      <c r="J49" s="10" t="n">
        <v>328</v>
      </c>
      <c r="K49" s="10" t="n">
        <v>0</v>
      </c>
      <c r="L49" s="10" t="n">
        <f aca="false">K49*100/H49</f>
        <v>0</v>
      </c>
      <c r="M49" s="10" t="n">
        <v>0</v>
      </c>
      <c r="N49" s="10" t="n">
        <f aca="false">M49*100/H49</f>
        <v>0</v>
      </c>
      <c r="O49" s="10" t="n">
        <v>52.7</v>
      </c>
      <c r="P49" s="10" t="n">
        <v>0</v>
      </c>
      <c r="Q49" s="12" t="s">
        <v>43</v>
      </c>
      <c r="R49" s="12" t="s">
        <v>97</v>
      </c>
      <c r="S49" s="10"/>
      <c r="T49" s="12" t="n">
        <v>55.3691</v>
      </c>
      <c r="U49" s="10"/>
      <c r="V49" s="10"/>
      <c r="W49" s="10"/>
      <c r="X49" s="10"/>
      <c r="Y49" s="10"/>
      <c r="Z49" s="10"/>
      <c r="AA49" s="12" t="s">
        <v>47</v>
      </c>
      <c r="AB49" s="12"/>
      <c r="AC49" s="12"/>
      <c r="AD49" s="12"/>
      <c r="AE49" s="12"/>
    </row>
    <row r="50" s="13" customFormat="true" ht="15" hidden="false" customHeight="false" outlineLevel="0" collapsed="false">
      <c r="A50" s="10" t="s">
        <v>39</v>
      </c>
      <c r="B50" s="10" t="s">
        <v>40</v>
      </c>
      <c r="C50" s="11" t="s">
        <v>95</v>
      </c>
      <c r="D50" s="10" t="s">
        <v>100</v>
      </c>
      <c r="E50" s="10" t="n">
        <v>104621</v>
      </c>
      <c r="F50" s="10" t="n">
        <v>50.79</v>
      </c>
      <c r="G50" s="10" t="n">
        <v>34</v>
      </c>
      <c r="H50" s="10" t="n">
        <v>140</v>
      </c>
      <c r="I50" s="10" t="n">
        <v>82</v>
      </c>
      <c r="J50" s="10" t="n">
        <v>58</v>
      </c>
      <c r="K50" s="10" t="n">
        <v>0</v>
      </c>
      <c r="L50" s="10" t="n">
        <f aca="false">K50*100/H50</f>
        <v>0</v>
      </c>
      <c r="M50" s="10" t="n">
        <v>0</v>
      </c>
      <c r="N50" s="10" t="n">
        <f aca="false">M50*100/H50</f>
        <v>0</v>
      </c>
      <c r="O50" s="10" t="n">
        <v>13.39</v>
      </c>
      <c r="P50" s="10" t="n">
        <v>0</v>
      </c>
      <c r="Q50" s="12" t="s">
        <v>43</v>
      </c>
      <c r="R50" s="12" t="s">
        <v>97</v>
      </c>
      <c r="S50" s="10"/>
      <c r="T50" s="12" t="n">
        <v>13.4679</v>
      </c>
      <c r="U50" s="10"/>
      <c r="V50" s="10"/>
      <c r="W50" s="10"/>
      <c r="X50" s="10"/>
      <c r="Y50" s="10"/>
      <c r="Z50" s="10"/>
      <c r="AA50" s="12" t="s">
        <v>45</v>
      </c>
      <c r="AB50" s="12" t="n">
        <v>12</v>
      </c>
      <c r="AC50" s="12"/>
      <c r="AD50" s="12" t="n">
        <v>24.192122</v>
      </c>
      <c r="AE50" s="12" t="n">
        <v>76.533327</v>
      </c>
    </row>
    <row r="51" s="13" customFormat="true" ht="15" hidden="false" customHeight="false" outlineLevel="0" collapsed="false">
      <c r="A51" s="10" t="s">
        <v>39</v>
      </c>
      <c r="B51" s="10" t="s">
        <v>40</v>
      </c>
      <c r="C51" s="11" t="s">
        <v>95</v>
      </c>
      <c r="D51" s="10" t="s">
        <v>100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" t="s">
        <v>43</v>
      </c>
      <c r="R51" s="12" t="s">
        <v>97</v>
      </c>
      <c r="S51" s="10"/>
      <c r="T51" s="12"/>
      <c r="U51" s="10"/>
      <c r="V51" s="10"/>
      <c r="W51" s="10"/>
      <c r="X51" s="10"/>
      <c r="Y51" s="10"/>
      <c r="Z51" s="10"/>
      <c r="AA51" s="12" t="s">
        <v>82</v>
      </c>
      <c r="AB51" s="12" t="n">
        <v>12</v>
      </c>
      <c r="AC51" s="12"/>
      <c r="AD51" s="10"/>
      <c r="AE51" s="10"/>
    </row>
    <row r="52" s="13" customFormat="true" ht="15" hidden="false" customHeight="false" outlineLevel="0" collapsed="false">
      <c r="A52" s="10" t="s">
        <v>39</v>
      </c>
      <c r="B52" s="10" t="s">
        <v>40</v>
      </c>
      <c r="C52" s="11" t="s">
        <v>95</v>
      </c>
      <c r="D52" s="10" t="s">
        <v>101</v>
      </c>
      <c r="E52" s="10" t="n">
        <v>104617</v>
      </c>
      <c r="F52" s="10" t="n">
        <v>496.45</v>
      </c>
      <c r="G52" s="10" t="n">
        <v>150</v>
      </c>
      <c r="H52" s="10" t="n">
        <v>799</v>
      </c>
      <c r="I52" s="10" t="n">
        <v>426</v>
      </c>
      <c r="J52" s="10" t="n">
        <v>373</v>
      </c>
      <c r="K52" s="10" t="n">
        <v>306</v>
      </c>
      <c r="L52" s="10" t="n">
        <f aca="false">K52*100/H52</f>
        <v>38.2978723404255</v>
      </c>
      <c r="M52" s="10" t="n">
        <v>0</v>
      </c>
      <c r="N52" s="10" t="n">
        <f aca="false">M52*100/H52</f>
        <v>0</v>
      </c>
      <c r="O52" s="10" t="n">
        <v>69.22</v>
      </c>
      <c r="P52" s="10" t="n">
        <v>159.97</v>
      </c>
      <c r="Q52" s="12" t="s">
        <v>43</v>
      </c>
      <c r="R52" s="12" t="s">
        <v>97</v>
      </c>
      <c r="S52" s="10"/>
      <c r="T52" s="12" t="n">
        <v>14.083</v>
      </c>
      <c r="U52" s="10"/>
      <c r="V52" s="10"/>
      <c r="W52" s="10"/>
      <c r="X52" s="10"/>
      <c r="Y52" s="10"/>
      <c r="Z52" s="10"/>
      <c r="AA52" s="12" t="s">
        <v>82</v>
      </c>
      <c r="AB52" s="12" t="n">
        <v>14</v>
      </c>
      <c r="AC52" s="12"/>
      <c r="AD52" s="12"/>
      <c r="AE52" s="12"/>
    </row>
    <row r="53" s="13" customFormat="true" ht="15" hidden="false" customHeight="false" outlineLevel="0" collapsed="false">
      <c r="A53" s="10" t="s">
        <v>39</v>
      </c>
      <c r="B53" s="10" t="s">
        <v>40</v>
      </c>
      <c r="C53" s="11" t="s">
        <v>95</v>
      </c>
      <c r="D53" s="10" t="s">
        <v>102</v>
      </c>
      <c r="E53" s="10" t="n">
        <v>104620</v>
      </c>
      <c r="F53" s="10" t="n">
        <v>249.52</v>
      </c>
      <c r="G53" s="10" t="n">
        <v>34</v>
      </c>
      <c r="H53" s="10" t="n">
        <v>168</v>
      </c>
      <c r="I53" s="10" t="n">
        <v>94</v>
      </c>
      <c r="J53" s="10" t="n">
        <v>74</v>
      </c>
      <c r="K53" s="10" t="n">
        <v>48</v>
      </c>
      <c r="L53" s="10" t="n">
        <f aca="false">K53*100/H53</f>
        <v>28.5714285714286</v>
      </c>
      <c r="M53" s="10" t="n">
        <v>0</v>
      </c>
      <c r="N53" s="10" t="n">
        <f aca="false">M53*100/H53</f>
        <v>0</v>
      </c>
      <c r="O53" s="10" t="n">
        <v>23.94</v>
      </c>
      <c r="P53" s="10" t="n">
        <v>0</v>
      </c>
      <c r="Q53" s="12" t="s">
        <v>43</v>
      </c>
      <c r="R53" s="12" t="s">
        <v>97</v>
      </c>
      <c r="S53" s="10"/>
      <c r="T53" s="12" t="n">
        <v>23.9169</v>
      </c>
      <c r="U53" s="10"/>
      <c r="V53" s="10"/>
      <c r="W53" s="10"/>
      <c r="X53" s="10"/>
      <c r="Y53" s="10"/>
      <c r="Z53" s="10"/>
      <c r="AA53" s="12" t="s">
        <v>47</v>
      </c>
      <c r="AB53" s="12"/>
      <c r="AC53" s="12"/>
      <c r="AD53" s="12"/>
      <c r="AE53" s="12"/>
    </row>
    <row r="54" s="13" customFormat="true" ht="15" hidden="false" customHeight="false" outlineLevel="0" collapsed="false">
      <c r="A54" s="10" t="s">
        <v>39</v>
      </c>
      <c r="B54" s="10" t="s">
        <v>40</v>
      </c>
      <c r="C54" s="11" t="s">
        <v>95</v>
      </c>
      <c r="D54" s="10" t="s">
        <v>103</v>
      </c>
      <c r="E54" s="10" t="n">
        <v>104619</v>
      </c>
      <c r="F54" s="10" t="n">
        <v>141.43</v>
      </c>
      <c r="G54" s="10" t="n">
        <v>37</v>
      </c>
      <c r="H54" s="10" t="n">
        <v>134</v>
      </c>
      <c r="I54" s="10" t="n">
        <v>70</v>
      </c>
      <c r="J54" s="10" t="n">
        <v>64</v>
      </c>
      <c r="K54" s="10" t="n">
        <v>0</v>
      </c>
      <c r="L54" s="10" t="n">
        <f aca="false">K54*100/H54</f>
        <v>0</v>
      </c>
      <c r="M54" s="10" t="n">
        <v>0</v>
      </c>
      <c r="N54" s="10" t="n">
        <f aca="false">M54*100/H54</f>
        <v>0</v>
      </c>
      <c r="O54" s="10" t="n">
        <v>28.13</v>
      </c>
      <c r="P54" s="10" t="n">
        <v>10.56</v>
      </c>
      <c r="Q54" s="12" t="s">
        <v>43</v>
      </c>
      <c r="R54" s="12" t="s">
        <v>97</v>
      </c>
      <c r="S54" s="10"/>
      <c r="T54" s="12" t="n">
        <v>28.1337</v>
      </c>
      <c r="U54" s="10"/>
      <c r="V54" s="10"/>
      <c r="W54" s="10"/>
      <c r="X54" s="10"/>
      <c r="Y54" s="10"/>
      <c r="Z54" s="10"/>
      <c r="AA54" s="12" t="s">
        <v>47</v>
      </c>
      <c r="AB54" s="12"/>
      <c r="AC54" s="12"/>
      <c r="AD54" s="12"/>
      <c r="AE54" s="12"/>
    </row>
    <row r="55" s="13" customFormat="true" ht="15" hidden="false" customHeight="false" outlineLevel="0" collapsed="false">
      <c r="A55" s="10" t="s">
        <v>39</v>
      </c>
      <c r="B55" s="10" t="s">
        <v>40</v>
      </c>
      <c r="C55" s="11" t="s">
        <v>95</v>
      </c>
      <c r="D55" s="10" t="s">
        <v>104</v>
      </c>
      <c r="E55" s="10" t="n">
        <v>104624</v>
      </c>
      <c r="F55" s="10" t="n">
        <v>82.59</v>
      </c>
      <c r="G55" s="10" t="n">
        <v>79</v>
      </c>
      <c r="H55" s="10" t="n">
        <v>292</v>
      </c>
      <c r="I55" s="10" t="n">
        <v>153</v>
      </c>
      <c r="J55" s="10" t="n">
        <v>139</v>
      </c>
      <c r="K55" s="10" t="n">
        <v>0</v>
      </c>
      <c r="L55" s="10" t="n">
        <f aca="false">K55*100/H55</f>
        <v>0</v>
      </c>
      <c r="M55" s="10" t="n">
        <v>0</v>
      </c>
      <c r="N55" s="10" t="n">
        <f aca="false">M55*100/H55</f>
        <v>0</v>
      </c>
      <c r="O55" s="10" t="n">
        <v>34.82</v>
      </c>
      <c r="P55" s="10" t="n">
        <v>0</v>
      </c>
      <c r="Q55" s="12" t="s">
        <v>43</v>
      </c>
      <c r="R55" s="12" t="s">
        <v>97</v>
      </c>
      <c r="S55" s="10"/>
      <c r="T55" s="12" t="n">
        <v>34.8272</v>
      </c>
      <c r="U55" s="10"/>
      <c r="V55" s="10"/>
      <c r="W55" s="10"/>
      <c r="X55" s="10"/>
      <c r="Y55" s="10"/>
      <c r="Z55" s="10"/>
      <c r="AA55" s="12" t="s">
        <v>47</v>
      </c>
      <c r="AB55" s="12"/>
      <c r="AC55" s="12"/>
      <c r="AD55" s="12"/>
      <c r="AE55" s="12"/>
    </row>
    <row r="56" s="13" customFormat="true" ht="15" hidden="false" customHeight="false" outlineLevel="0" collapsed="false">
      <c r="A56" s="10" t="s">
        <v>39</v>
      </c>
      <c r="B56" s="10" t="s">
        <v>40</v>
      </c>
      <c r="C56" s="11" t="s">
        <v>105</v>
      </c>
      <c r="D56" s="10" t="s">
        <v>106</v>
      </c>
      <c r="E56" s="10" t="n">
        <v>104466</v>
      </c>
      <c r="F56" s="10" t="n">
        <v>802.91</v>
      </c>
      <c r="G56" s="10" t="n">
        <v>211</v>
      </c>
      <c r="H56" s="10" t="n">
        <v>1079</v>
      </c>
      <c r="I56" s="10" t="n">
        <v>575</v>
      </c>
      <c r="J56" s="10" t="n">
        <v>504</v>
      </c>
      <c r="K56" s="10" t="n">
        <v>237</v>
      </c>
      <c r="L56" s="10" t="n">
        <f aca="false">K56*100/H56</f>
        <v>21.9647822057461</v>
      </c>
      <c r="M56" s="10" t="n">
        <v>186</v>
      </c>
      <c r="N56" s="10" t="n">
        <f aca="false">M56*100/H56</f>
        <v>17.2381835032437</v>
      </c>
      <c r="O56" s="10" t="n">
        <v>53.41</v>
      </c>
      <c r="P56" s="10" t="n">
        <v>0</v>
      </c>
      <c r="Q56" s="12" t="s">
        <v>45</v>
      </c>
      <c r="R56" s="20" t="s">
        <v>57</v>
      </c>
      <c r="S56" s="10"/>
      <c r="T56" s="10" t="n">
        <v>70.0834</v>
      </c>
      <c r="U56" s="10"/>
      <c r="V56" s="10"/>
      <c r="W56" s="10"/>
      <c r="X56" s="10"/>
      <c r="Y56" s="10"/>
      <c r="Z56" s="10"/>
      <c r="AA56" s="12" t="s">
        <v>47</v>
      </c>
      <c r="AB56" s="10"/>
      <c r="AC56" s="10"/>
      <c r="AD56" s="10" t="n">
        <v>24.359087</v>
      </c>
      <c r="AE56" s="10" t="n">
        <v>76.488128</v>
      </c>
    </row>
    <row r="57" s="13" customFormat="true" ht="15" hidden="false" customHeight="false" outlineLevel="0" collapsed="false">
      <c r="A57" s="10" t="s">
        <v>39</v>
      </c>
      <c r="B57" s="10" t="s">
        <v>40</v>
      </c>
      <c r="C57" s="11" t="s">
        <v>105</v>
      </c>
      <c r="D57" s="10" t="s">
        <v>107</v>
      </c>
      <c r="E57" s="10" t="n">
        <v>104467</v>
      </c>
      <c r="F57" s="10" t="n">
        <v>370.27</v>
      </c>
      <c r="G57" s="10" t="n">
        <v>92</v>
      </c>
      <c r="H57" s="10" t="n">
        <v>429</v>
      </c>
      <c r="I57" s="10" t="n">
        <v>224</v>
      </c>
      <c r="J57" s="10" t="n">
        <v>205</v>
      </c>
      <c r="K57" s="10" t="n">
        <v>6</v>
      </c>
      <c r="L57" s="10" t="n">
        <f aca="false">K57*100/H57</f>
        <v>1.3986013986014</v>
      </c>
      <c r="M57" s="10" t="n">
        <v>0</v>
      </c>
      <c r="N57" s="10" t="n">
        <f aca="false">M57*100/H57</f>
        <v>0</v>
      </c>
      <c r="O57" s="10" t="n">
        <v>10.07</v>
      </c>
      <c r="P57" s="10" t="n">
        <v>267.37</v>
      </c>
      <c r="Q57" s="12" t="s">
        <v>45</v>
      </c>
      <c r="R57" s="20" t="s">
        <v>57</v>
      </c>
      <c r="S57" s="10"/>
      <c r="T57" s="10" t="n">
        <v>62.4994</v>
      </c>
      <c r="U57" s="10"/>
      <c r="V57" s="10" t="s">
        <v>49</v>
      </c>
      <c r="W57" s="10"/>
      <c r="X57" s="10"/>
      <c r="Y57" s="10"/>
      <c r="Z57" s="10"/>
      <c r="AA57" s="10" t="s">
        <v>82</v>
      </c>
      <c r="AB57" s="10" t="n">
        <v>17.62</v>
      </c>
      <c r="AC57" s="10"/>
      <c r="AD57" s="10" t="n">
        <v>24.392419</v>
      </c>
      <c r="AE57" s="10" t="n">
        <v>76.477249</v>
      </c>
    </row>
    <row r="58" s="13" customFormat="true" ht="15" hidden="false" customHeight="false" outlineLevel="0" collapsed="false">
      <c r="A58" s="10" t="s">
        <v>39</v>
      </c>
      <c r="B58" s="10" t="s">
        <v>40</v>
      </c>
      <c r="C58" s="11" t="s">
        <v>105</v>
      </c>
      <c r="D58" s="10" t="s">
        <v>108</v>
      </c>
      <c r="E58" s="10" t="n">
        <v>104465</v>
      </c>
      <c r="F58" s="10" t="n">
        <v>108.42</v>
      </c>
      <c r="G58" s="10" t="n">
        <v>19</v>
      </c>
      <c r="H58" s="10" t="n">
        <v>103</v>
      </c>
      <c r="I58" s="10" t="n">
        <v>54</v>
      </c>
      <c r="J58" s="10" t="n">
        <v>49</v>
      </c>
      <c r="K58" s="10" t="n">
        <v>0</v>
      </c>
      <c r="L58" s="10" t="n">
        <f aca="false">K58*100/H58</f>
        <v>0</v>
      </c>
      <c r="M58" s="10" t="n">
        <v>103</v>
      </c>
      <c r="N58" s="10" t="n">
        <f aca="false">M58*100/H58</f>
        <v>100</v>
      </c>
      <c r="O58" s="10" t="n">
        <v>6.34</v>
      </c>
      <c r="P58" s="10" t="n">
        <v>0</v>
      </c>
      <c r="Q58" s="12" t="s">
        <v>45</v>
      </c>
      <c r="R58" s="20" t="s">
        <v>57</v>
      </c>
      <c r="S58" s="10"/>
      <c r="T58" s="10" t="n">
        <v>6.313</v>
      </c>
      <c r="U58" s="10"/>
      <c r="V58" s="10"/>
      <c r="W58" s="10"/>
      <c r="X58" s="10"/>
      <c r="Y58" s="10"/>
      <c r="Z58" s="10"/>
      <c r="AA58" s="10" t="s">
        <v>47</v>
      </c>
      <c r="AB58" s="10"/>
      <c r="AC58" s="10"/>
      <c r="AD58" s="11" t="n">
        <v>24.307603</v>
      </c>
      <c r="AE58" s="11" t="n">
        <v>76.569756</v>
      </c>
    </row>
    <row r="59" s="13" customFormat="true" ht="15" hidden="false" customHeight="false" outlineLevel="0" collapsed="false">
      <c r="A59" s="10" t="s">
        <v>39</v>
      </c>
      <c r="B59" s="10" t="s">
        <v>40</v>
      </c>
      <c r="C59" s="11" t="s">
        <v>105</v>
      </c>
      <c r="D59" s="10" t="s">
        <v>109</v>
      </c>
      <c r="E59" s="10" t="n">
        <v>104472</v>
      </c>
      <c r="F59" s="10" t="n">
        <v>128.85</v>
      </c>
      <c r="G59" s="10" t="n">
        <v>53</v>
      </c>
      <c r="H59" s="10" t="n">
        <v>298</v>
      </c>
      <c r="I59" s="10" t="n">
        <v>145</v>
      </c>
      <c r="J59" s="10" t="n">
        <v>153</v>
      </c>
      <c r="K59" s="10" t="n">
        <v>0</v>
      </c>
      <c r="L59" s="10" t="n">
        <f aca="false">K59*100/H59</f>
        <v>0</v>
      </c>
      <c r="M59" s="10" t="n">
        <v>208</v>
      </c>
      <c r="N59" s="10" t="n">
        <f aca="false">M59*100/H59</f>
        <v>69.7986577181208</v>
      </c>
      <c r="O59" s="10" t="n">
        <v>12.1</v>
      </c>
      <c r="P59" s="10" t="n">
        <v>0</v>
      </c>
      <c r="Q59" s="12" t="s">
        <v>45</v>
      </c>
      <c r="R59" s="20" t="s">
        <v>57</v>
      </c>
      <c r="S59" s="10"/>
      <c r="T59" s="10" t="n">
        <v>14.3582</v>
      </c>
      <c r="U59" s="10"/>
      <c r="V59" s="10"/>
      <c r="W59" s="10"/>
      <c r="X59" s="10"/>
      <c r="Y59" s="10"/>
      <c r="Z59" s="10"/>
      <c r="AA59" s="12" t="s">
        <v>47</v>
      </c>
      <c r="AB59" s="10"/>
      <c r="AC59" s="10"/>
      <c r="AD59" s="10" t="n">
        <v>24.339994</v>
      </c>
      <c r="AE59" s="10" t="n">
        <v>76.500753</v>
      </c>
    </row>
    <row r="60" s="13" customFormat="true" ht="15" hidden="false" customHeight="false" outlineLevel="0" collapsed="false">
      <c r="A60" s="10" t="s">
        <v>39</v>
      </c>
      <c r="B60" s="10" t="s">
        <v>40</v>
      </c>
      <c r="C60" s="11" t="s">
        <v>110</v>
      </c>
      <c r="D60" s="10" t="s">
        <v>111</v>
      </c>
      <c r="E60" s="10" t="n">
        <v>104576</v>
      </c>
      <c r="F60" s="10" t="n">
        <v>97.06</v>
      </c>
      <c r="G60" s="10" t="n">
        <v>25</v>
      </c>
      <c r="H60" s="10" t="n">
        <v>123</v>
      </c>
      <c r="I60" s="10" t="n">
        <v>62</v>
      </c>
      <c r="J60" s="10" t="n">
        <v>61</v>
      </c>
      <c r="K60" s="10" t="n">
        <v>0</v>
      </c>
      <c r="L60" s="10" t="n">
        <f aca="false">K60*100/H60</f>
        <v>0</v>
      </c>
      <c r="M60" s="10" t="n">
        <v>118</v>
      </c>
      <c r="N60" s="10" t="n">
        <f aca="false">M60*100/H60</f>
        <v>95.9349593495935</v>
      </c>
      <c r="O60" s="10" t="n">
        <v>0</v>
      </c>
      <c r="P60" s="10" t="n">
        <v>22.59</v>
      </c>
      <c r="Q60" s="12" t="s">
        <v>45</v>
      </c>
      <c r="R60" s="21" t="s">
        <v>44</v>
      </c>
      <c r="S60" s="10"/>
      <c r="T60" s="12"/>
      <c r="U60" s="10"/>
      <c r="V60" s="10"/>
      <c r="W60" s="10"/>
      <c r="X60" s="10"/>
      <c r="Y60" s="10"/>
      <c r="Z60" s="10"/>
      <c r="AA60" s="12"/>
      <c r="AB60" s="12"/>
      <c r="AC60" s="12"/>
      <c r="AD60" s="12" t="n">
        <v>24.2930285</v>
      </c>
      <c r="AE60" s="12" t="n">
        <v>76.6422635</v>
      </c>
    </row>
    <row r="61" s="13" customFormat="true" ht="15" hidden="false" customHeight="false" outlineLevel="0" collapsed="false">
      <c r="A61" s="10" t="s">
        <v>39</v>
      </c>
      <c r="B61" s="10" t="s">
        <v>40</v>
      </c>
      <c r="C61" s="11" t="s">
        <v>110</v>
      </c>
      <c r="D61" s="10" t="s">
        <v>112</v>
      </c>
      <c r="E61" s="10" t="n">
        <v>104531</v>
      </c>
      <c r="F61" s="10" t="n">
        <v>873.37</v>
      </c>
      <c r="G61" s="10" t="n">
        <v>251</v>
      </c>
      <c r="H61" s="10" t="n">
        <v>1243</v>
      </c>
      <c r="I61" s="10" t="n">
        <v>649</v>
      </c>
      <c r="J61" s="10" t="n">
        <v>594</v>
      </c>
      <c r="K61" s="10" t="n">
        <v>36</v>
      </c>
      <c r="L61" s="10" t="n">
        <f aca="false">K61*100/H61</f>
        <v>2.89621882542237</v>
      </c>
      <c r="M61" s="10" t="n">
        <v>1021</v>
      </c>
      <c r="N61" s="10" t="n">
        <f aca="false">M61*100/H61</f>
        <v>82.1399839098954</v>
      </c>
      <c r="O61" s="10" t="n">
        <v>88.3</v>
      </c>
      <c r="P61" s="10" t="n">
        <v>0</v>
      </c>
      <c r="Q61" s="12" t="s">
        <v>45</v>
      </c>
      <c r="R61" s="21" t="s">
        <v>44</v>
      </c>
      <c r="S61" s="10"/>
      <c r="T61" s="16"/>
      <c r="U61" s="10"/>
      <c r="V61" s="10"/>
      <c r="W61" s="10"/>
      <c r="X61" s="10"/>
      <c r="Y61" s="10"/>
      <c r="Z61" s="10"/>
      <c r="AA61" s="16"/>
      <c r="AB61" s="16"/>
      <c r="AC61" s="16"/>
      <c r="AD61" s="17" t="n">
        <v>24.297368</v>
      </c>
      <c r="AE61" s="17" t="n">
        <v>76.615786</v>
      </c>
    </row>
    <row r="62" s="13" customFormat="true" ht="15" hidden="false" customHeight="false" outlineLevel="0" collapsed="false">
      <c r="A62" s="10" t="s">
        <v>39</v>
      </c>
      <c r="B62" s="10" t="s">
        <v>40</v>
      </c>
      <c r="C62" s="11" t="s">
        <v>110</v>
      </c>
      <c r="D62" s="10" t="s">
        <v>113</v>
      </c>
      <c r="E62" s="10" t="n">
        <v>104578</v>
      </c>
      <c r="F62" s="10" t="n">
        <v>291.5</v>
      </c>
      <c r="G62" s="10" t="n">
        <v>190</v>
      </c>
      <c r="H62" s="10" t="n">
        <v>924</v>
      </c>
      <c r="I62" s="10" t="n">
        <v>490</v>
      </c>
      <c r="J62" s="10" t="n">
        <v>434</v>
      </c>
      <c r="K62" s="10" t="n">
        <v>57</v>
      </c>
      <c r="L62" s="10" t="n">
        <f aca="false">K62*100/H62</f>
        <v>6.16883116883117</v>
      </c>
      <c r="M62" s="10" t="n">
        <v>191</v>
      </c>
      <c r="N62" s="10" t="n">
        <f aca="false">M62*100/H62</f>
        <v>20.6709956709957</v>
      </c>
      <c r="O62" s="10" t="n">
        <v>66.88</v>
      </c>
      <c r="P62" s="10" t="n">
        <v>75.34</v>
      </c>
      <c r="Q62" s="12" t="s">
        <v>45</v>
      </c>
      <c r="R62" s="21" t="s">
        <v>44</v>
      </c>
      <c r="S62" s="10"/>
      <c r="T62" s="12"/>
      <c r="U62" s="10"/>
      <c r="V62" s="10"/>
      <c r="W62" s="10"/>
      <c r="X62" s="10"/>
      <c r="Y62" s="10"/>
      <c r="Z62" s="10"/>
      <c r="AA62" s="12"/>
      <c r="AB62" s="12"/>
      <c r="AC62" s="12"/>
      <c r="AD62" s="17" t="n">
        <v>24.296967</v>
      </c>
      <c r="AE62" s="17" t="n">
        <v>76.665529</v>
      </c>
    </row>
    <row r="63" s="13" customFormat="true" ht="15" hidden="false" customHeight="false" outlineLevel="0" collapsed="false">
      <c r="A63" s="10" t="s">
        <v>39</v>
      </c>
      <c r="B63" s="10" t="s">
        <v>40</v>
      </c>
      <c r="C63" s="11" t="s">
        <v>110</v>
      </c>
      <c r="D63" s="10" t="s">
        <v>52</v>
      </c>
      <c r="E63" s="10" t="n">
        <v>104418</v>
      </c>
      <c r="F63" s="10" t="n">
        <v>187.66</v>
      </c>
      <c r="G63" s="10" t="n">
        <v>165</v>
      </c>
      <c r="H63" s="10" t="n">
        <v>681</v>
      </c>
      <c r="I63" s="10" t="n">
        <v>345</v>
      </c>
      <c r="J63" s="10" t="n">
        <v>336</v>
      </c>
      <c r="K63" s="10" t="n">
        <v>111</v>
      </c>
      <c r="L63" s="10" t="n">
        <f aca="false">K63*100/H63</f>
        <v>16.2995594713656</v>
      </c>
      <c r="M63" s="10" t="n">
        <v>343</v>
      </c>
      <c r="N63" s="10" t="n">
        <f aca="false">M63*100/H63</f>
        <v>50.367107195301</v>
      </c>
      <c r="O63" s="10" t="n">
        <v>26.24</v>
      </c>
      <c r="P63" s="10" t="n">
        <v>52.09</v>
      </c>
      <c r="Q63" s="12" t="s">
        <v>45</v>
      </c>
      <c r="R63" s="21" t="s">
        <v>44</v>
      </c>
      <c r="S63" s="10"/>
      <c r="T63" s="12"/>
      <c r="U63" s="10"/>
      <c r="V63" s="10"/>
      <c r="W63" s="10"/>
      <c r="X63" s="10"/>
      <c r="Y63" s="10"/>
      <c r="Z63" s="10"/>
      <c r="AA63" s="12"/>
      <c r="AB63" s="12"/>
      <c r="AC63" s="12"/>
      <c r="AD63" s="12" t="n">
        <v>24.336632</v>
      </c>
      <c r="AE63" s="12" t="n">
        <v>76.619467</v>
      </c>
    </row>
    <row r="64" s="13" customFormat="true" ht="15" hidden="false" customHeight="false" outlineLevel="0" collapsed="false">
      <c r="A64" s="10" t="s">
        <v>39</v>
      </c>
      <c r="B64" s="10" t="s">
        <v>40</v>
      </c>
      <c r="C64" s="11" t="s">
        <v>110</v>
      </c>
      <c r="D64" s="10" t="s">
        <v>114</v>
      </c>
      <c r="E64" s="10" t="n">
        <v>104575</v>
      </c>
      <c r="F64" s="10" t="n">
        <v>234.28</v>
      </c>
      <c r="G64" s="10" t="n">
        <v>124</v>
      </c>
      <c r="H64" s="10" t="n">
        <v>582</v>
      </c>
      <c r="I64" s="10" t="n">
        <v>296</v>
      </c>
      <c r="J64" s="10" t="n">
        <v>286</v>
      </c>
      <c r="K64" s="10" t="n">
        <v>75</v>
      </c>
      <c r="L64" s="10" t="n">
        <f aca="false">K64*100/H64</f>
        <v>12.8865979381443</v>
      </c>
      <c r="M64" s="10" t="n">
        <v>0</v>
      </c>
      <c r="N64" s="10" t="n">
        <f aca="false">M64*100/H64</f>
        <v>0</v>
      </c>
      <c r="O64" s="10" t="n">
        <v>42.19</v>
      </c>
      <c r="P64" s="10" t="n">
        <v>0</v>
      </c>
      <c r="Q64" s="12" t="s">
        <v>45</v>
      </c>
      <c r="R64" s="21" t="s">
        <v>44</v>
      </c>
      <c r="S64" s="10"/>
      <c r="T64" s="12"/>
      <c r="U64" s="10"/>
      <c r="V64" s="10"/>
      <c r="W64" s="10"/>
      <c r="X64" s="10"/>
      <c r="Y64" s="10"/>
      <c r="Z64" s="10"/>
      <c r="AA64" s="12"/>
      <c r="AB64" s="12"/>
      <c r="AC64" s="12"/>
      <c r="AD64" s="12" t="n">
        <v>24.2884015</v>
      </c>
      <c r="AE64" s="12" t="n">
        <v>76.6298194</v>
      </c>
    </row>
    <row r="65" s="13" customFormat="true" ht="15" hidden="false" customHeight="false" outlineLevel="0" collapsed="false">
      <c r="A65" s="10" t="s">
        <v>39</v>
      </c>
      <c r="B65" s="10" t="s">
        <v>40</v>
      </c>
      <c r="C65" s="11" t="s">
        <v>110</v>
      </c>
      <c r="D65" s="10" t="s">
        <v>115</v>
      </c>
      <c r="E65" s="10" t="n">
        <v>104535</v>
      </c>
      <c r="F65" s="10" t="n">
        <v>338.6</v>
      </c>
      <c r="G65" s="10" t="n">
        <v>74</v>
      </c>
      <c r="H65" s="10" t="n">
        <v>367</v>
      </c>
      <c r="I65" s="10" t="n">
        <v>188</v>
      </c>
      <c r="J65" s="10" t="n">
        <v>179</v>
      </c>
      <c r="K65" s="10" t="n">
        <v>0</v>
      </c>
      <c r="L65" s="10" t="n">
        <f aca="false">K65*100/H65</f>
        <v>0</v>
      </c>
      <c r="M65" s="10" t="n">
        <v>162</v>
      </c>
      <c r="N65" s="10" t="n">
        <f aca="false">M65*100/H65</f>
        <v>44.141689373297</v>
      </c>
      <c r="O65" s="10" t="n">
        <v>27.4</v>
      </c>
      <c r="P65" s="10" t="n">
        <v>149.68</v>
      </c>
      <c r="Q65" s="12" t="s">
        <v>45</v>
      </c>
      <c r="R65" s="21" t="s">
        <v>44</v>
      </c>
      <c r="S65" s="10"/>
      <c r="T65" s="12"/>
      <c r="U65" s="10"/>
      <c r="V65" s="10"/>
      <c r="W65" s="10" t="s">
        <v>49</v>
      </c>
      <c r="X65" s="10" t="s">
        <v>49</v>
      </c>
      <c r="Y65" s="10" t="s">
        <v>49</v>
      </c>
      <c r="Z65" s="10"/>
      <c r="AA65" s="12"/>
      <c r="AB65" s="12"/>
      <c r="AC65" s="10"/>
      <c r="AD65" s="22" t="n">
        <v>24.299968</v>
      </c>
      <c r="AE65" s="22" t="n">
        <v>76.575885</v>
      </c>
    </row>
    <row r="66" s="13" customFormat="true" ht="15" hidden="false" customHeight="false" outlineLevel="0" collapsed="false">
      <c r="A66" s="10" t="s">
        <v>39</v>
      </c>
      <c r="B66" s="10" t="s">
        <v>40</v>
      </c>
      <c r="C66" s="11" t="s">
        <v>110</v>
      </c>
      <c r="D66" s="10" t="s">
        <v>116</v>
      </c>
      <c r="E66" s="10" t="n">
        <v>104533</v>
      </c>
      <c r="F66" s="10" t="n">
        <v>221.56</v>
      </c>
      <c r="G66" s="10" t="n">
        <v>62</v>
      </c>
      <c r="H66" s="10" t="n">
        <v>266</v>
      </c>
      <c r="I66" s="10" t="n">
        <v>139</v>
      </c>
      <c r="J66" s="10" t="n">
        <v>127</v>
      </c>
      <c r="K66" s="10" t="n">
        <v>96</v>
      </c>
      <c r="L66" s="10" t="n">
        <f aca="false">K66*100/H66</f>
        <v>36.0902255639098</v>
      </c>
      <c r="M66" s="10" t="n">
        <v>0</v>
      </c>
      <c r="N66" s="10" t="n">
        <f aca="false">M66*100/H66</f>
        <v>0</v>
      </c>
      <c r="O66" s="10" t="n">
        <v>52.96</v>
      </c>
      <c r="P66" s="10" t="n">
        <v>9.33</v>
      </c>
      <c r="Q66" s="12" t="s">
        <v>45</v>
      </c>
      <c r="R66" s="21" t="s">
        <v>44</v>
      </c>
      <c r="S66" s="10"/>
      <c r="T66" s="12"/>
      <c r="U66" s="10"/>
      <c r="V66" s="10"/>
      <c r="W66" s="10"/>
      <c r="X66" s="10"/>
      <c r="Y66" s="10"/>
      <c r="Z66" s="10"/>
      <c r="AA66" s="12"/>
      <c r="AB66" s="12"/>
      <c r="AC66" s="12"/>
      <c r="AD66" s="12" t="n">
        <v>24.302058</v>
      </c>
      <c r="AE66" s="12" t="n">
        <v>76.586407</v>
      </c>
    </row>
    <row r="67" s="13" customFormat="true" ht="15" hidden="false" customHeight="false" outlineLevel="0" collapsed="false">
      <c r="A67" s="10" t="s">
        <v>39</v>
      </c>
      <c r="B67" s="10" t="s">
        <v>40</v>
      </c>
      <c r="C67" s="11" t="s">
        <v>110</v>
      </c>
      <c r="D67" s="10" t="s">
        <v>117</v>
      </c>
      <c r="E67" s="10" t="n">
        <v>104530</v>
      </c>
      <c r="F67" s="10" t="n">
        <v>341.05</v>
      </c>
      <c r="G67" s="10" t="n">
        <v>61</v>
      </c>
      <c r="H67" s="10" t="n">
        <v>317</v>
      </c>
      <c r="I67" s="10" t="n">
        <v>166</v>
      </c>
      <c r="J67" s="10" t="n">
        <v>151</v>
      </c>
      <c r="K67" s="10" t="n">
        <v>0</v>
      </c>
      <c r="L67" s="10" t="n">
        <f aca="false">K67*100/H67</f>
        <v>0</v>
      </c>
      <c r="M67" s="10" t="n">
        <v>30</v>
      </c>
      <c r="N67" s="10" t="n">
        <f aca="false">M67*100/H67</f>
        <v>9.46372239747634</v>
      </c>
      <c r="O67" s="10" t="n">
        <v>13.47</v>
      </c>
      <c r="P67" s="10" t="n">
        <v>220.01</v>
      </c>
      <c r="Q67" s="12" t="s">
        <v>45</v>
      </c>
      <c r="R67" s="21" t="s">
        <v>44</v>
      </c>
      <c r="S67" s="10"/>
      <c r="T67" s="12"/>
      <c r="U67" s="10"/>
      <c r="V67" s="10"/>
      <c r="W67" s="10"/>
      <c r="X67" s="10"/>
      <c r="Y67" s="10"/>
      <c r="Z67" s="10"/>
      <c r="AA67" s="12"/>
      <c r="AB67" s="12"/>
      <c r="AC67" s="12"/>
      <c r="AD67" s="12" t="n">
        <v>24.323659</v>
      </c>
      <c r="AE67" s="12" t="n">
        <v>76.629272</v>
      </c>
    </row>
    <row r="68" s="13" customFormat="true" ht="15" hidden="false" customHeight="false" outlineLevel="0" collapsed="false">
      <c r="A68" s="10" t="s">
        <v>39</v>
      </c>
      <c r="B68" s="10" t="s">
        <v>40</v>
      </c>
      <c r="C68" s="11" t="s">
        <v>118</v>
      </c>
      <c r="D68" s="10" t="s">
        <v>119</v>
      </c>
      <c r="E68" s="10" t="n">
        <v>104451</v>
      </c>
      <c r="F68" s="10" t="n">
        <v>328</v>
      </c>
      <c r="G68" s="10" t="n">
        <v>151</v>
      </c>
      <c r="H68" s="10" t="n">
        <v>775</v>
      </c>
      <c r="I68" s="10" t="n">
        <v>395</v>
      </c>
      <c r="J68" s="10" t="n">
        <v>380</v>
      </c>
      <c r="K68" s="10" t="n">
        <v>92</v>
      </c>
      <c r="L68" s="10" t="n">
        <f aca="false">K68*100/H68</f>
        <v>11.8709677419355</v>
      </c>
      <c r="M68" s="10" t="n">
        <v>322</v>
      </c>
      <c r="N68" s="10" t="n">
        <f aca="false">M68*100/H68</f>
        <v>41.5483870967742</v>
      </c>
      <c r="O68" s="10" t="n">
        <v>21</v>
      </c>
      <c r="P68" s="10" t="n">
        <v>0</v>
      </c>
      <c r="Q68" s="12" t="s">
        <v>45</v>
      </c>
      <c r="R68" s="20" t="s">
        <v>57</v>
      </c>
      <c r="S68" s="10"/>
      <c r="T68" s="12" t="n">
        <v>48.79</v>
      </c>
      <c r="U68" s="10"/>
      <c r="V68" s="10"/>
      <c r="W68" s="10"/>
      <c r="X68" s="10"/>
      <c r="Y68" s="10"/>
      <c r="Z68" s="10"/>
      <c r="AA68" s="12" t="s">
        <v>45</v>
      </c>
      <c r="AB68" s="12" t="n">
        <v>31</v>
      </c>
      <c r="AC68" s="12"/>
      <c r="AD68" s="12" t="n">
        <v>24.36597</v>
      </c>
      <c r="AE68" s="12" t="n">
        <v>76.60269</v>
      </c>
    </row>
    <row r="69" s="13" customFormat="true" ht="15" hidden="false" customHeight="false" outlineLevel="0" collapsed="false">
      <c r="A69" s="10" t="s">
        <v>39</v>
      </c>
      <c r="B69" s="10" t="s">
        <v>40</v>
      </c>
      <c r="C69" s="11" t="s">
        <v>118</v>
      </c>
      <c r="D69" s="10" t="s">
        <v>120</v>
      </c>
      <c r="E69" s="10" t="n">
        <v>104518</v>
      </c>
      <c r="F69" s="10" t="n">
        <v>389.09</v>
      </c>
      <c r="G69" s="10" t="n">
        <v>209</v>
      </c>
      <c r="H69" s="10" t="n">
        <v>1061</v>
      </c>
      <c r="I69" s="10" t="n">
        <v>538</v>
      </c>
      <c r="J69" s="10" t="n">
        <v>523</v>
      </c>
      <c r="K69" s="10" t="n">
        <v>176</v>
      </c>
      <c r="L69" s="10" t="n">
        <f aca="false">K69*100/H69</f>
        <v>16.5881244109331</v>
      </c>
      <c r="M69" s="10" t="n">
        <v>586</v>
      </c>
      <c r="N69" s="10" t="n">
        <f aca="false">M69*100/H69</f>
        <v>55.2309142318567</v>
      </c>
      <c r="O69" s="10" t="n">
        <v>58.03</v>
      </c>
      <c r="P69" s="10" t="n">
        <v>130.19</v>
      </c>
      <c r="Q69" s="12" t="s">
        <v>45</v>
      </c>
      <c r="R69" s="20" t="s">
        <v>57</v>
      </c>
      <c r="S69" s="10"/>
      <c r="T69" s="12" t="n">
        <v>59.38</v>
      </c>
      <c r="U69" s="10"/>
      <c r="V69" s="10"/>
      <c r="W69" s="10"/>
      <c r="X69" s="10"/>
      <c r="Y69" s="10"/>
      <c r="Z69" s="10"/>
      <c r="AA69" s="12" t="s">
        <v>45</v>
      </c>
      <c r="AB69" s="12" t="n">
        <v>14</v>
      </c>
      <c r="AC69" s="12"/>
      <c r="AD69" s="12"/>
      <c r="AE69" s="12"/>
    </row>
    <row r="70" s="13" customFormat="true" ht="15" hidden="false" customHeight="false" outlineLevel="0" collapsed="false">
      <c r="A70" s="10" t="s">
        <v>39</v>
      </c>
      <c r="B70" s="10" t="s">
        <v>40</v>
      </c>
      <c r="C70" s="11" t="s">
        <v>118</v>
      </c>
      <c r="D70" s="10" t="s">
        <v>121</v>
      </c>
      <c r="E70" s="10" t="n">
        <v>104519</v>
      </c>
      <c r="F70" s="10" t="n">
        <v>259.56</v>
      </c>
      <c r="G70" s="10" t="n">
        <v>139</v>
      </c>
      <c r="H70" s="10" t="n">
        <v>710</v>
      </c>
      <c r="I70" s="10" t="n">
        <v>358</v>
      </c>
      <c r="J70" s="10" t="n">
        <v>352</v>
      </c>
      <c r="K70" s="10" t="n">
        <v>54</v>
      </c>
      <c r="L70" s="10" t="n">
        <f aca="false">K70*100/H70</f>
        <v>7.6056338028169</v>
      </c>
      <c r="M70" s="10" t="n">
        <v>16</v>
      </c>
      <c r="N70" s="10" t="n">
        <f aca="false">M70*100/H70</f>
        <v>2.25352112676056</v>
      </c>
      <c r="O70" s="10" t="n">
        <v>13.22</v>
      </c>
      <c r="P70" s="10" t="n">
        <v>99.36</v>
      </c>
      <c r="Q70" s="12" t="s">
        <v>45</v>
      </c>
      <c r="R70" s="20" t="s">
        <v>57</v>
      </c>
      <c r="S70" s="10"/>
      <c r="T70" s="12" t="n">
        <v>14.78</v>
      </c>
      <c r="U70" s="10"/>
      <c r="V70" s="10"/>
      <c r="W70" s="10"/>
      <c r="X70" s="10"/>
      <c r="Y70" s="10"/>
      <c r="Z70" s="10"/>
      <c r="AA70" s="12" t="s">
        <v>45</v>
      </c>
      <c r="AB70" s="12" t="n">
        <v>10</v>
      </c>
      <c r="AC70" s="12"/>
      <c r="AD70" s="12"/>
      <c r="AE70" s="12"/>
    </row>
    <row r="71" s="13" customFormat="true" ht="15" hidden="false" customHeight="false" outlineLevel="0" collapsed="false">
      <c r="A71" s="10" t="s">
        <v>39</v>
      </c>
      <c r="B71" s="10" t="s">
        <v>40</v>
      </c>
      <c r="C71" s="11" t="s">
        <v>118</v>
      </c>
      <c r="D71" s="10" t="s">
        <v>122</v>
      </c>
      <c r="E71" s="10" t="n">
        <v>104514</v>
      </c>
      <c r="F71" s="10" t="n">
        <v>92.1</v>
      </c>
      <c r="G71" s="10" t="n">
        <v>74</v>
      </c>
      <c r="H71" s="10" t="n">
        <v>386</v>
      </c>
      <c r="I71" s="10" t="n">
        <v>196</v>
      </c>
      <c r="J71" s="10" t="n">
        <v>190</v>
      </c>
      <c r="K71" s="10" t="n">
        <v>0</v>
      </c>
      <c r="L71" s="10" t="n">
        <f aca="false">K71*100/H71</f>
        <v>0</v>
      </c>
      <c r="M71" s="10" t="n">
        <v>0</v>
      </c>
      <c r="N71" s="10" t="n">
        <f aca="false">M71*100/H71</f>
        <v>0</v>
      </c>
      <c r="O71" s="10" t="n">
        <v>28.55</v>
      </c>
      <c r="P71" s="10" t="n">
        <v>7.17</v>
      </c>
      <c r="Q71" s="12" t="s">
        <v>45</v>
      </c>
      <c r="R71" s="20" t="s">
        <v>57</v>
      </c>
      <c r="S71" s="10"/>
      <c r="T71" s="12" t="n">
        <v>7.8752</v>
      </c>
      <c r="U71" s="10"/>
      <c r="V71" s="10"/>
      <c r="W71" s="10"/>
      <c r="X71" s="10"/>
      <c r="Y71" s="10"/>
      <c r="Z71" s="10"/>
      <c r="AA71" s="12" t="s">
        <v>45</v>
      </c>
      <c r="AB71" s="12" t="n">
        <v>5</v>
      </c>
      <c r="AC71" s="12"/>
      <c r="AD71" s="12"/>
      <c r="AE71" s="12"/>
    </row>
    <row r="72" s="13" customFormat="true" ht="15" hidden="false" customHeight="false" outlineLevel="0" collapsed="false">
      <c r="A72" s="10" t="s">
        <v>39</v>
      </c>
      <c r="B72" s="10" t="s">
        <v>40</v>
      </c>
      <c r="C72" s="11" t="s">
        <v>118</v>
      </c>
      <c r="D72" s="10" t="s">
        <v>123</v>
      </c>
      <c r="E72" s="10" t="n">
        <v>104449</v>
      </c>
      <c r="F72" s="10" t="n">
        <v>85.6</v>
      </c>
      <c r="G72" s="10" t="n">
        <v>64</v>
      </c>
      <c r="H72" s="10" t="n">
        <v>257</v>
      </c>
      <c r="I72" s="10" t="n">
        <v>136</v>
      </c>
      <c r="J72" s="10" t="n">
        <v>121</v>
      </c>
      <c r="K72" s="10" t="n">
        <v>0</v>
      </c>
      <c r="L72" s="10" t="n">
        <f aca="false">K72*100/H72</f>
        <v>0</v>
      </c>
      <c r="M72" s="10" t="n">
        <v>249</v>
      </c>
      <c r="N72" s="10" t="n">
        <f aca="false">M72*100/H72</f>
        <v>96.8871595330739</v>
      </c>
      <c r="O72" s="10" t="n">
        <v>1.55</v>
      </c>
      <c r="P72" s="10" t="n">
        <v>0</v>
      </c>
      <c r="Q72" s="12" t="s">
        <v>45</v>
      </c>
      <c r="R72" s="20" t="s">
        <v>57</v>
      </c>
      <c r="S72" s="10"/>
      <c r="T72" s="12" t="n">
        <v>1.83</v>
      </c>
      <c r="U72" s="10"/>
      <c r="V72" s="10"/>
      <c r="W72" s="10"/>
      <c r="X72" s="10"/>
      <c r="Y72" s="10"/>
      <c r="Z72" s="10"/>
      <c r="AA72" s="12" t="s">
        <v>45</v>
      </c>
      <c r="AB72" s="12" t="n">
        <v>1.5</v>
      </c>
      <c r="AC72" s="12"/>
      <c r="AD72" s="12"/>
      <c r="AE72" s="12"/>
    </row>
    <row r="73" s="13" customFormat="true" ht="15" hidden="false" customHeight="false" outlineLevel="0" collapsed="false">
      <c r="A73" s="10" t="s">
        <v>39</v>
      </c>
      <c r="B73" s="10" t="s">
        <v>40</v>
      </c>
      <c r="C73" s="11" t="s">
        <v>124</v>
      </c>
      <c r="D73" s="10" t="s">
        <v>125</v>
      </c>
      <c r="E73" s="10" t="n">
        <v>104424</v>
      </c>
      <c r="F73" s="10" t="n">
        <v>263.19</v>
      </c>
      <c r="G73" s="10" t="n">
        <v>164</v>
      </c>
      <c r="H73" s="10" t="n">
        <v>932</v>
      </c>
      <c r="I73" s="10" t="n">
        <v>461</v>
      </c>
      <c r="J73" s="10" t="n">
        <v>471</v>
      </c>
      <c r="K73" s="10" t="n">
        <v>169</v>
      </c>
      <c r="L73" s="10" t="n">
        <f aca="false">K73*100/H73</f>
        <v>18.1330472103004</v>
      </c>
      <c r="M73" s="10" t="n">
        <v>109</v>
      </c>
      <c r="N73" s="10" t="n">
        <f aca="false">M73*100/H73</f>
        <v>11.6952789699571</v>
      </c>
      <c r="O73" s="10" t="n">
        <v>50.47</v>
      </c>
      <c r="P73" s="10" t="n">
        <v>0</v>
      </c>
      <c r="Q73" s="12" t="s">
        <v>45</v>
      </c>
      <c r="R73" s="12" t="s">
        <v>126</v>
      </c>
      <c r="S73" s="10"/>
      <c r="T73" s="12" t="n">
        <v>12.8447</v>
      </c>
      <c r="U73" s="10"/>
      <c r="V73" s="10"/>
      <c r="W73" s="10"/>
      <c r="X73" s="10"/>
      <c r="Y73" s="10"/>
      <c r="Z73" s="10"/>
      <c r="AA73" s="12"/>
      <c r="AB73" s="12"/>
      <c r="AC73" s="12"/>
      <c r="AD73" s="12"/>
      <c r="AE73" s="12"/>
    </row>
    <row r="74" s="13" customFormat="true" ht="15" hidden="false" customHeight="false" outlineLevel="0" collapsed="false">
      <c r="A74" s="10" t="s">
        <v>39</v>
      </c>
      <c r="B74" s="10" t="s">
        <v>40</v>
      </c>
      <c r="C74" s="11" t="s">
        <v>124</v>
      </c>
      <c r="D74" s="10" t="s">
        <v>127</v>
      </c>
      <c r="E74" s="10" t="n">
        <v>104423</v>
      </c>
      <c r="F74" s="10" t="n">
        <v>217.87</v>
      </c>
      <c r="G74" s="10" t="n">
        <v>21</v>
      </c>
      <c r="H74" s="10" t="n">
        <v>84</v>
      </c>
      <c r="I74" s="10" t="n">
        <v>43</v>
      </c>
      <c r="J74" s="10" t="n">
        <v>41</v>
      </c>
      <c r="K74" s="10" t="n">
        <v>0</v>
      </c>
      <c r="L74" s="10" t="n">
        <f aca="false">K74*100/H74</f>
        <v>0</v>
      </c>
      <c r="M74" s="10" t="n">
        <v>84</v>
      </c>
      <c r="N74" s="10" t="n">
        <f aca="false">M74*100/H74</f>
        <v>100</v>
      </c>
      <c r="O74" s="10" t="n">
        <v>6.05</v>
      </c>
      <c r="P74" s="10" t="n">
        <v>148.24</v>
      </c>
      <c r="Q74" s="12" t="s">
        <v>45</v>
      </c>
      <c r="R74" s="12" t="s">
        <v>126</v>
      </c>
      <c r="S74" s="10"/>
      <c r="T74" s="12" t="n">
        <v>0</v>
      </c>
      <c r="U74" s="10"/>
      <c r="V74" s="10"/>
      <c r="W74" s="10"/>
      <c r="X74" s="10"/>
      <c r="Y74" s="10"/>
      <c r="Z74" s="10"/>
      <c r="AA74" s="12"/>
      <c r="AB74" s="12"/>
      <c r="AC74" s="12"/>
      <c r="AD74" s="12"/>
      <c r="AE74" s="12"/>
    </row>
    <row r="75" s="13" customFormat="true" ht="15" hidden="false" customHeight="false" outlineLevel="0" collapsed="false">
      <c r="A75" s="10" t="s">
        <v>39</v>
      </c>
      <c r="B75" s="10" t="s">
        <v>40</v>
      </c>
      <c r="C75" s="11" t="s">
        <v>124</v>
      </c>
      <c r="D75" s="10" t="s">
        <v>128</v>
      </c>
      <c r="E75" s="10" t="n">
        <v>104468</v>
      </c>
      <c r="F75" s="10" t="n">
        <v>714.14</v>
      </c>
      <c r="G75" s="10" t="n">
        <v>598</v>
      </c>
      <c r="H75" s="10" t="n">
        <v>2941</v>
      </c>
      <c r="I75" s="10" t="n">
        <v>1541</v>
      </c>
      <c r="J75" s="10" t="n">
        <v>1400</v>
      </c>
      <c r="K75" s="10" t="n">
        <v>774</v>
      </c>
      <c r="L75" s="10" t="n">
        <f aca="false">K75*100/H75</f>
        <v>26.3175790547433</v>
      </c>
      <c r="M75" s="10" t="n">
        <v>295</v>
      </c>
      <c r="N75" s="10" t="n">
        <f aca="false">M75*100/H75</f>
        <v>10.0306018361102</v>
      </c>
      <c r="O75" s="10" t="n">
        <v>54.72</v>
      </c>
      <c r="P75" s="10" t="n">
        <v>252.06</v>
      </c>
      <c r="Q75" s="15" t="s">
        <v>45</v>
      </c>
      <c r="R75" s="18" t="n">
        <v>44798</v>
      </c>
      <c r="S75" s="10"/>
      <c r="T75" s="16" t="n">
        <v>50</v>
      </c>
      <c r="U75" s="10"/>
      <c r="V75" s="10" t="s">
        <v>49</v>
      </c>
      <c r="W75" s="10"/>
      <c r="X75" s="10"/>
      <c r="Y75" s="10"/>
      <c r="Z75" s="10"/>
      <c r="AA75" s="16" t="s">
        <v>45</v>
      </c>
      <c r="AB75" s="16" t="n">
        <v>38</v>
      </c>
      <c r="AC75" s="16" t="s">
        <v>129</v>
      </c>
      <c r="AD75" s="16" t="n">
        <v>24.396714</v>
      </c>
      <c r="AE75" s="15" t="n">
        <v>76.464689</v>
      </c>
    </row>
    <row r="76" s="13" customFormat="true" ht="15" hidden="false" customHeight="false" outlineLevel="0" collapsed="false">
      <c r="A76" s="10" t="s">
        <v>39</v>
      </c>
      <c r="B76" s="10" t="s">
        <v>40</v>
      </c>
      <c r="C76" s="11" t="s">
        <v>124</v>
      </c>
      <c r="D76" s="10" t="s">
        <v>130</v>
      </c>
      <c r="E76" s="10" t="n">
        <v>104471</v>
      </c>
      <c r="F76" s="10" t="n">
        <v>179.25</v>
      </c>
      <c r="G76" s="10" t="n">
        <v>120</v>
      </c>
      <c r="H76" s="10" t="n">
        <v>451</v>
      </c>
      <c r="I76" s="10" t="n">
        <v>224</v>
      </c>
      <c r="J76" s="10" t="n">
        <v>227</v>
      </c>
      <c r="K76" s="10" t="n">
        <v>0</v>
      </c>
      <c r="L76" s="10" t="n">
        <f aca="false">K76*100/H76</f>
        <v>0</v>
      </c>
      <c r="M76" s="10" t="n">
        <v>0</v>
      </c>
      <c r="N76" s="10" t="n">
        <f aca="false">M76*100/H76</f>
        <v>0</v>
      </c>
      <c r="O76" s="10" t="n">
        <v>23.19</v>
      </c>
      <c r="P76" s="10" t="n">
        <v>39.26</v>
      </c>
      <c r="Q76" s="12" t="s">
        <v>45</v>
      </c>
      <c r="R76" s="12" t="s">
        <v>126</v>
      </c>
      <c r="S76" s="10"/>
      <c r="T76" s="12"/>
      <c r="U76" s="10"/>
      <c r="V76" s="10"/>
      <c r="W76" s="10"/>
      <c r="X76" s="10"/>
      <c r="Y76" s="10"/>
      <c r="Z76" s="10"/>
      <c r="AA76" s="12"/>
      <c r="AB76" s="12"/>
      <c r="AC76" s="12"/>
      <c r="AD76" s="12"/>
      <c r="AE76" s="12"/>
    </row>
    <row r="77" s="13" customFormat="true" ht="15" hidden="false" customHeight="false" outlineLevel="0" collapsed="false">
      <c r="A77" s="10" t="s">
        <v>39</v>
      </c>
      <c r="B77" s="10" t="s">
        <v>40</v>
      </c>
      <c r="C77" s="11" t="s">
        <v>124</v>
      </c>
      <c r="D77" s="10" t="s">
        <v>131</v>
      </c>
      <c r="E77" s="10" t="n">
        <v>104470</v>
      </c>
      <c r="F77" s="10" t="n">
        <v>300.5</v>
      </c>
      <c r="G77" s="10" t="n">
        <v>108</v>
      </c>
      <c r="H77" s="10" t="n">
        <v>542</v>
      </c>
      <c r="I77" s="10" t="n">
        <v>274</v>
      </c>
      <c r="J77" s="10" t="n">
        <v>268</v>
      </c>
      <c r="K77" s="10" t="n">
        <v>21</v>
      </c>
      <c r="L77" s="10" t="n">
        <f aca="false">K77*100/H77</f>
        <v>3.87453874538745</v>
      </c>
      <c r="M77" s="10" t="n">
        <v>132</v>
      </c>
      <c r="N77" s="10" t="n">
        <f aca="false">M77*100/H77</f>
        <v>24.3542435424354</v>
      </c>
      <c r="O77" s="10" t="n">
        <v>0</v>
      </c>
      <c r="P77" s="10" t="n">
        <v>179.7</v>
      </c>
      <c r="Q77" s="12" t="s">
        <v>45</v>
      </c>
      <c r="R77" s="12" t="s">
        <v>126</v>
      </c>
      <c r="S77" s="10"/>
      <c r="T77" s="12"/>
      <c r="U77" s="10"/>
      <c r="V77" s="10"/>
      <c r="W77" s="10"/>
      <c r="X77" s="10"/>
      <c r="Y77" s="10"/>
      <c r="Z77" s="10"/>
      <c r="AA77" s="12"/>
      <c r="AB77" s="12"/>
      <c r="AC77" s="12"/>
      <c r="AD77" s="12"/>
      <c r="AE77" s="12"/>
    </row>
    <row r="78" s="13" customFormat="true" ht="15" hidden="false" customHeight="false" outlineLevel="0" collapsed="false">
      <c r="A78" s="10" t="s">
        <v>39</v>
      </c>
      <c r="B78" s="10" t="s">
        <v>40</v>
      </c>
      <c r="C78" s="11" t="s">
        <v>124</v>
      </c>
      <c r="D78" s="10" t="s">
        <v>132</v>
      </c>
      <c r="E78" s="10" t="n">
        <v>104469</v>
      </c>
      <c r="F78" s="10" t="n">
        <v>199.09</v>
      </c>
      <c r="G78" s="10" t="n">
        <v>97</v>
      </c>
      <c r="H78" s="10" t="n">
        <v>515</v>
      </c>
      <c r="I78" s="10" t="n">
        <v>273</v>
      </c>
      <c r="J78" s="10" t="n">
        <v>242</v>
      </c>
      <c r="K78" s="10" t="n">
        <v>0</v>
      </c>
      <c r="L78" s="10" t="n">
        <f aca="false">K78*100/H78</f>
        <v>0</v>
      </c>
      <c r="M78" s="10" t="n">
        <v>0</v>
      </c>
      <c r="N78" s="10" t="n">
        <f aca="false">M78*100/H78</f>
        <v>0</v>
      </c>
      <c r="O78" s="10" t="n">
        <v>2.28</v>
      </c>
      <c r="P78" s="10" t="n">
        <v>74.21</v>
      </c>
      <c r="Q78" s="12" t="s">
        <v>45</v>
      </c>
      <c r="R78" s="12" t="s">
        <v>126</v>
      </c>
      <c r="S78" s="10"/>
      <c r="T78" s="12" t="n">
        <v>2.6224</v>
      </c>
      <c r="U78" s="10"/>
      <c r="V78" s="10"/>
      <c r="W78" s="10"/>
      <c r="X78" s="10"/>
      <c r="Y78" s="10"/>
      <c r="Z78" s="10"/>
      <c r="AA78" s="10" t="s">
        <v>82</v>
      </c>
      <c r="AB78" s="10" t="n">
        <v>2.6224</v>
      </c>
      <c r="AC78" s="10"/>
      <c r="AD78" s="10" t="n">
        <v>24.363952</v>
      </c>
      <c r="AE78" s="10" t="n">
        <v>76.462773</v>
      </c>
    </row>
    <row r="79" s="13" customFormat="true" ht="15" hidden="false" customHeight="false" outlineLevel="0" collapsed="false">
      <c r="A79" s="10" t="s">
        <v>39</v>
      </c>
      <c r="B79" s="10" t="s">
        <v>40</v>
      </c>
      <c r="C79" s="11" t="s">
        <v>133</v>
      </c>
      <c r="D79" s="10" t="s">
        <v>134</v>
      </c>
      <c r="E79" s="10" t="n">
        <v>104511</v>
      </c>
      <c r="F79" s="10" t="n">
        <v>550.33</v>
      </c>
      <c r="G79" s="10" t="n">
        <v>177</v>
      </c>
      <c r="H79" s="10" t="n">
        <v>963</v>
      </c>
      <c r="I79" s="10" t="n">
        <v>466</v>
      </c>
      <c r="J79" s="10" t="n">
        <v>497</v>
      </c>
      <c r="K79" s="10" t="n">
        <v>75</v>
      </c>
      <c r="L79" s="10" t="n">
        <f aca="false">K79*100/H79</f>
        <v>7.78816199376947</v>
      </c>
      <c r="M79" s="10" t="n">
        <v>11</v>
      </c>
      <c r="N79" s="10" t="n">
        <f aca="false">M79*100/H79</f>
        <v>1.14226375908619</v>
      </c>
      <c r="O79" s="10" t="n">
        <v>67.08</v>
      </c>
      <c r="P79" s="10" t="n">
        <v>129.8</v>
      </c>
      <c r="Q79" s="12" t="s">
        <v>45</v>
      </c>
      <c r="R79" s="12" t="s">
        <v>135</v>
      </c>
      <c r="S79" s="10"/>
      <c r="T79" s="12" t="n">
        <v>49.9544</v>
      </c>
      <c r="U79" s="10"/>
      <c r="V79" s="10"/>
      <c r="W79" s="10"/>
      <c r="X79" s="10"/>
      <c r="Y79" s="10"/>
      <c r="Z79" s="10"/>
      <c r="AA79" s="12" t="s">
        <v>47</v>
      </c>
      <c r="AB79" s="12"/>
      <c r="AC79" s="12"/>
      <c r="AD79" s="12" t="n">
        <v>24.308602</v>
      </c>
      <c r="AE79" s="12" t="n">
        <v>76.567234</v>
      </c>
    </row>
    <row r="80" s="13" customFormat="true" ht="15" hidden="false" customHeight="false" outlineLevel="0" collapsed="false">
      <c r="A80" s="10" t="s">
        <v>39</v>
      </c>
      <c r="B80" s="10" t="s">
        <v>40</v>
      </c>
      <c r="C80" s="11" t="s">
        <v>133</v>
      </c>
      <c r="D80" s="10" t="s">
        <v>136</v>
      </c>
      <c r="E80" s="10" t="n">
        <v>104536</v>
      </c>
      <c r="F80" s="10" t="n">
        <v>1387.58</v>
      </c>
      <c r="G80" s="10" t="n">
        <v>1051</v>
      </c>
      <c r="H80" s="10" t="n">
        <v>4878</v>
      </c>
      <c r="I80" s="10" t="n">
        <v>2495</v>
      </c>
      <c r="J80" s="10" t="n">
        <v>2383</v>
      </c>
      <c r="K80" s="10" t="n">
        <v>783</v>
      </c>
      <c r="L80" s="10" t="n">
        <f aca="false">K80*100/H80</f>
        <v>16.0516605166052</v>
      </c>
      <c r="M80" s="10" t="n">
        <v>54</v>
      </c>
      <c r="N80" s="10" t="n">
        <f aca="false">M80*100/H80</f>
        <v>1.1070110701107</v>
      </c>
      <c r="O80" s="10" t="n">
        <v>69.7</v>
      </c>
      <c r="P80" s="10" t="n">
        <v>575.66</v>
      </c>
      <c r="Q80" s="12" t="s">
        <v>45</v>
      </c>
      <c r="R80" s="12" t="s">
        <v>135</v>
      </c>
      <c r="S80" s="10"/>
      <c r="T80" s="10" t="n">
        <v>75.2472</v>
      </c>
      <c r="U80" s="10"/>
      <c r="V80" s="10"/>
      <c r="W80" s="10"/>
      <c r="X80" s="10"/>
      <c r="Y80" s="10"/>
      <c r="Z80" s="10"/>
      <c r="AA80" s="12" t="s">
        <v>82</v>
      </c>
      <c r="AB80" s="10" t="n">
        <v>50</v>
      </c>
      <c r="AC80" s="12"/>
      <c r="AD80" s="10" t="n">
        <v>24.304395</v>
      </c>
      <c r="AE80" s="10" t="n">
        <v>76.541332</v>
      </c>
    </row>
    <row r="81" s="13" customFormat="true" ht="15" hidden="false" customHeight="false" outlineLevel="0" collapsed="false">
      <c r="A81" s="10" t="s">
        <v>39</v>
      </c>
      <c r="B81" s="10" t="s">
        <v>40</v>
      </c>
      <c r="C81" s="11" t="s">
        <v>133</v>
      </c>
      <c r="D81" s="10" t="s">
        <v>137</v>
      </c>
      <c r="E81" s="10" t="n">
        <v>104570</v>
      </c>
      <c r="F81" s="10" t="n">
        <v>57.5</v>
      </c>
      <c r="G81" s="10"/>
      <c r="H81" s="10" t="n">
        <v>0</v>
      </c>
      <c r="I81" s="10"/>
      <c r="J81" s="10"/>
      <c r="K81" s="10"/>
      <c r="L81" s="10"/>
      <c r="M81" s="10"/>
      <c r="N81" s="10"/>
      <c r="O81" s="10" t="n">
        <v>0</v>
      </c>
      <c r="P81" s="10" t="n">
        <v>0</v>
      </c>
      <c r="Q81" s="12" t="s">
        <v>45</v>
      </c>
      <c r="R81" s="12" t="s">
        <v>135</v>
      </c>
      <c r="S81" s="10"/>
      <c r="T81" s="12" t="n">
        <v>22.1443</v>
      </c>
      <c r="U81" s="10"/>
      <c r="V81" s="10"/>
      <c r="W81" s="10"/>
      <c r="X81" s="10"/>
      <c r="Y81" s="10"/>
      <c r="Z81" s="10"/>
      <c r="AA81" s="12" t="s">
        <v>82</v>
      </c>
      <c r="AB81" s="12" t="n">
        <v>21</v>
      </c>
      <c r="AC81" s="12"/>
      <c r="AD81" s="12" t="n">
        <v>24.286901</v>
      </c>
      <c r="AE81" s="12" t="n">
        <v>76.543412</v>
      </c>
    </row>
    <row r="82" s="13" customFormat="true" ht="15" hidden="false" customHeight="false" outlineLevel="0" collapsed="false">
      <c r="A82" s="10" t="s">
        <v>39</v>
      </c>
      <c r="B82" s="10" t="s">
        <v>40</v>
      </c>
      <c r="C82" s="11" t="s">
        <v>133</v>
      </c>
      <c r="D82" s="10" t="s">
        <v>138</v>
      </c>
      <c r="E82" s="10" t="n">
        <v>104571</v>
      </c>
      <c r="F82" s="10" t="n">
        <v>251.03</v>
      </c>
      <c r="G82" s="10" t="n">
        <v>69</v>
      </c>
      <c r="H82" s="10" t="n">
        <v>264</v>
      </c>
      <c r="I82" s="10" t="n">
        <v>128</v>
      </c>
      <c r="J82" s="10" t="n">
        <v>136</v>
      </c>
      <c r="K82" s="10" t="n">
        <v>0</v>
      </c>
      <c r="L82" s="10" t="n">
        <f aca="false">K82*100/H82</f>
        <v>0</v>
      </c>
      <c r="M82" s="10" t="n">
        <v>0</v>
      </c>
      <c r="N82" s="10" t="n">
        <f aca="false">M82*100/H82</f>
        <v>0</v>
      </c>
      <c r="O82" s="10" t="n">
        <v>29.42</v>
      </c>
      <c r="P82" s="10" t="n">
        <v>174.65</v>
      </c>
      <c r="Q82" s="12" t="s">
        <v>45</v>
      </c>
      <c r="R82" s="12" t="s">
        <v>135</v>
      </c>
      <c r="S82" s="10"/>
      <c r="T82" s="12" t="n">
        <v>1.3759</v>
      </c>
      <c r="U82" s="10"/>
      <c r="V82" s="10"/>
      <c r="W82" s="10"/>
      <c r="X82" s="10"/>
      <c r="Y82" s="10"/>
      <c r="Z82" s="10"/>
      <c r="AA82" s="12" t="s">
        <v>47</v>
      </c>
      <c r="AB82" s="12"/>
      <c r="AC82" s="12"/>
      <c r="AD82" s="12" t="n">
        <v>24.305154</v>
      </c>
      <c r="AE82" s="12" t="n">
        <v>76.535273</v>
      </c>
    </row>
    <row r="83" s="13" customFormat="true" ht="15" hidden="false" customHeight="false" outlineLevel="0" collapsed="false">
      <c r="A83" s="10" t="s">
        <v>39</v>
      </c>
      <c r="B83" s="10" t="s">
        <v>40</v>
      </c>
      <c r="C83" s="11" t="s">
        <v>139</v>
      </c>
      <c r="D83" s="10" t="s">
        <v>140</v>
      </c>
      <c r="E83" s="10" t="n">
        <v>104457</v>
      </c>
      <c r="F83" s="10" t="n">
        <v>178.94</v>
      </c>
      <c r="G83" s="10" t="n">
        <v>68</v>
      </c>
      <c r="H83" s="10" t="n">
        <v>294</v>
      </c>
      <c r="I83" s="10" t="n">
        <v>147</v>
      </c>
      <c r="J83" s="10" t="n">
        <v>147</v>
      </c>
      <c r="K83" s="10" t="n">
        <v>6</v>
      </c>
      <c r="L83" s="10" t="n">
        <f aca="false">K83*100/H83</f>
        <v>2.04081632653061</v>
      </c>
      <c r="M83" s="10" t="n">
        <v>212</v>
      </c>
      <c r="N83" s="10" t="n">
        <f aca="false">M83*100/H83</f>
        <v>72.108843537415</v>
      </c>
      <c r="O83" s="10" t="n">
        <v>20.72</v>
      </c>
      <c r="P83" s="10" t="n">
        <v>38.1</v>
      </c>
      <c r="Q83" s="15" t="s">
        <v>45</v>
      </c>
      <c r="R83" s="18" t="n">
        <v>44774</v>
      </c>
      <c r="S83" s="10"/>
      <c r="T83" s="16" t="n">
        <v>20.71</v>
      </c>
      <c r="U83" s="10"/>
      <c r="V83" s="10"/>
      <c r="W83" s="10"/>
      <c r="X83" s="10"/>
      <c r="Y83" s="10"/>
      <c r="Z83" s="10"/>
      <c r="AA83" s="16" t="s">
        <v>45</v>
      </c>
      <c r="AB83" s="16" t="n">
        <v>1</v>
      </c>
      <c r="AC83" s="10"/>
      <c r="AD83" s="17" t="n">
        <v>24.379975</v>
      </c>
      <c r="AE83" s="17" t="n">
        <v>76.567393</v>
      </c>
    </row>
    <row r="84" s="13" customFormat="true" ht="15" hidden="false" customHeight="false" outlineLevel="0" collapsed="false">
      <c r="A84" s="10" t="s">
        <v>39</v>
      </c>
      <c r="B84" s="10" t="s">
        <v>40</v>
      </c>
      <c r="C84" s="11" t="s">
        <v>139</v>
      </c>
      <c r="D84" s="10" t="s">
        <v>141</v>
      </c>
      <c r="E84" s="10" t="n">
        <v>104454</v>
      </c>
      <c r="F84" s="10" t="n">
        <v>656.68</v>
      </c>
      <c r="G84" s="10" t="n">
        <v>553</v>
      </c>
      <c r="H84" s="10" t="n">
        <v>3041</v>
      </c>
      <c r="I84" s="10" t="n">
        <v>1558</v>
      </c>
      <c r="J84" s="10" t="n">
        <v>1483</v>
      </c>
      <c r="K84" s="10" t="n">
        <v>754</v>
      </c>
      <c r="L84" s="10" t="n">
        <f aca="false">K84*100/H84</f>
        <v>24.7944755014798</v>
      </c>
      <c r="M84" s="10" t="n">
        <v>106</v>
      </c>
      <c r="N84" s="10" t="n">
        <f aca="false">M84*100/H84</f>
        <v>3.48569549490299</v>
      </c>
      <c r="O84" s="10" t="n">
        <v>25.95</v>
      </c>
      <c r="P84" s="10" t="n">
        <v>0</v>
      </c>
      <c r="Q84" s="15" t="s">
        <v>45</v>
      </c>
      <c r="R84" s="18" t="n">
        <v>44774</v>
      </c>
      <c r="S84" s="10"/>
      <c r="T84" s="16" t="n">
        <v>18</v>
      </c>
      <c r="U84" s="10"/>
      <c r="V84" s="10"/>
      <c r="W84" s="10"/>
      <c r="X84" s="10"/>
      <c r="Y84" s="10"/>
      <c r="Z84" s="10"/>
      <c r="AA84" s="16" t="s">
        <v>45</v>
      </c>
      <c r="AB84" s="16" t="n">
        <v>25</v>
      </c>
      <c r="AC84" s="16" t="s">
        <v>142</v>
      </c>
      <c r="AD84" s="17" t="n">
        <v>24.376029</v>
      </c>
      <c r="AE84" s="17" t="n">
        <v>76.601227</v>
      </c>
    </row>
    <row r="85" s="13" customFormat="true" ht="15" hidden="false" customHeight="false" outlineLevel="0" collapsed="false">
      <c r="A85" s="10" t="s">
        <v>39</v>
      </c>
      <c r="B85" s="10" t="s">
        <v>40</v>
      </c>
      <c r="C85" s="11" t="s">
        <v>139</v>
      </c>
      <c r="D85" s="10" t="s">
        <v>143</v>
      </c>
      <c r="E85" s="10" t="n">
        <v>104512</v>
      </c>
      <c r="F85" s="10" t="n">
        <v>132.89</v>
      </c>
      <c r="G85" s="10" t="n">
        <v>75</v>
      </c>
      <c r="H85" s="10" t="n">
        <v>269</v>
      </c>
      <c r="I85" s="10" t="n">
        <v>130</v>
      </c>
      <c r="J85" s="10" t="n">
        <v>139</v>
      </c>
      <c r="K85" s="10" t="n">
        <v>0</v>
      </c>
      <c r="L85" s="10" t="n">
        <f aca="false">K85*100/H85</f>
        <v>0</v>
      </c>
      <c r="M85" s="10" t="n">
        <v>0</v>
      </c>
      <c r="N85" s="10" t="n">
        <f aca="false">M85*100/H85</f>
        <v>0</v>
      </c>
      <c r="O85" s="10" t="n">
        <v>16.24</v>
      </c>
      <c r="P85" s="10" t="n">
        <v>40.01</v>
      </c>
      <c r="Q85" s="15" t="s">
        <v>45</v>
      </c>
      <c r="R85" s="18" t="n">
        <v>44774</v>
      </c>
      <c r="S85" s="10"/>
      <c r="T85" s="16" t="n">
        <v>10.49</v>
      </c>
      <c r="U85" s="10"/>
      <c r="V85" s="10"/>
      <c r="W85" s="10"/>
      <c r="X85" s="10"/>
      <c r="Y85" s="10"/>
      <c r="Z85" s="10"/>
      <c r="AA85" s="16" t="s">
        <v>45</v>
      </c>
      <c r="AB85" s="16" t="n">
        <v>7</v>
      </c>
      <c r="AC85" s="10"/>
      <c r="AD85" s="17" t="n">
        <v>24.356563</v>
      </c>
      <c r="AE85" s="17" t="n">
        <v>76.566915</v>
      </c>
    </row>
    <row r="86" s="13" customFormat="true" ht="15" hidden="false" customHeight="false" outlineLevel="0" collapsed="false">
      <c r="A86" s="10" t="s">
        <v>39</v>
      </c>
      <c r="B86" s="10" t="s">
        <v>40</v>
      </c>
      <c r="C86" s="11" t="s">
        <v>139</v>
      </c>
      <c r="D86" s="10" t="s">
        <v>144</v>
      </c>
      <c r="E86" s="10" t="n">
        <v>104507</v>
      </c>
      <c r="F86" s="10" t="n">
        <v>251.1</v>
      </c>
      <c r="G86" s="10" t="n">
        <v>79</v>
      </c>
      <c r="H86" s="10" t="n">
        <v>370</v>
      </c>
      <c r="I86" s="10" t="n">
        <v>181</v>
      </c>
      <c r="J86" s="10" t="n">
        <v>189</v>
      </c>
      <c r="K86" s="10" t="n">
        <v>7</v>
      </c>
      <c r="L86" s="10" t="n">
        <f aca="false">K86*100/H86</f>
        <v>1.89189189189189</v>
      </c>
      <c r="M86" s="10" t="n">
        <v>25</v>
      </c>
      <c r="N86" s="10" t="n">
        <f aca="false">M86*100/H86</f>
        <v>6.75675675675676</v>
      </c>
      <c r="O86" s="10" t="n">
        <v>33.08</v>
      </c>
      <c r="P86" s="10" t="n">
        <v>59.71</v>
      </c>
      <c r="Q86" s="15" t="s">
        <v>45</v>
      </c>
      <c r="R86" s="15" t="s">
        <v>145</v>
      </c>
      <c r="S86" s="10"/>
      <c r="T86" s="16" t="n">
        <v>21.94</v>
      </c>
      <c r="U86" s="10"/>
      <c r="V86" s="10"/>
      <c r="W86" s="10"/>
      <c r="X86" s="10"/>
      <c r="Y86" s="10"/>
      <c r="Z86" s="10"/>
      <c r="AA86" s="16" t="s">
        <v>45</v>
      </c>
      <c r="AB86" s="16" t="n">
        <v>1</v>
      </c>
      <c r="AC86" s="10"/>
      <c r="AD86" s="17" t="n">
        <v>24.366795</v>
      </c>
      <c r="AE86" s="17" t="n">
        <v>76.565131</v>
      </c>
    </row>
    <row r="87" s="13" customFormat="true" ht="15" hidden="false" customHeight="false" outlineLevel="0" collapsed="false">
      <c r="A87" s="10" t="s">
        <v>39</v>
      </c>
      <c r="B87" s="10" t="s">
        <v>40</v>
      </c>
      <c r="C87" s="11" t="s">
        <v>139</v>
      </c>
      <c r="D87" s="10" t="s">
        <v>146</v>
      </c>
      <c r="E87" s="10" t="n">
        <v>104458</v>
      </c>
      <c r="F87" s="10" t="n">
        <v>251.53</v>
      </c>
      <c r="G87" s="10" t="n">
        <v>72</v>
      </c>
      <c r="H87" s="10" t="n">
        <v>353</v>
      </c>
      <c r="I87" s="10" t="n">
        <v>175</v>
      </c>
      <c r="J87" s="10" t="n">
        <v>178</v>
      </c>
      <c r="K87" s="10" t="n">
        <v>0</v>
      </c>
      <c r="L87" s="10" t="n">
        <f aca="false">K87*100/H87</f>
        <v>0</v>
      </c>
      <c r="M87" s="10" t="n">
        <v>353</v>
      </c>
      <c r="N87" s="10" t="n">
        <f aca="false">M87*100/H87</f>
        <v>100</v>
      </c>
      <c r="O87" s="10" t="n">
        <v>22.29</v>
      </c>
      <c r="P87" s="10" t="n">
        <v>55.47</v>
      </c>
      <c r="Q87" s="15" t="s">
        <v>45</v>
      </c>
      <c r="R87" s="15" t="s">
        <v>145</v>
      </c>
      <c r="S87" s="10"/>
      <c r="T87" s="16" t="n">
        <v>24.75</v>
      </c>
      <c r="U87" s="10"/>
      <c r="V87" s="10"/>
      <c r="W87" s="10"/>
      <c r="X87" s="10"/>
      <c r="Y87" s="10"/>
      <c r="Z87" s="10"/>
      <c r="AA87" s="16" t="s">
        <v>45</v>
      </c>
      <c r="AB87" s="16" t="n">
        <v>1</v>
      </c>
      <c r="AC87" s="10"/>
      <c r="AD87" s="17" t="n">
        <v>24.3731773</v>
      </c>
      <c r="AE87" s="17" t="n">
        <v>76.561637</v>
      </c>
    </row>
    <row r="88" s="13" customFormat="true" ht="15" hidden="false" customHeight="false" outlineLevel="0" collapsed="false">
      <c r="A88" s="10" t="s">
        <v>39</v>
      </c>
      <c r="B88" s="10" t="s">
        <v>40</v>
      </c>
      <c r="C88" s="11" t="s">
        <v>139</v>
      </c>
      <c r="D88" s="10" t="s">
        <v>147</v>
      </c>
      <c r="E88" s="10" t="n">
        <v>104532</v>
      </c>
      <c r="F88" s="10" t="n">
        <v>600.01</v>
      </c>
      <c r="G88" s="10" t="n">
        <v>243</v>
      </c>
      <c r="H88" s="10" t="n">
        <v>1100</v>
      </c>
      <c r="I88" s="10" t="n">
        <v>599</v>
      </c>
      <c r="J88" s="10" t="n">
        <v>501</v>
      </c>
      <c r="K88" s="10" t="n">
        <v>61</v>
      </c>
      <c r="L88" s="10" t="n">
        <f aca="false">K88*100/H88</f>
        <v>5.54545454545455</v>
      </c>
      <c r="M88" s="10" t="n">
        <v>180</v>
      </c>
      <c r="N88" s="10" t="n">
        <f aca="false">M88*100/H88</f>
        <v>16.3636363636364</v>
      </c>
      <c r="O88" s="10" t="n">
        <v>99.38</v>
      </c>
      <c r="P88" s="10" t="n">
        <v>0</v>
      </c>
      <c r="Q88" s="15" t="s">
        <v>45</v>
      </c>
      <c r="R88" s="18" t="n">
        <v>44774</v>
      </c>
      <c r="S88" s="10"/>
      <c r="T88" s="16" t="n">
        <v>95.53</v>
      </c>
      <c r="U88" s="10"/>
      <c r="V88" s="10"/>
      <c r="W88" s="10"/>
      <c r="X88" s="10"/>
      <c r="Y88" s="10"/>
      <c r="Z88" s="10"/>
      <c r="AA88" s="16" t="s">
        <v>45</v>
      </c>
      <c r="AB88" s="16" t="n">
        <v>20</v>
      </c>
      <c r="AC88" s="16" t="s">
        <v>148</v>
      </c>
      <c r="AD88" s="17" t="n">
        <v>24.332004</v>
      </c>
      <c r="AE88" s="17" t="n">
        <v>76.59845</v>
      </c>
    </row>
    <row r="89" s="13" customFormat="true" ht="15" hidden="false" customHeight="false" outlineLevel="0" collapsed="false">
      <c r="A89" s="10" t="s">
        <v>39</v>
      </c>
      <c r="B89" s="10" t="s">
        <v>40</v>
      </c>
      <c r="C89" s="11" t="s">
        <v>139</v>
      </c>
      <c r="D89" s="10" t="s">
        <v>149</v>
      </c>
      <c r="E89" s="10" t="n">
        <v>104517</v>
      </c>
      <c r="F89" s="10" t="n">
        <v>271.82</v>
      </c>
      <c r="G89" s="10" t="n">
        <v>257</v>
      </c>
      <c r="H89" s="10" t="n">
        <v>1249</v>
      </c>
      <c r="I89" s="10" t="n">
        <v>626</v>
      </c>
      <c r="J89" s="10" t="n">
        <v>623</v>
      </c>
      <c r="K89" s="10" t="n">
        <v>0</v>
      </c>
      <c r="L89" s="10" t="n">
        <f aca="false">K89*100/H89</f>
        <v>0</v>
      </c>
      <c r="M89" s="10" t="n">
        <v>0</v>
      </c>
      <c r="N89" s="10" t="n">
        <f aca="false">M89*100/H89</f>
        <v>0</v>
      </c>
      <c r="O89" s="10" t="n">
        <v>45.45</v>
      </c>
      <c r="P89" s="10" t="n">
        <v>88.07</v>
      </c>
      <c r="Q89" s="15" t="s">
        <v>45</v>
      </c>
      <c r="R89" s="15" t="s">
        <v>145</v>
      </c>
      <c r="S89" s="10"/>
      <c r="T89" s="16" t="n">
        <v>24</v>
      </c>
      <c r="U89" s="10"/>
      <c r="V89" s="10"/>
      <c r="W89" s="10"/>
      <c r="X89" s="10"/>
      <c r="Y89" s="10"/>
      <c r="Z89" s="10"/>
      <c r="AA89" s="16" t="s">
        <v>150</v>
      </c>
      <c r="AB89" s="16" t="n">
        <v>21</v>
      </c>
      <c r="AC89" s="16" t="s">
        <v>148</v>
      </c>
      <c r="AD89" s="17" t="n">
        <v>24.334049</v>
      </c>
      <c r="AE89" s="17" t="n">
        <v>76.58427</v>
      </c>
    </row>
    <row r="90" s="13" customFormat="true" ht="15" hidden="false" customHeight="false" outlineLevel="0" collapsed="false">
      <c r="A90" s="10" t="s">
        <v>39</v>
      </c>
      <c r="B90" s="10" t="s">
        <v>40</v>
      </c>
      <c r="C90" s="11" t="s">
        <v>139</v>
      </c>
      <c r="D90" s="10" t="s">
        <v>151</v>
      </c>
      <c r="E90" s="10" t="n">
        <v>104513</v>
      </c>
      <c r="F90" s="10" t="n">
        <v>296.49</v>
      </c>
      <c r="G90" s="10" t="n">
        <v>53</v>
      </c>
      <c r="H90" s="10" t="n">
        <v>223</v>
      </c>
      <c r="I90" s="10" t="n">
        <v>139</v>
      </c>
      <c r="J90" s="10" t="n">
        <v>84</v>
      </c>
      <c r="K90" s="10" t="n">
        <v>10</v>
      </c>
      <c r="L90" s="10" t="n">
        <f aca="false">K90*100/H90</f>
        <v>4.48430493273543</v>
      </c>
      <c r="M90" s="10" t="n">
        <v>0</v>
      </c>
      <c r="N90" s="10" t="n">
        <f aca="false">M90*100/H90</f>
        <v>0</v>
      </c>
      <c r="O90" s="10" t="n">
        <v>35.81</v>
      </c>
      <c r="P90" s="10" t="n">
        <v>74.79</v>
      </c>
      <c r="Q90" s="15" t="s">
        <v>45</v>
      </c>
      <c r="R90" s="15" t="s">
        <v>145</v>
      </c>
      <c r="S90" s="10"/>
      <c r="T90" s="16" t="n">
        <v>23.27</v>
      </c>
      <c r="U90" s="10"/>
      <c r="V90" s="10"/>
      <c r="W90" s="10"/>
      <c r="X90" s="10"/>
      <c r="Y90" s="10"/>
      <c r="Z90" s="10"/>
      <c r="AA90" s="16" t="s">
        <v>45</v>
      </c>
      <c r="AB90" s="16" t="n">
        <v>5</v>
      </c>
      <c r="AC90" s="16" t="s">
        <v>148</v>
      </c>
      <c r="AD90" s="17" t="n">
        <v>24.361797</v>
      </c>
      <c r="AE90" s="17" t="n">
        <v>76.558757</v>
      </c>
    </row>
    <row r="91" s="13" customFormat="true" ht="15" hidden="false" customHeight="false" outlineLevel="0" collapsed="false">
      <c r="A91" s="10" t="s">
        <v>39</v>
      </c>
      <c r="B91" s="10" t="s">
        <v>40</v>
      </c>
      <c r="C91" s="11" t="s">
        <v>152</v>
      </c>
      <c r="D91" s="10" t="s">
        <v>153</v>
      </c>
      <c r="E91" s="10" t="n">
        <v>104393</v>
      </c>
      <c r="F91" s="10" t="n">
        <v>183.59</v>
      </c>
      <c r="G91" s="10" t="n">
        <v>125</v>
      </c>
      <c r="H91" s="10" t="n">
        <v>581</v>
      </c>
      <c r="I91" s="10" t="n">
        <v>289</v>
      </c>
      <c r="J91" s="10" t="n">
        <v>292</v>
      </c>
      <c r="K91" s="10" t="n">
        <v>90</v>
      </c>
      <c r="L91" s="10" t="n">
        <f aca="false">K91*100/H91</f>
        <v>15.4905335628227</v>
      </c>
      <c r="M91" s="10" t="n">
        <v>0</v>
      </c>
      <c r="N91" s="10" t="n">
        <f aca="false">M91*100/H91</f>
        <v>0</v>
      </c>
      <c r="O91" s="10" t="n">
        <v>31.24</v>
      </c>
      <c r="P91" s="10" t="n">
        <v>28.27</v>
      </c>
      <c r="Q91" s="12" t="s">
        <v>45</v>
      </c>
      <c r="R91" s="12" t="s">
        <v>154</v>
      </c>
      <c r="S91" s="10"/>
      <c r="T91" s="12" t="n">
        <v>36.3975</v>
      </c>
      <c r="U91" s="10"/>
      <c r="V91" s="10"/>
      <c r="W91" s="10"/>
      <c r="X91" s="10"/>
      <c r="Y91" s="10"/>
      <c r="Z91" s="10"/>
      <c r="AA91" s="12" t="s">
        <v>82</v>
      </c>
      <c r="AB91" s="12" t="n">
        <v>12.0111</v>
      </c>
      <c r="AC91" s="12"/>
      <c r="AD91" s="12" t="n">
        <v>24.449441</v>
      </c>
      <c r="AE91" s="12" t="n">
        <v>76.584345</v>
      </c>
    </row>
    <row r="92" s="13" customFormat="true" ht="15" hidden="false" customHeight="false" outlineLevel="0" collapsed="false">
      <c r="A92" s="10" t="s">
        <v>39</v>
      </c>
      <c r="B92" s="10" t="s">
        <v>40</v>
      </c>
      <c r="C92" s="11" t="s">
        <v>152</v>
      </c>
      <c r="D92" s="10" t="s">
        <v>155</v>
      </c>
      <c r="E92" s="10" t="n">
        <v>104394</v>
      </c>
      <c r="F92" s="10" t="n">
        <v>48.39</v>
      </c>
      <c r="G92" s="10" t="n">
        <v>23</v>
      </c>
      <c r="H92" s="10" t="n">
        <v>88</v>
      </c>
      <c r="I92" s="10" t="n">
        <v>38</v>
      </c>
      <c r="J92" s="10" t="n">
        <v>50</v>
      </c>
      <c r="K92" s="10" t="n">
        <v>0</v>
      </c>
      <c r="L92" s="10" t="n">
        <f aca="false">K92*100/H92</f>
        <v>0</v>
      </c>
      <c r="M92" s="10" t="n">
        <v>63</v>
      </c>
      <c r="N92" s="10" t="n">
        <f aca="false">M92*100/H92</f>
        <v>71.5909090909091</v>
      </c>
      <c r="O92" s="10" t="n">
        <v>0</v>
      </c>
      <c r="P92" s="10" t="n">
        <v>0</v>
      </c>
      <c r="Q92" s="12" t="s">
        <v>45</v>
      </c>
      <c r="R92" s="12" t="s">
        <v>156</v>
      </c>
      <c r="S92" s="10"/>
      <c r="T92" s="12"/>
      <c r="U92" s="10"/>
      <c r="V92" s="10"/>
      <c r="W92" s="10"/>
      <c r="X92" s="10"/>
      <c r="Y92" s="10"/>
      <c r="Z92" s="10"/>
      <c r="AA92" s="12"/>
      <c r="AB92" s="12"/>
      <c r="AC92" s="12"/>
      <c r="AD92" s="12" t="n">
        <v>24.448437</v>
      </c>
      <c r="AE92" s="12" t="n">
        <v>76.582165</v>
      </c>
    </row>
    <row r="93" s="13" customFormat="true" ht="15" hidden="false" customHeight="false" outlineLevel="0" collapsed="false">
      <c r="A93" s="10" t="s">
        <v>39</v>
      </c>
      <c r="B93" s="10" t="s">
        <v>40</v>
      </c>
      <c r="C93" s="11" t="s">
        <v>152</v>
      </c>
      <c r="D93" s="10" t="s">
        <v>157</v>
      </c>
      <c r="E93" s="10" t="n">
        <v>104397</v>
      </c>
      <c r="F93" s="10" t="n">
        <v>475.47</v>
      </c>
      <c r="G93" s="10" t="n">
        <v>179</v>
      </c>
      <c r="H93" s="10" t="n">
        <v>843</v>
      </c>
      <c r="I93" s="10" t="n">
        <v>442</v>
      </c>
      <c r="J93" s="10" t="n">
        <v>401</v>
      </c>
      <c r="K93" s="10" t="n">
        <v>179</v>
      </c>
      <c r="L93" s="10" t="n">
        <f aca="false">K93*100/H93</f>
        <v>21.2336892052195</v>
      </c>
      <c r="M93" s="10" t="n">
        <v>368</v>
      </c>
      <c r="N93" s="10" t="n">
        <f aca="false">M93*100/H93</f>
        <v>43.6536180308422</v>
      </c>
      <c r="O93" s="10" t="n">
        <v>4.19</v>
      </c>
      <c r="P93" s="10" t="n">
        <v>85.49</v>
      </c>
      <c r="Q93" s="12" t="s">
        <v>45</v>
      </c>
      <c r="R93" s="18" t="s">
        <v>158</v>
      </c>
      <c r="S93" s="10"/>
      <c r="T93" s="16" t="n">
        <v>4.1926</v>
      </c>
      <c r="U93" s="10"/>
      <c r="V93" s="10"/>
      <c r="W93" s="10"/>
      <c r="X93" s="10"/>
      <c r="Y93" s="10"/>
      <c r="Z93" s="10"/>
      <c r="AA93" s="12" t="s">
        <v>82</v>
      </c>
      <c r="AB93" s="16" t="n">
        <v>4.1926</v>
      </c>
      <c r="AC93" s="16"/>
      <c r="AD93" s="17" t="n">
        <v>24.432719</v>
      </c>
      <c r="AE93" s="17" t="n">
        <v>76.563519</v>
      </c>
    </row>
    <row r="94" s="13" customFormat="true" ht="15" hidden="false" customHeight="false" outlineLevel="0" collapsed="false">
      <c r="A94" s="10" t="s">
        <v>39</v>
      </c>
      <c r="B94" s="10" t="s">
        <v>40</v>
      </c>
      <c r="C94" s="11" t="s">
        <v>152</v>
      </c>
      <c r="D94" s="10" t="s">
        <v>159</v>
      </c>
      <c r="E94" s="10" t="n">
        <v>104433</v>
      </c>
      <c r="F94" s="10" t="n">
        <v>387.36</v>
      </c>
      <c r="G94" s="10" t="n">
        <v>196</v>
      </c>
      <c r="H94" s="10" t="n">
        <v>1103</v>
      </c>
      <c r="I94" s="10" t="n">
        <v>550</v>
      </c>
      <c r="J94" s="10" t="n">
        <v>553</v>
      </c>
      <c r="K94" s="10" t="n">
        <v>144</v>
      </c>
      <c r="L94" s="10" t="n">
        <f aca="false">K94*100/H94</f>
        <v>13.0553037171351</v>
      </c>
      <c r="M94" s="10" t="n">
        <v>891</v>
      </c>
      <c r="N94" s="10" t="n">
        <f aca="false">M94*100/H94</f>
        <v>80.7796917497734</v>
      </c>
      <c r="O94" s="10" t="n">
        <v>47.08</v>
      </c>
      <c r="P94" s="10" t="n">
        <v>0</v>
      </c>
      <c r="Q94" s="12" t="s">
        <v>45</v>
      </c>
      <c r="R94" s="12" t="s">
        <v>160</v>
      </c>
      <c r="S94" s="10"/>
      <c r="T94" s="12" t="n">
        <v>50.3024</v>
      </c>
      <c r="U94" s="10"/>
      <c r="V94" s="10" t="s">
        <v>49</v>
      </c>
      <c r="W94" s="10"/>
      <c r="X94" s="10"/>
      <c r="Y94" s="10"/>
      <c r="Z94" s="10"/>
      <c r="AA94" s="12" t="s">
        <v>82</v>
      </c>
      <c r="AB94" s="12" t="n">
        <v>12.4643</v>
      </c>
      <c r="AC94" s="12"/>
      <c r="AD94" s="12" t="n">
        <v>24.408347</v>
      </c>
      <c r="AE94" s="12" t="n">
        <v>76.54953</v>
      </c>
    </row>
    <row r="95" s="13" customFormat="true" ht="15" hidden="false" customHeight="false" outlineLevel="0" collapsed="false">
      <c r="A95" s="10" t="s">
        <v>39</v>
      </c>
      <c r="B95" s="10" t="s">
        <v>40</v>
      </c>
      <c r="C95" s="11" t="s">
        <v>152</v>
      </c>
      <c r="D95" s="10" t="s">
        <v>161</v>
      </c>
      <c r="E95" s="10" t="n">
        <v>104435</v>
      </c>
      <c r="F95" s="10" t="n">
        <v>149.46</v>
      </c>
      <c r="G95" s="10" t="n">
        <v>137</v>
      </c>
      <c r="H95" s="10" t="n">
        <v>721</v>
      </c>
      <c r="I95" s="10" t="n">
        <v>371</v>
      </c>
      <c r="J95" s="10" t="n">
        <v>350</v>
      </c>
      <c r="K95" s="10" t="n">
        <v>114</v>
      </c>
      <c r="L95" s="10" t="n">
        <f aca="false">K95*100/H95</f>
        <v>15.8113730929265</v>
      </c>
      <c r="M95" s="10" t="n">
        <v>512</v>
      </c>
      <c r="N95" s="10" t="n">
        <f aca="false">M95*100/H95</f>
        <v>71.0124826629681</v>
      </c>
      <c r="O95" s="10" t="n">
        <v>16.38</v>
      </c>
      <c r="P95" s="10" t="n">
        <v>5.58</v>
      </c>
      <c r="Q95" s="15" t="s">
        <v>150</v>
      </c>
      <c r="R95" s="18" t="n">
        <v>44791</v>
      </c>
      <c r="S95" s="10"/>
      <c r="T95" s="12" t="n">
        <v>7</v>
      </c>
      <c r="U95" s="10"/>
      <c r="V95" s="10" t="s">
        <v>49</v>
      </c>
      <c r="W95" s="10"/>
      <c r="X95" s="10"/>
      <c r="Y95" s="10"/>
      <c r="Z95" s="10"/>
      <c r="AA95" s="12" t="s">
        <v>45</v>
      </c>
      <c r="AB95" s="12" t="n">
        <v>8</v>
      </c>
      <c r="AC95" s="12"/>
      <c r="AD95" s="17" t="n">
        <v>24.39626</v>
      </c>
      <c r="AE95" s="17" t="n">
        <v>76.560317</v>
      </c>
    </row>
    <row r="96" s="13" customFormat="true" ht="15" hidden="false" customHeight="false" outlineLevel="0" collapsed="false">
      <c r="A96" s="10" t="s">
        <v>39</v>
      </c>
      <c r="B96" s="10" t="s">
        <v>40</v>
      </c>
      <c r="C96" s="11" t="s">
        <v>152</v>
      </c>
      <c r="D96" s="10" t="s">
        <v>162</v>
      </c>
      <c r="E96" s="10" t="n">
        <v>104395</v>
      </c>
      <c r="F96" s="10" t="n">
        <v>170.72</v>
      </c>
      <c r="G96" s="10" t="n">
        <v>96</v>
      </c>
      <c r="H96" s="10" t="n">
        <v>462</v>
      </c>
      <c r="I96" s="10" t="n">
        <v>235</v>
      </c>
      <c r="J96" s="10" t="n">
        <v>227</v>
      </c>
      <c r="K96" s="10" t="n">
        <v>35</v>
      </c>
      <c r="L96" s="10" t="n">
        <f aca="false">K96*100/H96</f>
        <v>7.57575757575758</v>
      </c>
      <c r="M96" s="10" t="n">
        <v>415</v>
      </c>
      <c r="N96" s="10" t="n">
        <f aca="false">M96*100/H96</f>
        <v>89.8268398268398</v>
      </c>
      <c r="O96" s="10" t="n">
        <v>12.71</v>
      </c>
      <c r="P96" s="10" t="n">
        <v>20.05</v>
      </c>
      <c r="Q96" s="12" t="s">
        <v>45</v>
      </c>
      <c r="R96" s="12" t="s">
        <v>163</v>
      </c>
      <c r="S96" s="10"/>
      <c r="T96" s="12" t="n">
        <v>12.8203</v>
      </c>
      <c r="U96" s="10"/>
      <c r="V96" s="10"/>
      <c r="W96" s="10"/>
      <c r="X96" s="10"/>
      <c r="Y96" s="10"/>
      <c r="Z96" s="10"/>
      <c r="AA96" s="12" t="s">
        <v>82</v>
      </c>
      <c r="AB96" s="12" t="n">
        <v>8.2313</v>
      </c>
      <c r="AC96" s="12"/>
      <c r="AD96" s="12" t="n">
        <v>24.43377</v>
      </c>
      <c r="AE96" s="12" t="n">
        <v>76.583168</v>
      </c>
    </row>
    <row r="97" s="13" customFormat="true" ht="15" hidden="false" customHeight="false" outlineLevel="0" collapsed="false">
      <c r="A97" s="10" t="s">
        <v>39</v>
      </c>
      <c r="B97" s="10" t="s">
        <v>40</v>
      </c>
      <c r="C97" s="11" t="s">
        <v>152</v>
      </c>
      <c r="D97" s="10" t="s">
        <v>164</v>
      </c>
      <c r="E97" s="10" t="n">
        <v>104396</v>
      </c>
      <c r="F97" s="10" t="n">
        <v>185.57</v>
      </c>
      <c r="G97" s="10" t="n">
        <v>140</v>
      </c>
      <c r="H97" s="10" t="n">
        <v>575</v>
      </c>
      <c r="I97" s="10" t="n">
        <v>298</v>
      </c>
      <c r="J97" s="10" t="n">
        <v>277</v>
      </c>
      <c r="K97" s="10" t="n">
        <v>191</v>
      </c>
      <c r="L97" s="10" t="n">
        <f aca="false">K97*100/H97</f>
        <v>33.2173913043478</v>
      </c>
      <c r="M97" s="10" t="n">
        <v>278</v>
      </c>
      <c r="N97" s="10" t="n">
        <f aca="false">M97*100/H97</f>
        <v>48.3478260869565</v>
      </c>
      <c r="O97" s="10" t="n">
        <v>33.93</v>
      </c>
      <c r="P97" s="10" t="n">
        <v>23</v>
      </c>
      <c r="Q97" s="12" t="s">
        <v>45</v>
      </c>
      <c r="R97" s="18" t="s">
        <v>165</v>
      </c>
      <c r="S97" s="10"/>
      <c r="T97" s="15" t="n">
        <v>23.13</v>
      </c>
      <c r="U97" s="10"/>
      <c r="V97" s="10"/>
      <c r="W97" s="10"/>
      <c r="X97" s="10"/>
      <c r="Y97" s="10"/>
      <c r="Z97" s="10"/>
      <c r="AA97" s="12" t="s">
        <v>82</v>
      </c>
      <c r="AB97" s="16" t="n">
        <v>6.5154</v>
      </c>
      <c r="AC97" s="16"/>
      <c r="AD97" s="17" t="n">
        <v>24.43277</v>
      </c>
      <c r="AE97" s="17" t="n">
        <v>76.580652</v>
      </c>
    </row>
    <row r="98" s="13" customFormat="true" ht="15" hidden="false" customHeight="false" outlineLevel="0" collapsed="false">
      <c r="A98" s="10" t="s">
        <v>39</v>
      </c>
      <c r="B98" s="10" t="s">
        <v>40</v>
      </c>
      <c r="C98" s="11" t="s">
        <v>152</v>
      </c>
      <c r="D98" s="10" t="s">
        <v>166</v>
      </c>
      <c r="E98" s="10" t="n">
        <v>104436</v>
      </c>
      <c r="F98" s="10" t="n">
        <v>170.05</v>
      </c>
      <c r="G98" s="10" t="n">
        <v>26</v>
      </c>
      <c r="H98" s="10" t="n">
        <v>138</v>
      </c>
      <c r="I98" s="10" t="n">
        <v>67</v>
      </c>
      <c r="J98" s="10" t="n">
        <v>71</v>
      </c>
      <c r="K98" s="10" t="n">
        <v>0</v>
      </c>
      <c r="L98" s="10" t="n">
        <f aca="false">K98*100/H98</f>
        <v>0</v>
      </c>
      <c r="M98" s="10" t="n">
        <v>122</v>
      </c>
      <c r="N98" s="10" t="n">
        <f aca="false">M98*100/H98</f>
        <v>88.4057971014493</v>
      </c>
      <c r="O98" s="10" t="n">
        <v>8.16</v>
      </c>
      <c r="P98" s="10" t="n">
        <v>0</v>
      </c>
      <c r="Q98" s="15" t="s">
        <v>150</v>
      </c>
      <c r="R98" s="18" t="n">
        <v>44791</v>
      </c>
      <c r="S98" s="10"/>
      <c r="T98" s="16" t="n">
        <v>2.48</v>
      </c>
      <c r="U98" s="10"/>
      <c r="V98" s="10" t="s">
        <v>49</v>
      </c>
      <c r="W98" s="10"/>
      <c r="X98" s="10"/>
      <c r="Y98" s="10"/>
      <c r="Z98" s="10"/>
      <c r="AA98" s="16" t="s">
        <v>45</v>
      </c>
      <c r="AB98" s="16" t="n">
        <v>6</v>
      </c>
      <c r="AC98" s="16"/>
      <c r="AD98" s="17" t="n">
        <v>24.400832</v>
      </c>
      <c r="AE98" s="17" t="n">
        <v>76.586083</v>
      </c>
    </row>
    <row r="99" s="13" customFormat="true" ht="15" hidden="false" customHeight="false" outlineLevel="0" collapsed="false">
      <c r="A99" s="10" t="s">
        <v>39</v>
      </c>
      <c r="B99" s="10" t="s">
        <v>40</v>
      </c>
      <c r="C99" s="11" t="s">
        <v>167</v>
      </c>
      <c r="D99" s="10" t="s">
        <v>168</v>
      </c>
      <c r="E99" s="10" t="n">
        <v>104591</v>
      </c>
      <c r="F99" s="10" t="n">
        <v>1022.38</v>
      </c>
      <c r="G99" s="10" t="n">
        <v>742</v>
      </c>
      <c r="H99" s="10" t="n">
        <v>3450</v>
      </c>
      <c r="I99" s="10" t="n">
        <v>1768</v>
      </c>
      <c r="J99" s="10" t="n">
        <v>1682</v>
      </c>
      <c r="K99" s="10" t="n">
        <v>576</v>
      </c>
      <c r="L99" s="10" t="n">
        <f aca="false">K99*100/H99</f>
        <v>16.695652173913</v>
      </c>
      <c r="M99" s="10" t="n">
        <v>687</v>
      </c>
      <c r="N99" s="10" t="n">
        <f aca="false">M99*100/H99</f>
        <v>19.9130434782609</v>
      </c>
      <c r="O99" s="10" t="n">
        <v>31.09</v>
      </c>
      <c r="P99" s="10" t="n">
        <v>341.12</v>
      </c>
      <c r="Q99" s="15" t="s">
        <v>45</v>
      </c>
      <c r="R99" s="12" t="s">
        <v>169</v>
      </c>
      <c r="S99" s="10"/>
      <c r="T99" s="12" t="n">
        <v>86.8697</v>
      </c>
      <c r="U99" s="10"/>
      <c r="V99" s="10"/>
      <c r="W99" s="10"/>
      <c r="X99" s="10"/>
      <c r="Y99" s="10"/>
      <c r="Z99" s="10"/>
      <c r="AA99" s="12" t="s">
        <v>82</v>
      </c>
      <c r="AB99" s="12" t="n">
        <v>2</v>
      </c>
      <c r="AC99" s="12"/>
      <c r="AD99" s="12" t="n">
        <v>24.285545</v>
      </c>
      <c r="AE99" s="12" t="n">
        <v>76.558974</v>
      </c>
    </row>
    <row r="100" s="13" customFormat="true" ht="15" hidden="false" customHeight="false" outlineLevel="0" collapsed="false">
      <c r="A100" s="10" t="s">
        <v>39</v>
      </c>
      <c r="B100" s="10" t="s">
        <v>40</v>
      </c>
      <c r="C100" s="11" t="s">
        <v>167</v>
      </c>
      <c r="D100" s="10" t="s">
        <v>170</v>
      </c>
      <c r="E100" s="10" t="n">
        <v>104590</v>
      </c>
      <c r="F100" s="10" t="n">
        <v>218.28</v>
      </c>
      <c r="G100" s="10" t="n">
        <v>67</v>
      </c>
      <c r="H100" s="10" t="n">
        <v>295</v>
      </c>
      <c r="I100" s="10" t="n">
        <v>151</v>
      </c>
      <c r="J100" s="10" t="n">
        <v>144</v>
      </c>
      <c r="K100" s="10" t="n">
        <v>7</v>
      </c>
      <c r="L100" s="10" t="n">
        <f aca="false">K100*100/H100</f>
        <v>2.3728813559322</v>
      </c>
      <c r="M100" s="10" t="n">
        <v>0</v>
      </c>
      <c r="N100" s="10" t="n">
        <f aca="false">M100*100/H100</f>
        <v>0</v>
      </c>
      <c r="O100" s="10" t="n">
        <v>36.1</v>
      </c>
      <c r="P100" s="10" t="n">
        <v>0</v>
      </c>
      <c r="Q100" s="15" t="s">
        <v>45</v>
      </c>
      <c r="R100" s="12" t="s">
        <v>169</v>
      </c>
      <c r="S100" s="10"/>
      <c r="T100" s="12" t="n">
        <v>36.0898</v>
      </c>
      <c r="U100" s="10"/>
      <c r="V100" s="10"/>
      <c r="W100" s="10"/>
      <c r="X100" s="10"/>
      <c r="Y100" s="10"/>
      <c r="Z100" s="10"/>
      <c r="AA100" s="12" t="s">
        <v>82</v>
      </c>
      <c r="AB100" s="12" t="n">
        <v>3</v>
      </c>
      <c r="AC100" s="12"/>
      <c r="AD100" s="12" t="n">
        <v>24.277229</v>
      </c>
      <c r="AE100" s="12" t="n">
        <v>76.557245</v>
      </c>
    </row>
    <row r="101" s="13" customFormat="true" ht="15" hidden="false" customHeight="false" outlineLevel="0" collapsed="false">
      <c r="A101" s="10" t="s">
        <v>39</v>
      </c>
      <c r="B101" s="10" t="s">
        <v>40</v>
      </c>
      <c r="C101" s="11" t="s">
        <v>167</v>
      </c>
      <c r="D101" s="10" t="s">
        <v>171</v>
      </c>
      <c r="E101" s="10" t="n">
        <v>104572</v>
      </c>
      <c r="F101" s="10" t="n">
        <v>800.51</v>
      </c>
      <c r="G101" s="10" t="n">
        <v>204</v>
      </c>
      <c r="H101" s="10" t="n">
        <v>972</v>
      </c>
      <c r="I101" s="10" t="n">
        <v>505</v>
      </c>
      <c r="J101" s="10" t="n">
        <v>467</v>
      </c>
      <c r="K101" s="10" t="n">
        <v>5</v>
      </c>
      <c r="L101" s="10" t="n">
        <f aca="false">K101*100/H101</f>
        <v>0.51440329218107</v>
      </c>
      <c r="M101" s="10" t="n">
        <v>927</v>
      </c>
      <c r="N101" s="10" t="n">
        <f aca="false">M101*100/H101</f>
        <v>95.3703703703704</v>
      </c>
      <c r="O101" s="10" t="n">
        <v>57.75</v>
      </c>
      <c r="P101" s="10" t="n">
        <v>58.74</v>
      </c>
      <c r="Q101" s="15" t="s">
        <v>45</v>
      </c>
      <c r="R101" s="12" t="s">
        <v>169</v>
      </c>
      <c r="S101" s="10"/>
      <c r="T101" s="12" t="n">
        <v>58.0239</v>
      </c>
      <c r="U101" s="10"/>
      <c r="V101" s="10"/>
      <c r="W101" s="10" t="s">
        <v>49</v>
      </c>
      <c r="X101" s="10" t="s">
        <v>49</v>
      </c>
      <c r="Y101" s="10" t="s">
        <v>49</v>
      </c>
      <c r="Z101" s="10"/>
      <c r="AA101" s="12" t="s">
        <v>82</v>
      </c>
      <c r="AB101" s="12" t="n">
        <v>3</v>
      </c>
      <c r="AC101" s="12"/>
      <c r="AD101" s="12" t="n">
        <v>24.277289</v>
      </c>
      <c r="AE101" s="12" t="n">
        <v>76.584214</v>
      </c>
    </row>
    <row r="102" s="13" customFormat="true" ht="15" hidden="false" customHeight="false" outlineLevel="0" collapsed="false">
      <c r="A102" s="10" t="s">
        <v>39</v>
      </c>
      <c r="B102" s="10" t="s">
        <v>40</v>
      </c>
      <c r="C102" s="11" t="s">
        <v>167</v>
      </c>
      <c r="D102" s="10" t="s">
        <v>172</v>
      </c>
      <c r="E102" s="10" t="n">
        <v>104588</v>
      </c>
      <c r="F102" s="10" t="n">
        <v>279.46</v>
      </c>
      <c r="G102" s="10" t="n">
        <v>215</v>
      </c>
      <c r="H102" s="10" t="n">
        <v>793</v>
      </c>
      <c r="I102" s="10" t="n">
        <v>391</v>
      </c>
      <c r="J102" s="10" t="n">
        <v>402</v>
      </c>
      <c r="K102" s="10" t="n">
        <v>33</v>
      </c>
      <c r="L102" s="10" t="n">
        <f aca="false">K102*100/H102</f>
        <v>4.16141235813367</v>
      </c>
      <c r="M102" s="10" t="n">
        <v>0</v>
      </c>
      <c r="N102" s="10" t="n">
        <f aca="false">M102*100/H102</f>
        <v>0</v>
      </c>
      <c r="O102" s="10" t="n">
        <v>50.35</v>
      </c>
      <c r="P102" s="10" t="n">
        <v>0</v>
      </c>
      <c r="Q102" s="15" t="s">
        <v>45</v>
      </c>
      <c r="R102" s="12" t="s">
        <v>169</v>
      </c>
      <c r="S102" s="10"/>
      <c r="T102" s="12" t="n">
        <v>53.1514</v>
      </c>
      <c r="U102" s="10"/>
      <c r="V102" s="10"/>
      <c r="W102" s="10"/>
      <c r="X102" s="10"/>
      <c r="Y102" s="10"/>
      <c r="Z102" s="10"/>
      <c r="AA102" s="12" t="s">
        <v>82</v>
      </c>
      <c r="AB102" s="12" t="n">
        <v>2</v>
      </c>
      <c r="AC102" s="12"/>
      <c r="AD102" s="12" t="n">
        <v>24.2551</v>
      </c>
      <c r="AE102" s="12" t="n">
        <v>76.569627</v>
      </c>
    </row>
    <row r="103" s="13" customFormat="true" ht="15" hidden="false" customHeight="false" outlineLevel="0" collapsed="false">
      <c r="A103" s="10" t="s">
        <v>39</v>
      </c>
      <c r="B103" s="10" t="s">
        <v>40</v>
      </c>
      <c r="C103" s="11" t="s">
        <v>167</v>
      </c>
      <c r="D103" s="10" t="s">
        <v>173</v>
      </c>
      <c r="E103" s="10" t="n">
        <v>104635</v>
      </c>
      <c r="F103" s="10" t="n">
        <v>447.73</v>
      </c>
      <c r="G103" s="10" t="n">
        <v>206</v>
      </c>
      <c r="H103" s="10" t="n">
        <v>1047</v>
      </c>
      <c r="I103" s="10" t="n">
        <v>532</v>
      </c>
      <c r="J103" s="10" t="n">
        <v>515</v>
      </c>
      <c r="K103" s="10" t="n">
        <v>0</v>
      </c>
      <c r="L103" s="10" t="n">
        <f aca="false">K103*100/H103</f>
        <v>0</v>
      </c>
      <c r="M103" s="10" t="n">
        <v>0</v>
      </c>
      <c r="N103" s="10" t="n">
        <f aca="false">M103*100/H103</f>
        <v>0</v>
      </c>
      <c r="O103" s="10" t="n">
        <v>64.33</v>
      </c>
      <c r="P103" s="10" t="n">
        <v>0</v>
      </c>
      <c r="Q103" s="15" t="s">
        <v>45</v>
      </c>
      <c r="R103" s="12" t="s">
        <v>169</v>
      </c>
      <c r="S103" s="10"/>
      <c r="T103" s="12" t="n">
        <v>65.4861</v>
      </c>
      <c r="U103" s="10"/>
      <c r="V103" s="10"/>
      <c r="W103" s="10"/>
      <c r="X103" s="10"/>
      <c r="Y103" s="10"/>
      <c r="Z103" s="10"/>
      <c r="AA103" s="12" t="s">
        <v>82</v>
      </c>
      <c r="AB103" s="12" t="n">
        <v>3</v>
      </c>
      <c r="AC103" s="12"/>
      <c r="AD103" s="12" t="n">
        <v>24.239996</v>
      </c>
      <c r="AE103" s="12" t="n">
        <v>76.564904</v>
      </c>
    </row>
    <row r="104" s="13" customFormat="true" ht="15" hidden="false" customHeight="false" outlineLevel="0" collapsed="false">
      <c r="A104" s="10" t="s">
        <v>39</v>
      </c>
      <c r="B104" s="10" t="s">
        <v>40</v>
      </c>
      <c r="C104" s="11" t="s">
        <v>167</v>
      </c>
      <c r="D104" s="10" t="s">
        <v>174</v>
      </c>
      <c r="E104" s="10" t="n">
        <v>104636</v>
      </c>
      <c r="F104" s="10" t="n">
        <v>399.38</v>
      </c>
      <c r="G104" s="10" t="n">
        <v>131</v>
      </c>
      <c r="H104" s="10" t="n">
        <v>623</v>
      </c>
      <c r="I104" s="10" t="n">
        <v>307</v>
      </c>
      <c r="J104" s="10" t="n">
        <v>316</v>
      </c>
      <c r="K104" s="10" t="n">
        <v>1</v>
      </c>
      <c r="L104" s="10" t="n">
        <f aca="false">K104*100/H104</f>
        <v>0.160513643659711</v>
      </c>
      <c r="M104" s="10" t="n">
        <v>622</v>
      </c>
      <c r="N104" s="10" t="n">
        <f aca="false">M104*100/H104</f>
        <v>99.8394863563403</v>
      </c>
      <c r="O104" s="10" t="n">
        <v>49.9</v>
      </c>
      <c r="P104" s="10" t="n">
        <v>0</v>
      </c>
      <c r="Q104" s="15" t="s">
        <v>45</v>
      </c>
      <c r="R104" s="12" t="s">
        <v>169</v>
      </c>
      <c r="S104" s="10"/>
      <c r="T104" s="12" t="n">
        <v>49.9057</v>
      </c>
      <c r="U104" s="10"/>
      <c r="V104" s="10"/>
      <c r="W104" s="10"/>
      <c r="X104" s="10"/>
      <c r="Y104" s="10"/>
      <c r="Z104" s="10"/>
      <c r="AA104" s="12" t="s">
        <v>82</v>
      </c>
      <c r="AB104" s="12" t="n">
        <v>2</v>
      </c>
      <c r="AC104" s="12"/>
      <c r="AD104" s="12" t="n">
        <v>24.225832</v>
      </c>
      <c r="AE104" s="12" t="n">
        <v>76.588186</v>
      </c>
    </row>
    <row r="105" s="13" customFormat="true" ht="15" hidden="false" customHeight="false" outlineLevel="0" collapsed="false">
      <c r="A105" s="10" t="s">
        <v>39</v>
      </c>
      <c r="B105" s="10" t="s">
        <v>40</v>
      </c>
      <c r="C105" s="11" t="s">
        <v>167</v>
      </c>
      <c r="D105" s="10" t="s">
        <v>175</v>
      </c>
      <c r="E105" s="10" t="n">
        <v>104589</v>
      </c>
      <c r="F105" s="10" t="n">
        <v>203.37</v>
      </c>
      <c r="G105" s="10" t="n">
        <v>150</v>
      </c>
      <c r="H105" s="10" t="n">
        <v>694</v>
      </c>
      <c r="I105" s="10" t="n">
        <v>362</v>
      </c>
      <c r="J105" s="10" t="n">
        <v>332</v>
      </c>
      <c r="K105" s="10" t="n">
        <v>77</v>
      </c>
      <c r="L105" s="10" t="n">
        <f aca="false">K105*100/H105</f>
        <v>11.0951008645533</v>
      </c>
      <c r="M105" s="10" t="n">
        <v>0</v>
      </c>
      <c r="N105" s="10" t="n">
        <f aca="false">M105*100/H105</f>
        <v>0</v>
      </c>
      <c r="O105" s="10" t="n">
        <v>38.2</v>
      </c>
      <c r="P105" s="10" t="n">
        <v>0</v>
      </c>
      <c r="Q105" s="15" t="s">
        <v>45</v>
      </c>
      <c r="R105" s="12" t="s">
        <v>169</v>
      </c>
      <c r="S105" s="10"/>
      <c r="T105" s="12" t="n">
        <v>38.20214</v>
      </c>
      <c r="U105" s="10"/>
      <c r="V105" s="10"/>
      <c r="W105" s="10"/>
      <c r="X105" s="10"/>
      <c r="Y105" s="10"/>
      <c r="Z105" s="10"/>
      <c r="AA105" s="12" t="s">
        <v>82</v>
      </c>
      <c r="AB105" s="12" t="n">
        <v>2</v>
      </c>
      <c r="AC105" s="12"/>
      <c r="AD105" s="12" t="n">
        <v>24.261918</v>
      </c>
      <c r="AE105" s="12" t="n">
        <v>76.583365</v>
      </c>
    </row>
    <row r="106" s="13" customFormat="true" ht="15" hidden="false" customHeight="false" outlineLevel="0" collapsed="false">
      <c r="A106" s="10" t="s">
        <v>39</v>
      </c>
      <c r="B106" s="10" t="s">
        <v>40</v>
      </c>
      <c r="C106" s="11" t="s">
        <v>167</v>
      </c>
      <c r="D106" s="10" t="s">
        <v>176</v>
      </c>
      <c r="E106" s="10" t="n">
        <v>104637</v>
      </c>
      <c r="F106" s="10" t="n">
        <v>284.57</v>
      </c>
      <c r="G106" s="10" t="n">
        <v>172</v>
      </c>
      <c r="H106" s="10" t="n">
        <v>713</v>
      </c>
      <c r="I106" s="10" t="n">
        <v>356</v>
      </c>
      <c r="J106" s="10" t="n">
        <v>357</v>
      </c>
      <c r="K106" s="10" t="n">
        <v>0</v>
      </c>
      <c r="L106" s="10" t="n">
        <f aca="false">K106*100/H106</f>
        <v>0</v>
      </c>
      <c r="M106" s="10" t="n">
        <v>0</v>
      </c>
      <c r="N106" s="10" t="n">
        <f aca="false">M106*100/H106</f>
        <v>0</v>
      </c>
      <c r="O106" s="10" t="n">
        <v>58.71</v>
      </c>
      <c r="P106" s="10" t="n">
        <v>0</v>
      </c>
      <c r="Q106" s="15" t="s">
        <v>45</v>
      </c>
      <c r="R106" s="12" t="s">
        <v>169</v>
      </c>
      <c r="S106" s="10"/>
      <c r="T106" s="12" t="n">
        <v>58.7036</v>
      </c>
      <c r="U106" s="10"/>
      <c r="V106" s="10"/>
      <c r="W106" s="10"/>
      <c r="X106" s="10"/>
      <c r="Y106" s="10"/>
      <c r="Z106" s="10"/>
      <c r="AA106" s="12" t="s">
        <v>82</v>
      </c>
      <c r="AB106" s="12" t="n">
        <v>3</v>
      </c>
      <c r="AC106" s="12"/>
      <c r="AD106" s="12" t="n">
        <v>24.244387</v>
      </c>
      <c r="AE106" s="12" t="n">
        <v>76.582615</v>
      </c>
    </row>
    <row r="107" s="13" customFormat="true" ht="15" hidden="false" customHeight="false" outlineLevel="0" collapsed="false">
      <c r="A107" s="10" t="s">
        <v>39</v>
      </c>
      <c r="B107" s="10" t="s">
        <v>40</v>
      </c>
      <c r="C107" s="11" t="s">
        <v>177</v>
      </c>
      <c r="D107" s="10" t="s">
        <v>178</v>
      </c>
      <c r="E107" s="10" t="n">
        <v>104447</v>
      </c>
      <c r="F107" s="10" t="n">
        <v>168.47</v>
      </c>
      <c r="G107" s="10" t="n">
        <v>112</v>
      </c>
      <c r="H107" s="10" t="n">
        <v>471</v>
      </c>
      <c r="I107" s="10" t="n">
        <v>252</v>
      </c>
      <c r="J107" s="10" t="n">
        <v>219</v>
      </c>
      <c r="K107" s="10" t="n">
        <v>103</v>
      </c>
      <c r="L107" s="10" t="n">
        <f aca="false">K107*100/H107</f>
        <v>21.8683651804671</v>
      </c>
      <c r="M107" s="10" t="n">
        <v>325</v>
      </c>
      <c r="N107" s="10" t="n">
        <f aca="false">M107*100/H107</f>
        <v>69.0021231422505</v>
      </c>
      <c r="O107" s="10" t="n">
        <v>25.97</v>
      </c>
      <c r="P107" s="10" t="n">
        <v>5.35</v>
      </c>
      <c r="Q107" s="15" t="s">
        <v>45</v>
      </c>
      <c r="R107" s="18" t="n">
        <v>44809</v>
      </c>
      <c r="S107" s="10"/>
      <c r="T107" s="16" t="n">
        <v>18.97</v>
      </c>
      <c r="U107" s="10"/>
      <c r="V107" s="10"/>
      <c r="W107" s="10"/>
      <c r="X107" s="10"/>
      <c r="Y107" s="10"/>
      <c r="Z107" s="10"/>
      <c r="AA107" s="16" t="s">
        <v>45</v>
      </c>
      <c r="AB107" s="16" t="n">
        <v>11</v>
      </c>
      <c r="AC107" s="16" t="s">
        <v>179</v>
      </c>
      <c r="AD107" s="17" t="n">
        <v>24.360147</v>
      </c>
      <c r="AE107" s="17" t="n">
        <v>76.63379</v>
      </c>
    </row>
    <row r="108" s="13" customFormat="true" ht="15" hidden="false" customHeight="false" outlineLevel="0" collapsed="false">
      <c r="A108" s="10" t="s">
        <v>39</v>
      </c>
      <c r="B108" s="10" t="s">
        <v>40</v>
      </c>
      <c r="C108" s="11" t="s">
        <v>177</v>
      </c>
      <c r="D108" s="10" t="s">
        <v>180</v>
      </c>
      <c r="E108" s="10" t="n">
        <v>104443</v>
      </c>
      <c r="F108" s="10" t="n">
        <v>163.35</v>
      </c>
      <c r="G108" s="10" t="n">
        <v>122</v>
      </c>
      <c r="H108" s="10" t="n">
        <v>586</v>
      </c>
      <c r="I108" s="10" t="n">
        <v>287</v>
      </c>
      <c r="J108" s="10" t="n">
        <v>299</v>
      </c>
      <c r="K108" s="10" t="n">
        <v>18</v>
      </c>
      <c r="L108" s="10" t="n">
        <f aca="false">K108*100/H108</f>
        <v>3.07167235494881</v>
      </c>
      <c r="M108" s="10" t="n">
        <v>566</v>
      </c>
      <c r="N108" s="10" t="n">
        <f aca="false">M108*100/H108</f>
        <v>96.5870307167235</v>
      </c>
      <c r="O108" s="10" t="n">
        <v>23.52</v>
      </c>
      <c r="P108" s="10" t="n">
        <v>0</v>
      </c>
      <c r="Q108" s="15" t="s">
        <v>45</v>
      </c>
      <c r="R108" s="18" t="n">
        <v>44809</v>
      </c>
      <c r="S108" s="10"/>
      <c r="T108" s="16" t="n">
        <v>19.4</v>
      </c>
      <c r="U108" s="10"/>
      <c r="V108" s="10"/>
      <c r="W108" s="10"/>
      <c r="X108" s="10"/>
      <c r="Y108" s="10"/>
      <c r="Z108" s="10"/>
      <c r="AA108" s="16" t="s">
        <v>45</v>
      </c>
      <c r="AB108" s="16" t="n">
        <v>11.3868</v>
      </c>
      <c r="AC108" s="16" t="s">
        <v>129</v>
      </c>
      <c r="AD108" s="17" t="n">
        <v>24.391557</v>
      </c>
      <c r="AE108" s="17" t="n">
        <v>76.627141</v>
      </c>
    </row>
    <row r="109" s="13" customFormat="true" ht="15" hidden="false" customHeight="false" outlineLevel="0" collapsed="false">
      <c r="A109" s="10" t="s">
        <v>39</v>
      </c>
      <c r="B109" s="10" t="s">
        <v>40</v>
      </c>
      <c r="C109" s="11" t="s">
        <v>177</v>
      </c>
      <c r="D109" s="10" t="s">
        <v>181</v>
      </c>
      <c r="E109" s="10" t="n">
        <v>104452</v>
      </c>
      <c r="F109" s="10" t="n">
        <v>313.33</v>
      </c>
      <c r="G109" s="10" t="n">
        <v>121</v>
      </c>
      <c r="H109" s="10" t="n">
        <v>659</v>
      </c>
      <c r="I109" s="10" t="n">
        <v>337</v>
      </c>
      <c r="J109" s="10" t="n">
        <v>322</v>
      </c>
      <c r="K109" s="10" t="n">
        <v>26</v>
      </c>
      <c r="L109" s="10" t="n">
        <f aca="false">K109*100/H109</f>
        <v>3.9453717754173</v>
      </c>
      <c r="M109" s="10" t="n">
        <v>465</v>
      </c>
      <c r="N109" s="10" t="n">
        <f aca="false">M109*100/H109</f>
        <v>70.5614567526555</v>
      </c>
      <c r="O109" s="10" t="n">
        <v>34.92</v>
      </c>
      <c r="P109" s="10" t="n">
        <v>0</v>
      </c>
      <c r="Q109" s="15" t="s">
        <v>45</v>
      </c>
      <c r="R109" s="18" t="n">
        <v>44809</v>
      </c>
      <c r="S109" s="10"/>
      <c r="T109" s="16" t="n">
        <v>26.91</v>
      </c>
      <c r="U109" s="10"/>
      <c r="V109" s="10"/>
      <c r="W109" s="10"/>
      <c r="X109" s="10"/>
      <c r="Y109" s="10"/>
      <c r="Z109" s="10"/>
      <c r="AA109" s="16" t="s">
        <v>45</v>
      </c>
      <c r="AB109" s="16" t="n">
        <v>15</v>
      </c>
      <c r="AC109" s="16" t="s">
        <v>129</v>
      </c>
      <c r="AD109" s="17" t="n">
        <v>24.379103</v>
      </c>
      <c r="AE109" s="17" t="n">
        <v>76.61475</v>
      </c>
    </row>
    <row r="110" s="13" customFormat="true" ht="15" hidden="false" customHeight="false" outlineLevel="0" collapsed="false">
      <c r="A110" s="10" t="s">
        <v>39</v>
      </c>
      <c r="B110" s="10" t="s">
        <v>40</v>
      </c>
      <c r="C110" s="11" t="s">
        <v>177</v>
      </c>
      <c r="D110" s="10" t="s">
        <v>182</v>
      </c>
      <c r="E110" s="10" t="n">
        <v>104444</v>
      </c>
      <c r="F110" s="10" t="n">
        <v>677.72</v>
      </c>
      <c r="G110" s="10" t="n">
        <v>542</v>
      </c>
      <c r="H110" s="10" t="n">
        <v>2682</v>
      </c>
      <c r="I110" s="10" t="n">
        <v>1398</v>
      </c>
      <c r="J110" s="10" t="n">
        <v>1284</v>
      </c>
      <c r="K110" s="10" t="n">
        <v>594</v>
      </c>
      <c r="L110" s="10" t="n">
        <f aca="false">K110*100/H110</f>
        <v>22.1476510067114</v>
      </c>
      <c r="M110" s="10" t="n">
        <v>516</v>
      </c>
      <c r="N110" s="10" t="n">
        <f aca="false">M110*100/H110</f>
        <v>19.2393736017897</v>
      </c>
      <c r="O110" s="10" t="n">
        <v>79.24</v>
      </c>
      <c r="P110" s="10" t="n">
        <v>0</v>
      </c>
      <c r="Q110" s="15" t="s">
        <v>150</v>
      </c>
      <c r="R110" s="18" t="n">
        <v>44809</v>
      </c>
      <c r="S110" s="10"/>
      <c r="T110" s="16" t="n">
        <v>73.8</v>
      </c>
      <c r="U110" s="10"/>
      <c r="V110" s="10" t="s">
        <v>49</v>
      </c>
      <c r="W110" s="10" t="s">
        <v>49</v>
      </c>
      <c r="X110" s="10" t="s">
        <v>49</v>
      </c>
      <c r="Y110" s="10" t="s">
        <v>49</v>
      </c>
      <c r="Z110" s="10"/>
      <c r="AA110" s="16" t="s">
        <v>45</v>
      </c>
      <c r="AB110" s="16" t="n">
        <v>34</v>
      </c>
      <c r="AC110" s="16" t="s">
        <v>129</v>
      </c>
      <c r="AD110" s="17" t="n">
        <v>24.386316</v>
      </c>
      <c r="AE110" s="17" t="n">
        <v>76.643918</v>
      </c>
    </row>
    <row r="111" s="13" customFormat="true" ht="15" hidden="false" customHeight="false" outlineLevel="0" collapsed="false">
      <c r="A111" s="10" t="s">
        <v>39</v>
      </c>
      <c r="B111" s="10" t="s">
        <v>40</v>
      </c>
      <c r="C111" s="11" t="s">
        <v>177</v>
      </c>
      <c r="D111" s="10" t="s">
        <v>183</v>
      </c>
      <c r="E111" s="10" t="n">
        <v>104441</v>
      </c>
      <c r="F111" s="10" t="n">
        <v>299.87</v>
      </c>
      <c r="G111" s="10" t="n">
        <v>132</v>
      </c>
      <c r="H111" s="10" t="n">
        <v>646</v>
      </c>
      <c r="I111" s="10" t="n">
        <v>332</v>
      </c>
      <c r="J111" s="10" t="n">
        <v>314</v>
      </c>
      <c r="K111" s="10" t="n">
        <v>88</v>
      </c>
      <c r="L111" s="10" t="n">
        <f aca="false">K111*100/H111</f>
        <v>13.6222910216718</v>
      </c>
      <c r="M111" s="10" t="n">
        <v>282</v>
      </c>
      <c r="N111" s="10" t="n">
        <f aca="false">M111*100/H111</f>
        <v>43.6532507739938</v>
      </c>
      <c r="O111" s="10" t="n">
        <v>50.35</v>
      </c>
      <c r="P111" s="10" t="n">
        <v>0</v>
      </c>
      <c r="Q111" s="15" t="s">
        <v>45</v>
      </c>
      <c r="R111" s="18" t="n">
        <v>44809</v>
      </c>
      <c r="S111" s="10"/>
      <c r="T111" s="16" t="n">
        <v>41.15</v>
      </c>
      <c r="U111" s="10"/>
      <c r="V111" s="10"/>
      <c r="W111" s="10"/>
      <c r="X111" s="10"/>
      <c r="Y111" s="10"/>
      <c r="Z111" s="10"/>
      <c r="AA111" s="16" t="s">
        <v>45</v>
      </c>
      <c r="AB111" s="16" t="n">
        <v>10</v>
      </c>
      <c r="AC111" s="16" t="s">
        <v>129</v>
      </c>
      <c r="AD111" s="17" t="n">
        <v>24.407196</v>
      </c>
      <c r="AE111" s="17" t="n">
        <v>76.640473</v>
      </c>
    </row>
    <row r="112" s="13" customFormat="true" ht="15" hidden="false" customHeight="false" outlineLevel="0" collapsed="false">
      <c r="A112" s="10" t="s">
        <v>39</v>
      </c>
      <c r="B112" s="10" t="s">
        <v>40</v>
      </c>
      <c r="C112" s="11" t="s">
        <v>177</v>
      </c>
      <c r="D112" s="10" t="s">
        <v>184</v>
      </c>
      <c r="E112" s="10" t="n">
        <v>104448</v>
      </c>
      <c r="F112" s="10" t="n">
        <v>97.7</v>
      </c>
      <c r="G112" s="10" t="n">
        <v>79</v>
      </c>
      <c r="H112" s="10" t="n">
        <v>365</v>
      </c>
      <c r="I112" s="10" t="n">
        <v>176</v>
      </c>
      <c r="J112" s="10" t="n">
        <v>189</v>
      </c>
      <c r="K112" s="10" t="n">
        <v>19</v>
      </c>
      <c r="L112" s="10" t="n">
        <f aca="false">K112*100/H112</f>
        <v>5.2054794520548</v>
      </c>
      <c r="M112" s="10" t="n">
        <v>301</v>
      </c>
      <c r="N112" s="10" t="n">
        <f aca="false">M112*100/H112</f>
        <v>82.4657534246575</v>
      </c>
      <c r="O112" s="10" t="n">
        <v>6.82</v>
      </c>
      <c r="P112" s="10" t="n">
        <v>0</v>
      </c>
      <c r="Q112" s="15" t="s">
        <v>45</v>
      </c>
      <c r="R112" s="18" t="n">
        <v>44809</v>
      </c>
      <c r="S112" s="10"/>
      <c r="T112" s="16" t="n">
        <v>2.17</v>
      </c>
      <c r="U112" s="10"/>
      <c r="V112" s="10"/>
      <c r="W112" s="10"/>
      <c r="X112" s="10"/>
      <c r="Y112" s="10"/>
      <c r="Z112" s="10"/>
      <c r="AA112" s="16" t="s">
        <v>45</v>
      </c>
      <c r="AB112" s="16" t="n">
        <v>9</v>
      </c>
      <c r="AC112" s="16" t="s">
        <v>148</v>
      </c>
      <c r="AD112" s="17" t="n">
        <v>24.374949</v>
      </c>
      <c r="AE112" s="17" t="n">
        <v>76.626458</v>
      </c>
    </row>
    <row r="113" s="13" customFormat="true" ht="15" hidden="false" customHeight="false" outlineLevel="0" collapsed="false">
      <c r="A113" s="10" t="s">
        <v>39</v>
      </c>
      <c r="B113" s="10" t="s">
        <v>40</v>
      </c>
      <c r="C113" s="11" t="s">
        <v>185</v>
      </c>
      <c r="D113" s="10" t="s">
        <v>186</v>
      </c>
      <c r="E113" s="10" t="n">
        <v>104431</v>
      </c>
      <c r="F113" s="10" t="n">
        <v>720.02</v>
      </c>
      <c r="G113" s="10" t="n">
        <v>342</v>
      </c>
      <c r="H113" s="10" t="n">
        <v>1739</v>
      </c>
      <c r="I113" s="10" t="n">
        <v>896</v>
      </c>
      <c r="J113" s="10" t="n">
        <v>843</v>
      </c>
      <c r="K113" s="10" t="n">
        <v>184</v>
      </c>
      <c r="L113" s="10" t="n">
        <f aca="false">K113*100/H113</f>
        <v>10.580793559517</v>
      </c>
      <c r="M113" s="10" t="n">
        <v>1123</v>
      </c>
      <c r="N113" s="10" t="n">
        <f aca="false">M113*100/H113</f>
        <v>64.5773433007476</v>
      </c>
      <c r="O113" s="10" t="n">
        <v>71.05</v>
      </c>
      <c r="P113" s="10" t="n">
        <v>0</v>
      </c>
      <c r="Q113" s="12" t="s">
        <v>45</v>
      </c>
      <c r="R113" s="20" t="s">
        <v>57</v>
      </c>
      <c r="S113" s="10"/>
      <c r="T113" s="11" t="n">
        <v>71.7103</v>
      </c>
      <c r="U113" s="10"/>
      <c r="V113" s="10"/>
      <c r="W113" s="10"/>
      <c r="X113" s="10"/>
      <c r="Y113" s="10"/>
      <c r="Z113" s="10"/>
      <c r="AA113" s="12" t="s">
        <v>47</v>
      </c>
      <c r="AB113" s="11"/>
      <c r="AC113" s="11"/>
      <c r="AD113" s="11" t="n">
        <v>24.396361</v>
      </c>
      <c r="AE113" s="11" t="n">
        <v>76.497263</v>
      </c>
    </row>
    <row r="114" s="13" customFormat="true" ht="15" hidden="false" customHeight="false" outlineLevel="0" collapsed="false">
      <c r="A114" s="10" t="s">
        <v>39</v>
      </c>
      <c r="B114" s="10" t="s">
        <v>40</v>
      </c>
      <c r="C114" s="11" t="s">
        <v>185</v>
      </c>
      <c r="D114" s="10" t="s">
        <v>187</v>
      </c>
      <c r="E114" s="10" t="n">
        <v>104432</v>
      </c>
      <c r="F114" s="10" t="n">
        <v>306.16</v>
      </c>
      <c r="G114" s="10" t="n">
        <v>222</v>
      </c>
      <c r="H114" s="10" t="n">
        <v>1185</v>
      </c>
      <c r="I114" s="10" t="n">
        <v>603</v>
      </c>
      <c r="J114" s="10" t="n">
        <v>582</v>
      </c>
      <c r="K114" s="10" t="n">
        <v>33</v>
      </c>
      <c r="L114" s="10" t="n">
        <f aca="false">K114*100/H114</f>
        <v>2.78481012658228</v>
      </c>
      <c r="M114" s="10" t="n">
        <v>1024</v>
      </c>
      <c r="N114" s="10" t="n">
        <f aca="false">M114*100/H114</f>
        <v>86.4135021097046</v>
      </c>
      <c r="O114" s="10" t="n">
        <v>69.31</v>
      </c>
      <c r="P114" s="10" t="n">
        <v>15.75</v>
      </c>
      <c r="Q114" s="12" t="s">
        <v>45</v>
      </c>
      <c r="R114" s="20" t="s">
        <v>57</v>
      </c>
      <c r="S114" s="10"/>
      <c r="T114" s="10" t="n">
        <v>72.2202</v>
      </c>
      <c r="U114" s="10"/>
      <c r="V114" s="10"/>
      <c r="W114" s="10"/>
      <c r="X114" s="10"/>
      <c r="Y114" s="10"/>
      <c r="Z114" s="10"/>
      <c r="AA114" s="12" t="s">
        <v>47</v>
      </c>
      <c r="AB114" s="10"/>
      <c r="AC114" s="10"/>
      <c r="AD114" s="10" t="n">
        <v>24.376292</v>
      </c>
      <c r="AE114" s="10" t="n">
        <v>76.51824</v>
      </c>
    </row>
    <row r="115" s="13" customFormat="true" ht="15" hidden="false" customHeight="false" outlineLevel="0" collapsed="false">
      <c r="A115" s="10" t="s">
        <v>39</v>
      </c>
      <c r="B115" s="10" t="s">
        <v>40</v>
      </c>
      <c r="C115" s="11" t="s">
        <v>188</v>
      </c>
      <c r="D115" s="10" t="s">
        <v>189</v>
      </c>
      <c r="E115" s="10" t="n">
        <v>104459</v>
      </c>
      <c r="F115" s="10" t="n">
        <v>203.24</v>
      </c>
      <c r="G115" s="10" t="n">
        <v>97</v>
      </c>
      <c r="H115" s="10" t="n">
        <v>441</v>
      </c>
      <c r="I115" s="10" t="n">
        <v>220</v>
      </c>
      <c r="J115" s="10" t="n">
        <v>221</v>
      </c>
      <c r="K115" s="10" t="n">
        <v>7</v>
      </c>
      <c r="L115" s="10" t="n">
        <f aca="false">K115*100/H115</f>
        <v>1.58730158730159</v>
      </c>
      <c r="M115" s="10" t="n">
        <v>422</v>
      </c>
      <c r="N115" s="10" t="n">
        <f aca="false">M115*100/H115</f>
        <v>95.6916099773243</v>
      </c>
      <c r="O115" s="10" t="n">
        <v>21.92</v>
      </c>
      <c r="P115" s="10" t="n">
        <v>19.98</v>
      </c>
      <c r="Q115" s="12" t="s">
        <v>45</v>
      </c>
      <c r="R115" s="11" t="s">
        <v>190</v>
      </c>
      <c r="S115" s="10"/>
      <c r="T115" s="11" t="n">
        <v>17.879</v>
      </c>
      <c r="U115" s="10"/>
      <c r="V115" s="10"/>
      <c r="W115" s="10"/>
      <c r="X115" s="10"/>
      <c r="Y115" s="10"/>
      <c r="Z115" s="10"/>
      <c r="AA115" s="12" t="s">
        <v>47</v>
      </c>
      <c r="AB115" s="11"/>
      <c r="AC115" s="11"/>
      <c r="AD115" s="11" t="n">
        <v>24.390815</v>
      </c>
      <c r="AE115" s="11" t="n">
        <v>76.563562</v>
      </c>
    </row>
    <row r="116" s="13" customFormat="true" ht="15" hidden="false" customHeight="false" outlineLevel="0" collapsed="false">
      <c r="A116" s="10" t="s">
        <v>39</v>
      </c>
      <c r="B116" s="10" t="s">
        <v>40</v>
      </c>
      <c r="C116" s="11" t="s">
        <v>188</v>
      </c>
      <c r="D116" s="10" t="s">
        <v>191</v>
      </c>
      <c r="E116" s="10" t="n">
        <v>104461</v>
      </c>
      <c r="F116" s="10" t="n">
        <v>601.55</v>
      </c>
      <c r="G116" s="10" t="n">
        <v>135</v>
      </c>
      <c r="H116" s="10" t="n">
        <v>673</v>
      </c>
      <c r="I116" s="10" t="n">
        <v>351</v>
      </c>
      <c r="J116" s="10" t="n">
        <v>322</v>
      </c>
      <c r="K116" s="10" t="n">
        <v>97</v>
      </c>
      <c r="L116" s="10" t="n">
        <f aca="false">K116*100/H116</f>
        <v>14.4130757800892</v>
      </c>
      <c r="M116" s="10" t="n">
        <v>524</v>
      </c>
      <c r="N116" s="10" t="n">
        <f aca="false">M116*100/H116</f>
        <v>77.8603268945022</v>
      </c>
      <c r="O116" s="10" t="n">
        <v>19.9</v>
      </c>
      <c r="P116" s="10" t="n">
        <v>41.94</v>
      </c>
      <c r="Q116" s="12" t="s">
        <v>45</v>
      </c>
      <c r="R116" s="11" t="s">
        <v>190</v>
      </c>
      <c r="S116" s="10"/>
      <c r="T116" s="11" t="n">
        <v>48.7644</v>
      </c>
      <c r="U116" s="10"/>
      <c r="V116" s="10"/>
      <c r="W116" s="10"/>
      <c r="X116" s="10"/>
      <c r="Y116" s="10"/>
      <c r="Z116" s="10"/>
      <c r="AA116" s="12" t="s">
        <v>47</v>
      </c>
      <c r="AB116" s="11"/>
      <c r="AC116" s="11"/>
      <c r="AD116" s="11" t="n">
        <v>24.373023</v>
      </c>
      <c r="AE116" s="11" t="n">
        <v>76.542001</v>
      </c>
    </row>
    <row r="117" s="13" customFormat="true" ht="15" hidden="false" customHeight="false" outlineLevel="0" collapsed="false">
      <c r="A117" s="10" t="s">
        <v>39</v>
      </c>
      <c r="B117" s="10" t="s">
        <v>40</v>
      </c>
      <c r="C117" s="11" t="s">
        <v>188</v>
      </c>
      <c r="D117" s="10" t="s">
        <v>192</v>
      </c>
      <c r="E117" s="10" t="n">
        <v>104506</v>
      </c>
      <c r="F117" s="10" t="n">
        <v>320.17</v>
      </c>
      <c r="G117" s="10" t="n">
        <v>305</v>
      </c>
      <c r="H117" s="10" t="n">
        <v>1532</v>
      </c>
      <c r="I117" s="10" t="n">
        <v>782</v>
      </c>
      <c r="J117" s="10" t="n">
        <v>750</v>
      </c>
      <c r="K117" s="10" t="n">
        <v>241</v>
      </c>
      <c r="L117" s="10" t="n">
        <f aca="false">K117*100/H117</f>
        <v>15.7310704960836</v>
      </c>
      <c r="M117" s="10" t="n">
        <v>1125</v>
      </c>
      <c r="N117" s="10" t="n">
        <f aca="false">M117*100/H117</f>
        <v>73.4334203655352</v>
      </c>
      <c r="O117" s="10" t="n">
        <v>30.79</v>
      </c>
      <c r="P117" s="10" t="n">
        <v>52.15</v>
      </c>
      <c r="Q117" s="12" t="s">
        <v>45</v>
      </c>
      <c r="R117" s="11" t="s">
        <v>190</v>
      </c>
      <c r="S117" s="10"/>
      <c r="T117" s="11" t="n">
        <v>28.9916</v>
      </c>
      <c r="U117" s="10"/>
      <c r="V117" s="10"/>
      <c r="W117" s="10"/>
      <c r="X117" s="10"/>
      <c r="Y117" s="10"/>
      <c r="Z117" s="10"/>
      <c r="AA117" s="12" t="s">
        <v>47</v>
      </c>
      <c r="AB117" s="11"/>
      <c r="AC117" s="11"/>
      <c r="AD117" s="11" t="n">
        <v>24.347796</v>
      </c>
      <c r="AE117" s="11" t="n">
        <v>76.537164</v>
      </c>
    </row>
    <row r="118" s="13" customFormat="true" ht="15" hidden="false" customHeight="false" outlineLevel="0" collapsed="false">
      <c r="A118" s="10" t="s">
        <v>39</v>
      </c>
      <c r="B118" s="10" t="s">
        <v>40</v>
      </c>
      <c r="C118" s="11" t="s">
        <v>188</v>
      </c>
      <c r="D118" s="10" t="s">
        <v>193</v>
      </c>
      <c r="E118" s="10" t="n">
        <v>104510</v>
      </c>
      <c r="F118" s="10" t="n">
        <v>457.93</v>
      </c>
      <c r="G118" s="10" t="n">
        <v>80</v>
      </c>
      <c r="H118" s="10" t="n">
        <v>321</v>
      </c>
      <c r="I118" s="10" t="n">
        <v>168</v>
      </c>
      <c r="J118" s="10" t="n">
        <v>153</v>
      </c>
      <c r="K118" s="10" t="n">
        <v>0</v>
      </c>
      <c r="L118" s="10" t="n">
        <f aca="false">K118*100/H118</f>
        <v>0</v>
      </c>
      <c r="M118" s="10" t="n">
        <v>174</v>
      </c>
      <c r="N118" s="10" t="n">
        <f aca="false">M118*100/H118</f>
        <v>54.2056074766355</v>
      </c>
      <c r="O118" s="10" t="n">
        <v>13.88</v>
      </c>
      <c r="P118" s="10" t="n">
        <v>170.11</v>
      </c>
      <c r="Q118" s="12" t="s">
        <v>45</v>
      </c>
      <c r="R118" s="11" t="s">
        <v>190</v>
      </c>
      <c r="S118" s="10"/>
      <c r="T118" s="11" t="n">
        <v>20.6056</v>
      </c>
      <c r="U118" s="10"/>
      <c r="V118" s="10"/>
      <c r="W118" s="10"/>
      <c r="X118" s="10"/>
      <c r="Y118" s="10"/>
      <c r="Z118" s="10"/>
      <c r="AA118" s="12" t="s">
        <v>47</v>
      </c>
      <c r="AB118" s="11"/>
      <c r="AC118" s="11"/>
      <c r="AD118" s="11" t="n">
        <v>24.330723</v>
      </c>
      <c r="AE118" s="11" t="n">
        <v>76.555936</v>
      </c>
    </row>
    <row r="119" s="13" customFormat="true" ht="15" hidden="false" customHeight="false" outlineLevel="0" collapsed="false">
      <c r="A119" s="10" t="s">
        <v>39</v>
      </c>
      <c r="B119" s="10" t="s">
        <v>40</v>
      </c>
      <c r="C119" s="11" t="s">
        <v>194</v>
      </c>
      <c r="D119" s="10" t="s">
        <v>195</v>
      </c>
      <c r="E119" s="10" t="n">
        <v>104634</v>
      </c>
      <c r="F119" s="10" t="n">
        <v>170.36</v>
      </c>
      <c r="G119" s="10" t="n">
        <v>90</v>
      </c>
      <c r="H119" s="10" t="n">
        <v>499</v>
      </c>
      <c r="I119" s="10" t="n">
        <v>265</v>
      </c>
      <c r="J119" s="10" t="n">
        <v>234</v>
      </c>
      <c r="K119" s="10" t="n">
        <v>0</v>
      </c>
      <c r="L119" s="10" t="n">
        <f aca="false">K119*100/H119</f>
        <v>0</v>
      </c>
      <c r="M119" s="10" t="n">
        <v>0</v>
      </c>
      <c r="N119" s="10" t="n">
        <f aca="false">M119*100/H119</f>
        <v>0</v>
      </c>
      <c r="O119" s="10" t="n">
        <v>36.67</v>
      </c>
      <c r="P119" s="10" t="n">
        <v>0</v>
      </c>
      <c r="Q119" s="15" t="s">
        <v>45</v>
      </c>
      <c r="R119" s="12" t="s">
        <v>196</v>
      </c>
      <c r="S119" s="10"/>
      <c r="T119" s="10" t="n">
        <v>36.6644</v>
      </c>
      <c r="U119" s="10"/>
      <c r="V119" s="10"/>
      <c r="W119" s="10"/>
      <c r="X119" s="10"/>
      <c r="Y119" s="10"/>
      <c r="Z119" s="10"/>
      <c r="AA119" s="12" t="s">
        <v>82</v>
      </c>
      <c r="AB119" s="10" t="n">
        <v>3</v>
      </c>
      <c r="AC119" s="10"/>
      <c r="AD119" s="10" t="n">
        <v>24.237783</v>
      </c>
      <c r="AE119" s="10" t="n">
        <v>76.53688</v>
      </c>
    </row>
    <row r="120" s="13" customFormat="true" ht="15" hidden="false" customHeight="false" outlineLevel="0" collapsed="false">
      <c r="A120" s="10" t="s">
        <v>39</v>
      </c>
      <c r="B120" s="10" t="s">
        <v>40</v>
      </c>
      <c r="C120" s="11" t="s">
        <v>194</v>
      </c>
      <c r="D120" s="10" t="s">
        <v>197</v>
      </c>
      <c r="E120" s="10" t="n">
        <v>104626</v>
      </c>
      <c r="F120" s="10" t="n">
        <v>142.49</v>
      </c>
      <c r="G120" s="10" t="n">
        <v>106</v>
      </c>
      <c r="H120" s="10" t="n">
        <v>490</v>
      </c>
      <c r="I120" s="10" t="n">
        <v>235</v>
      </c>
      <c r="J120" s="10" t="n">
        <v>255</v>
      </c>
      <c r="K120" s="10" t="n">
        <v>0</v>
      </c>
      <c r="L120" s="10" t="n">
        <f aca="false">K120*100/H120</f>
        <v>0</v>
      </c>
      <c r="M120" s="10" t="n">
        <v>0</v>
      </c>
      <c r="N120" s="10" t="n">
        <f aca="false">M120*100/H120</f>
        <v>0</v>
      </c>
      <c r="O120" s="10" t="n">
        <v>27.01</v>
      </c>
      <c r="P120" s="10" t="n">
        <v>0</v>
      </c>
      <c r="Q120" s="15" t="s">
        <v>45</v>
      </c>
      <c r="R120" s="12" t="s">
        <v>196</v>
      </c>
      <c r="S120" s="10"/>
      <c r="T120" s="12" t="n">
        <v>27.8016</v>
      </c>
      <c r="U120" s="10"/>
      <c r="V120" s="10"/>
      <c r="W120" s="10"/>
      <c r="X120" s="10"/>
      <c r="Y120" s="10"/>
      <c r="Z120" s="10"/>
      <c r="AA120" s="12" t="s">
        <v>82</v>
      </c>
      <c r="AB120" s="12" t="n">
        <v>2</v>
      </c>
      <c r="AC120" s="12"/>
      <c r="AD120" s="17" t="n">
        <v>24.221602</v>
      </c>
      <c r="AE120" s="17" t="n">
        <v>76.5634324</v>
      </c>
    </row>
    <row r="121" s="13" customFormat="true" ht="15" hidden="false" customHeight="false" outlineLevel="0" collapsed="false">
      <c r="A121" s="10" t="s">
        <v>39</v>
      </c>
      <c r="B121" s="10" t="s">
        <v>40</v>
      </c>
      <c r="C121" s="11" t="s">
        <v>194</v>
      </c>
      <c r="D121" s="10" t="s">
        <v>198</v>
      </c>
      <c r="E121" s="10" t="n">
        <v>104633</v>
      </c>
      <c r="F121" s="10" t="n">
        <v>181.24</v>
      </c>
      <c r="G121" s="10" t="n">
        <v>41</v>
      </c>
      <c r="H121" s="10" t="n">
        <v>137</v>
      </c>
      <c r="I121" s="10" t="n">
        <v>65</v>
      </c>
      <c r="J121" s="10" t="n">
        <v>72</v>
      </c>
      <c r="K121" s="10" t="n">
        <v>0</v>
      </c>
      <c r="L121" s="10" t="n">
        <f aca="false">K121*100/H121</f>
        <v>0</v>
      </c>
      <c r="M121" s="10" t="n">
        <v>0</v>
      </c>
      <c r="N121" s="10" t="n">
        <f aca="false">M121*100/H121</f>
        <v>0</v>
      </c>
      <c r="O121" s="10" t="n">
        <v>21.83</v>
      </c>
      <c r="P121" s="10" t="n">
        <v>0</v>
      </c>
      <c r="Q121" s="15" t="s">
        <v>45</v>
      </c>
      <c r="R121" s="12" t="s">
        <v>196</v>
      </c>
      <c r="S121" s="10"/>
      <c r="T121" s="12" t="n">
        <v>22.638</v>
      </c>
      <c r="U121" s="10"/>
      <c r="V121" s="10"/>
      <c r="W121" s="10"/>
      <c r="X121" s="10"/>
      <c r="Y121" s="10"/>
      <c r="Z121" s="10"/>
      <c r="AA121" s="12" t="s">
        <v>82</v>
      </c>
      <c r="AB121" s="12" t="n">
        <v>3</v>
      </c>
      <c r="AC121" s="12"/>
      <c r="AD121" s="12" t="n">
        <v>24.220695</v>
      </c>
      <c r="AE121" s="12" t="n">
        <v>76.557925</v>
      </c>
    </row>
    <row r="122" s="13" customFormat="true" ht="15" hidden="false" customHeight="false" outlineLevel="0" collapsed="false">
      <c r="A122" s="10" t="s">
        <v>39</v>
      </c>
      <c r="B122" s="10" t="s">
        <v>40</v>
      </c>
      <c r="C122" s="11" t="s">
        <v>194</v>
      </c>
      <c r="D122" s="10" t="s">
        <v>199</v>
      </c>
      <c r="E122" s="10" t="n">
        <v>104593</v>
      </c>
      <c r="F122" s="10" t="n">
        <v>187.12</v>
      </c>
      <c r="G122" s="10" t="n">
        <v>145</v>
      </c>
      <c r="H122" s="10" t="n">
        <v>764</v>
      </c>
      <c r="I122" s="10" t="n">
        <v>379</v>
      </c>
      <c r="J122" s="10" t="n">
        <v>385</v>
      </c>
      <c r="K122" s="10" t="n">
        <v>0</v>
      </c>
      <c r="L122" s="10" t="n">
        <f aca="false">K122*100/H122</f>
        <v>0</v>
      </c>
      <c r="M122" s="10" t="n">
        <v>0</v>
      </c>
      <c r="N122" s="10" t="n">
        <f aca="false">M122*100/H122</f>
        <v>0</v>
      </c>
      <c r="O122" s="10" t="n">
        <v>31.66</v>
      </c>
      <c r="P122" s="10" t="n">
        <v>14.65</v>
      </c>
      <c r="Q122" s="15" t="s">
        <v>45</v>
      </c>
      <c r="R122" s="12" t="s">
        <v>196</v>
      </c>
      <c r="S122" s="10"/>
      <c r="T122" s="10" t="n">
        <v>32.7391</v>
      </c>
      <c r="U122" s="10"/>
      <c r="V122" s="10"/>
      <c r="W122" s="10"/>
      <c r="X122" s="10"/>
      <c r="Y122" s="10"/>
      <c r="Z122" s="10"/>
      <c r="AA122" s="12" t="s">
        <v>82</v>
      </c>
      <c r="AB122" s="10" t="n">
        <v>3</v>
      </c>
      <c r="AC122" s="10"/>
      <c r="AD122" s="10" t="n">
        <v>24.240777</v>
      </c>
      <c r="AE122" s="10" t="n">
        <v>76.534653</v>
      </c>
    </row>
    <row r="123" s="13" customFormat="true" ht="15" hidden="false" customHeight="false" outlineLevel="0" collapsed="false">
      <c r="A123" s="10" t="s">
        <v>39</v>
      </c>
      <c r="B123" s="10" t="s">
        <v>40</v>
      </c>
      <c r="C123" s="11" t="s">
        <v>194</v>
      </c>
      <c r="D123" s="10" t="s">
        <v>200</v>
      </c>
      <c r="E123" s="10" t="n">
        <v>104632</v>
      </c>
      <c r="F123" s="10" t="n">
        <v>89.01</v>
      </c>
      <c r="G123" s="10" t="n">
        <v>107</v>
      </c>
      <c r="H123" s="10" t="n">
        <v>437</v>
      </c>
      <c r="I123" s="10" t="n">
        <v>225</v>
      </c>
      <c r="J123" s="10" t="n">
        <v>212</v>
      </c>
      <c r="K123" s="10" t="n">
        <v>0</v>
      </c>
      <c r="L123" s="10" t="n">
        <f aca="false">K123*100/H123</f>
        <v>0</v>
      </c>
      <c r="M123" s="10" t="n">
        <v>0</v>
      </c>
      <c r="N123" s="10" t="n">
        <f aca="false">M123*100/H123</f>
        <v>0</v>
      </c>
      <c r="O123" s="10" t="n">
        <v>18.04</v>
      </c>
      <c r="P123" s="10" t="n">
        <v>0</v>
      </c>
      <c r="Q123" s="15" t="s">
        <v>45</v>
      </c>
      <c r="R123" s="12" t="s">
        <v>196</v>
      </c>
      <c r="S123" s="10"/>
      <c r="T123" s="12" t="n">
        <v>18.2272</v>
      </c>
      <c r="U123" s="10"/>
      <c r="V123" s="10"/>
      <c r="W123" s="10"/>
      <c r="X123" s="10"/>
      <c r="Y123" s="10"/>
      <c r="Z123" s="10"/>
      <c r="AA123" s="12" t="s">
        <v>82</v>
      </c>
      <c r="AB123" s="12" t="n">
        <v>3</v>
      </c>
      <c r="AC123" s="12"/>
      <c r="AD123" s="12" t="n">
        <v>24.221286</v>
      </c>
      <c r="AE123" s="12" t="n">
        <v>76.55841</v>
      </c>
    </row>
    <row r="124" s="13" customFormat="true" ht="15" hidden="false" customHeight="false" outlineLevel="0" collapsed="false">
      <c r="A124" s="10" t="s">
        <v>39</v>
      </c>
      <c r="B124" s="10" t="s">
        <v>40</v>
      </c>
      <c r="C124" s="11" t="s">
        <v>194</v>
      </c>
      <c r="D124" s="10" t="s">
        <v>201</v>
      </c>
      <c r="E124" s="10" t="n">
        <v>104631</v>
      </c>
      <c r="F124" s="10" t="n">
        <v>396.14</v>
      </c>
      <c r="G124" s="10" t="n">
        <v>580</v>
      </c>
      <c r="H124" s="10" t="n">
        <v>2732</v>
      </c>
      <c r="I124" s="10" t="n">
        <v>1389</v>
      </c>
      <c r="J124" s="10" t="n">
        <v>1343</v>
      </c>
      <c r="K124" s="10" t="n">
        <v>450</v>
      </c>
      <c r="L124" s="10" t="n">
        <f aca="false">K124*100/H124</f>
        <v>16.4714494875549</v>
      </c>
      <c r="M124" s="10" t="n">
        <v>20</v>
      </c>
      <c r="N124" s="10" t="n">
        <f aca="false">M124*100/H124</f>
        <v>0.732064421669107</v>
      </c>
      <c r="O124" s="10" t="n">
        <v>93.93</v>
      </c>
      <c r="P124" s="10" t="n">
        <v>0</v>
      </c>
      <c r="Q124" s="15" t="s">
        <v>45</v>
      </c>
      <c r="R124" s="12" t="s">
        <v>196</v>
      </c>
      <c r="S124" s="10"/>
      <c r="T124" s="12" t="n">
        <v>92.0903</v>
      </c>
      <c r="U124" s="10"/>
      <c r="V124" s="10"/>
      <c r="W124" s="10"/>
      <c r="X124" s="10"/>
      <c r="Y124" s="10"/>
      <c r="Z124" s="10"/>
      <c r="AA124" s="12" t="s">
        <v>82</v>
      </c>
      <c r="AB124" s="12" t="n">
        <v>3</v>
      </c>
      <c r="AC124" s="12"/>
      <c r="AD124" s="12" t="n">
        <v>24.234903</v>
      </c>
      <c r="AE124" s="12" t="n">
        <v>76.528546</v>
      </c>
    </row>
    <row r="125" s="13" customFormat="true" ht="15" hidden="false" customHeight="false" outlineLevel="0" collapsed="false">
      <c r="A125" s="10" t="s">
        <v>39</v>
      </c>
      <c r="B125" s="10" t="s">
        <v>40</v>
      </c>
      <c r="C125" s="11" t="s">
        <v>194</v>
      </c>
      <c r="D125" s="10" t="s">
        <v>202</v>
      </c>
      <c r="E125" s="10" t="n">
        <v>104595</v>
      </c>
      <c r="F125" s="10" t="n">
        <v>76.42</v>
      </c>
      <c r="G125" s="10" t="n">
        <v>40</v>
      </c>
      <c r="H125" s="10" t="n">
        <v>188</v>
      </c>
      <c r="I125" s="10" t="n">
        <v>100</v>
      </c>
      <c r="J125" s="10" t="n">
        <v>88</v>
      </c>
      <c r="K125" s="10" t="n">
        <v>0</v>
      </c>
      <c r="L125" s="10" t="n">
        <f aca="false">K125*100/H125</f>
        <v>0</v>
      </c>
      <c r="M125" s="10" t="n">
        <v>0</v>
      </c>
      <c r="N125" s="10" t="n">
        <f aca="false">M125*100/H125</f>
        <v>0</v>
      </c>
      <c r="O125" s="10" t="n">
        <v>13.37</v>
      </c>
      <c r="P125" s="10" t="n">
        <v>8.98</v>
      </c>
      <c r="Q125" s="15" t="s">
        <v>45</v>
      </c>
      <c r="R125" s="12" t="s">
        <v>196</v>
      </c>
      <c r="S125" s="10"/>
      <c r="T125" s="12" t="n">
        <v>13.3546</v>
      </c>
      <c r="U125" s="10"/>
      <c r="V125" s="10"/>
      <c r="W125" s="10"/>
      <c r="X125" s="10"/>
      <c r="Y125" s="10"/>
      <c r="Z125" s="10"/>
      <c r="AA125" s="12" t="s">
        <v>82</v>
      </c>
      <c r="AB125" s="23" t="n">
        <v>3</v>
      </c>
      <c r="AC125" s="12"/>
      <c r="AD125" s="12" t="n">
        <v>24.236183</v>
      </c>
      <c r="AE125" s="12" t="n">
        <v>76.530524</v>
      </c>
    </row>
    <row r="126" s="13" customFormat="true" ht="15" hidden="false" customHeight="false" outlineLevel="0" collapsed="false">
      <c r="A126" s="10" t="s">
        <v>39</v>
      </c>
      <c r="B126" s="10" t="s">
        <v>40</v>
      </c>
      <c r="C126" s="11" t="s">
        <v>203</v>
      </c>
      <c r="D126" s="10" t="s">
        <v>204</v>
      </c>
      <c r="E126" s="10" t="n">
        <v>104410</v>
      </c>
      <c r="F126" s="10" t="n">
        <v>943.95</v>
      </c>
      <c r="G126" s="10" t="n">
        <v>98</v>
      </c>
      <c r="H126" s="10" t="n">
        <v>484</v>
      </c>
      <c r="I126" s="10" t="n">
        <v>250</v>
      </c>
      <c r="J126" s="10" t="n">
        <v>234</v>
      </c>
      <c r="K126" s="10" t="n">
        <v>102</v>
      </c>
      <c r="L126" s="10" t="n">
        <f aca="false">K126*100/H126</f>
        <v>21.0743801652893</v>
      </c>
      <c r="M126" s="10" t="n">
        <v>34</v>
      </c>
      <c r="N126" s="10" t="n">
        <f aca="false">M126*100/H126</f>
        <v>7.02479338842975</v>
      </c>
      <c r="O126" s="10" t="n">
        <v>0</v>
      </c>
      <c r="P126" s="10" t="n">
        <v>724.05</v>
      </c>
      <c r="Q126" s="12" t="s">
        <v>45</v>
      </c>
      <c r="R126" s="12" t="s">
        <v>205</v>
      </c>
      <c r="S126" s="10"/>
      <c r="T126" s="12"/>
      <c r="U126" s="10"/>
      <c r="V126" s="10"/>
      <c r="W126" s="10"/>
      <c r="X126" s="10"/>
      <c r="Y126" s="10"/>
      <c r="Z126" s="10"/>
      <c r="AA126" s="12"/>
      <c r="AB126" s="12"/>
      <c r="AC126" s="12"/>
      <c r="AD126" s="12" t="n">
        <v>24.463301</v>
      </c>
      <c r="AE126" s="12" t="n">
        <v>76.442207</v>
      </c>
    </row>
    <row r="127" s="13" customFormat="true" ht="15" hidden="false" customHeight="false" outlineLevel="0" collapsed="false">
      <c r="A127" s="10" t="s">
        <v>39</v>
      </c>
      <c r="B127" s="10" t="s">
        <v>40</v>
      </c>
      <c r="C127" s="11" t="s">
        <v>203</v>
      </c>
      <c r="D127" s="10" t="s">
        <v>206</v>
      </c>
      <c r="E127" s="10" t="n">
        <v>104377</v>
      </c>
      <c r="F127" s="10" t="n">
        <v>501.23</v>
      </c>
      <c r="G127" s="10" t="n">
        <v>86</v>
      </c>
      <c r="H127" s="10" t="n">
        <v>408</v>
      </c>
      <c r="I127" s="10" t="n">
        <v>227</v>
      </c>
      <c r="J127" s="10" t="n">
        <v>181</v>
      </c>
      <c r="K127" s="10" t="n">
        <v>13</v>
      </c>
      <c r="L127" s="10" t="n">
        <f aca="false">K127*100/H127</f>
        <v>3.18627450980392</v>
      </c>
      <c r="M127" s="10" t="n">
        <v>0</v>
      </c>
      <c r="N127" s="10" t="n">
        <f aca="false">M127*100/H127</f>
        <v>0</v>
      </c>
      <c r="O127" s="10" t="n">
        <v>26.14</v>
      </c>
      <c r="P127" s="10" t="n">
        <v>367.97</v>
      </c>
      <c r="Q127" s="12" t="s">
        <v>45</v>
      </c>
      <c r="R127" s="12" t="s">
        <v>205</v>
      </c>
      <c r="S127" s="10"/>
      <c r="T127" s="24" t="n">
        <v>32.0106</v>
      </c>
      <c r="U127" s="10"/>
      <c r="V127" s="10"/>
      <c r="W127" s="10"/>
      <c r="X127" s="10"/>
      <c r="Y127" s="10"/>
      <c r="Z127" s="10"/>
      <c r="AA127" s="10" t="s">
        <v>47</v>
      </c>
      <c r="AB127" s="24" t="n">
        <v>0</v>
      </c>
      <c r="AC127" s="10"/>
      <c r="AD127" s="24" t="n">
        <v>24.489348</v>
      </c>
      <c r="AE127" s="24" t="n">
        <v>76.451419</v>
      </c>
    </row>
    <row r="128" s="13" customFormat="true" ht="15" hidden="false" customHeight="false" outlineLevel="0" collapsed="false">
      <c r="A128" s="10" t="s">
        <v>39</v>
      </c>
      <c r="B128" s="10" t="s">
        <v>40</v>
      </c>
      <c r="C128" s="11" t="s">
        <v>203</v>
      </c>
      <c r="D128" s="10" t="s">
        <v>207</v>
      </c>
      <c r="E128" s="10" t="n">
        <v>104382</v>
      </c>
      <c r="F128" s="10" t="n">
        <v>66.43</v>
      </c>
      <c r="G128" s="10" t="n">
        <v>70</v>
      </c>
      <c r="H128" s="10" t="n">
        <v>319</v>
      </c>
      <c r="I128" s="10" t="n">
        <v>168</v>
      </c>
      <c r="J128" s="10" t="n">
        <v>151</v>
      </c>
      <c r="K128" s="10" t="n">
        <v>7</v>
      </c>
      <c r="L128" s="10" t="n">
        <f aca="false">K128*100/H128</f>
        <v>2.19435736677116</v>
      </c>
      <c r="M128" s="10" t="n">
        <v>312</v>
      </c>
      <c r="N128" s="10" t="n">
        <f aca="false">M128*100/H128</f>
        <v>97.8056426332288</v>
      </c>
      <c r="O128" s="10" t="n">
        <v>6.91</v>
      </c>
      <c r="P128" s="10" t="n">
        <v>9.5</v>
      </c>
      <c r="Q128" s="12" t="s">
        <v>45</v>
      </c>
      <c r="R128" s="12" t="s">
        <v>205</v>
      </c>
      <c r="S128" s="10"/>
      <c r="T128" s="10" t="n">
        <v>9.413</v>
      </c>
      <c r="U128" s="10"/>
      <c r="V128" s="10"/>
      <c r="W128" s="10"/>
      <c r="X128" s="10"/>
      <c r="Y128" s="10"/>
      <c r="Z128" s="10"/>
      <c r="AA128" s="12" t="s">
        <v>47</v>
      </c>
      <c r="AB128" s="10" t="n">
        <v>0</v>
      </c>
      <c r="AC128" s="10"/>
      <c r="AD128" s="24" t="n">
        <v>24.466968</v>
      </c>
      <c r="AE128" s="24" t="n">
        <v>76.482919</v>
      </c>
    </row>
    <row r="129" s="13" customFormat="true" ht="15" hidden="false" customHeight="false" outlineLevel="0" collapsed="false">
      <c r="A129" s="10" t="s">
        <v>39</v>
      </c>
      <c r="B129" s="10" t="s">
        <v>40</v>
      </c>
      <c r="C129" s="11" t="s">
        <v>203</v>
      </c>
      <c r="D129" s="10" t="s">
        <v>208</v>
      </c>
      <c r="E129" s="10" t="n">
        <v>104384</v>
      </c>
      <c r="F129" s="10" t="n">
        <v>120.57</v>
      </c>
      <c r="G129" s="10" t="n">
        <v>131</v>
      </c>
      <c r="H129" s="10" t="n">
        <v>624</v>
      </c>
      <c r="I129" s="10" t="n">
        <v>312</v>
      </c>
      <c r="J129" s="10" t="n">
        <v>312</v>
      </c>
      <c r="K129" s="10" t="n">
        <v>228</v>
      </c>
      <c r="L129" s="10" t="n">
        <f aca="false">K129*100/H129</f>
        <v>36.5384615384615</v>
      </c>
      <c r="M129" s="10" t="n">
        <v>275</v>
      </c>
      <c r="N129" s="10" t="n">
        <f aca="false">M129*100/H129</f>
        <v>44.0705128205128</v>
      </c>
      <c r="O129" s="10" t="n">
        <v>22.82</v>
      </c>
      <c r="P129" s="10" t="n">
        <v>16.75</v>
      </c>
      <c r="Q129" s="12" t="s">
        <v>45</v>
      </c>
      <c r="R129" s="12" t="s">
        <v>205</v>
      </c>
      <c r="S129" s="10"/>
      <c r="T129" s="12"/>
      <c r="U129" s="10"/>
      <c r="V129" s="10"/>
      <c r="W129" s="10"/>
      <c r="X129" s="10"/>
      <c r="Y129" s="10"/>
      <c r="Z129" s="10"/>
      <c r="AA129" s="12"/>
      <c r="AB129" s="12"/>
      <c r="AC129" s="12"/>
      <c r="AD129" s="12" t="n">
        <v>24.454473</v>
      </c>
      <c r="AE129" s="12" t="n">
        <v>76.486248</v>
      </c>
    </row>
    <row r="130" s="13" customFormat="true" ht="15" hidden="false" customHeight="false" outlineLevel="0" collapsed="false">
      <c r="A130" s="10" t="s">
        <v>39</v>
      </c>
      <c r="B130" s="10" t="s">
        <v>40</v>
      </c>
      <c r="C130" s="11" t="s">
        <v>203</v>
      </c>
      <c r="D130" s="10" t="s">
        <v>209</v>
      </c>
      <c r="E130" s="10" t="n">
        <v>104380</v>
      </c>
      <c r="F130" s="10" t="n">
        <v>161.79</v>
      </c>
      <c r="G130" s="10" t="n">
        <v>49</v>
      </c>
      <c r="H130" s="10" t="n">
        <v>261</v>
      </c>
      <c r="I130" s="10" t="n">
        <v>156</v>
      </c>
      <c r="J130" s="10" t="n">
        <v>105</v>
      </c>
      <c r="K130" s="10" t="n">
        <v>0</v>
      </c>
      <c r="L130" s="10" t="n">
        <f aca="false">K130*100/H130</f>
        <v>0</v>
      </c>
      <c r="M130" s="10" t="n">
        <v>0</v>
      </c>
      <c r="N130" s="10" t="n">
        <f aca="false">M130*100/H130</f>
        <v>0</v>
      </c>
      <c r="O130" s="10" t="n">
        <v>0.72</v>
      </c>
      <c r="P130" s="10" t="n">
        <v>107.5</v>
      </c>
      <c r="Q130" s="12" t="s">
        <v>45</v>
      </c>
      <c r="R130" s="12" t="s">
        <v>205</v>
      </c>
      <c r="S130" s="10"/>
      <c r="T130" s="24" t="n">
        <v>0.8094</v>
      </c>
      <c r="U130" s="10"/>
      <c r="V130" s="10"/>
      <c r="W130" s="10"/>
      <c r="X130" s="10"/>
      <c r="Y130" s="10"/>
      <c r="Z130" s="10"/>
      <c r="AA130" s="12" t="s">
        <v>47</v>
      </c>
      <c r="AB130" s="10" t="n">
        <v>0</v>
      </c>
      <c r="AC130" s="12"/>
      <c r="AD130" s="24" t="n">
        <v>24.478852</v>
      </c>
      <c r="AE130" s="10" t="n">
        <v>76.476449</v>
      </c>
    </row>
    <row r="131" s="13" customFormat="true" ht="15" hidden="false" customHeight="false" outlineLevel="0" collapsed="false">
      <c r="A131" s="10" t="s">
        <v>39</v>
      </c>
      <c r="B131" s="10" t="s">
        <v>40</v>
      </c>
      <c r="C131" s="11" t="s">
        <v>203</v>
      </c>
      <c r="D131" s="10" t="s">
        <v>210</v>
      </c>
      <c r="E131" s="10" t="n">
        <v>104378</v>
      </c>
      <c r="F131" s="10" t="n">
        <v>262.77</v>
      </c>
      <c r="G131" s="10" t="n">
        <v>65</v>
      </c>
      <c r="H131" s="10" t="n">
        <v>289</v>
      </c>
      <c r="I131" s="10" t="n">
        <v>152</v>
      </c>
      <c r="J131" s="10" t="n">
        <v>137</v>
      </c>
      <c r="K131" s="10" t="n">
        <v>0</v>
      </c>
      <c r="L131" s="10" t="n">
        <f aca="false">K131*100/H131</f>
        <v>0</v>
      </c>
      <c r="M131" s="10" t="n">
        <v>115</v>
      </c>
      <c r="N131" s="10" t="n">
        <f aca="false">M131*100/H131</f>
        <v>39.7923875432526</v>
      </c>
      <c r="O131" s="10" t="n">
        <v>0</v>
      </c>
      <c r="P131" s="10" t="n">
        <v>170.11</v>
      </c>
      <c r="Q131" s="12" t="s">
        <v>45</v>
      </c>
      <c r="R131" s="12" t="s">
        <v>205</v>
      </c>
      <c r="S131" s="10"/>
      <c r="T131" s="12"/>
      <c r="U131" s="10"/>
      <c r="V131" s="10"/>
      <c r="W131" s="10"/>
      <c r="X131" s="10"/>
      <c r="Y131" s="10"/>
      <c r="Z131" s="10"/>
      <c r="AA131" s="12"/>
      <c r="AB131" s="12"/>
      <c r="AC131" s="12"/>
      <c r="AD131" s="12" t="n">
        <v>24.487332</v>
      </c>
      <c r="AE131" s="12" t="n">
        <v>76.444467</v>
      </c>
    </row>
    <row r="132" s="13" customFormat="true" ht="15" hidden="false" customHeight="false" outlineLevel="0" collapsed="false">
      <c r="A132" s="10" t="s">
        <v>39</v>
      </c>
      <c r="B132" s="10" t="s">
        <v>40</v>
      </c>
      <c r="C132" s="11" t="s">
        <v>203</v>
      </c>
      <c r="D132" s="10" t="s">
        <v>211</v>
      </c>
      <c r="E132" s="10" t="n">
        <v>104379</v>
      </c>
      <c r="F132" s="10" t="n">
        <v>671.39</v>
      </c>
      <c r="G132" s="10" t="n">
        <v>371</v>
      </c>
      <c r="H132" s="10" t="n">
        <v>1726</v>
      </c>
      <c r="I132" s="10" t="n">
        <v>897</v>
      </c>
      <c r="J132" s="10" t="n">
        <v>829</v>
      </c>
      <c r="K132" s="10" t="n">
        <v>441</v>
      </c>
      <c r="L132" s="10" t="n">
        <f aca="false">K132*100/H132</f>
        <v>25.550405561993</v>
      </c>
      <c r="M132" s="10" t="n">
        <v>913</v>
      </c>
      <c r="N132" s="10" t="n">
        <f aca="false">M132*100/H132</f>
        <v>52.8968713789108</v>
      </c>
      <c r="O132" s="10" t="n">
        <v>41.35</v>
      </c>
      <c r="P132" s="10" t="n">
        <v>176</v>
      </c>
      <c r="Q132" s="12" t="s">
        <v>45</v>
      </c>
      <c r="R132" s="12" t="s">
        <v>205</v>
      </c>
      <c r="S132" s="10"/>
      <c r="T132" s="12" t="n">
        <v>38.4856</v>
      </c>
      <c r="U132" s="10"/>
      <c r="V132" s="10"/>
      <c r="W132" s="10"/>
      <c r="X132" s="10"/>
      <c r="Y132" s="10"/>
      <c r="Z132" s="10"/>
      <c r="AA132" s="12" t="s">
        <v>47</v>
      </c>
      <c r="AB132" s="12" t="n">
        <v>0</v>
      </c>
      <c r="AC132" s="12"/>
      <c r="AD132" s="25" t="n">
        <v>24508006</v>
      </c>
      <c r="AE132" s="12" t="n">
        <v>76.525376</v>
      </c>
    </row>
    <row r="133" s="13" customFormat="true" ht="15" hidden="false" customHeight="false" outlineLevel="0" collapsed="false">
      <c r="A133" s="10" t="s">
        <v>39</v>
      </c>
      <c r="B133" s="10" t="s">
        <v>40</v>
      </c>
      <c r="C133" s="11" t="s">
        <v>212</v>
      </c>
      <c r="D133" s="10" t="s">
        <v>213</v>
      </c>
      <c r="E133" s="10" t="n">
        <v>104386</v>
      </c>
      <c r="F133" s="10" t="n">
        <v>254.41</v>
      </c>
      <c r="G133" s="10" t="n">
        <v>41</v>
      </c>
      <c r="H133" s="10" t="n">
        <v>222</v>
      </c>
      <c r="I133" s="10" t="n">
        <v>116</v>
      </c>
      <c r="J133" s="10" t="n">
        <v>106</v>
      </c>
      <c r="K133" s="10" t="n">
        <v>0</v>
      </c>
      <c r="L133" s="10" t="n">
        <f aca="false">K133*100/H133</f>
        <v>0</v>
      </c>
      <c r="M133" s="10" t="n">
        <v>222</v>
      </c>
      <c r="N133" s="10" t="n">
        <f aca="false">M133*100/H133</f>
        <v>100</v>
      </c>
      <c r="O133" s="10" t="n">
        <v>4.89</v>
      </c>
      <c r="P133" s="10" t="n">
        <v>167.23</v>
      </c>
      <c r="Q133" s="12" t="s">
        <v>45</v>
      </c>
      <c r="R133" s="20" t="s">
        <v>57</v>
      </c>
      <c r="S133" s="10"/>
      <c r="T133" s="11" t="n">
        <v>11.4526</v>
      </c>
      <c r="U133" s="10"/>
      <c r="V133" s="10"/>
      <c r="W133" s="10"/>
      <c r="X133" s="10"/>
      <c r="Y133" s="10"/>
      <c r="Z133" s="10"/>
      <c r="AA133" s="12" t="s">
        <v>47</v>
      </c>
      <c r="AB133" s="11"/>
      <c r="AC133" s="11"/>
      <c r="AD133" s="11" t="n">
        <v>24.462564</v>
      </c>
      <c r="AE133" s="11" t="n">
        <v>76.500722</v>
      </c>
    </row>
    <row r="134" s="13" customFormat="true" ht="15" hidden="false" customHeight="false" outlineLevel="0" collapsed="false">
      <c r="A134" s="10" t="s">
        <v>39</v>
      </c>
      <c r="B134" s="10" t="s">
        <v>40</v>
      </c>
      <c r="C134" s="11" t="s">
        <v>212</v>
      </c>
      <c r="D134" s="10" t="s">
        <v>214</v>
      </c>
      <c r="E134" s="10" t="n">
        <v>104389</v>
      </c>
      <c r="F134" s="10" t="n">
        <v>260.85</v>
      </c>
      <c r="G134" s="10" t="n">
        <v>75</v>
      </c>
      <c r="H134" s="10" t="n">
        <v>354</v>
      </c>
      <c r="I134" s="10" t="n">
        <v>192</v>
      </c>
      <c r="J134" s="10" t="n">
        <v>162</v>
      </c>
      <c r="K134" s="10" t="n">
        <v>309</v>
      </c>
      <c r="L134" s="10" t="n">
        <f aca="false">K134*100/H134</f>
        <v>87.2881355932203</v>
      </c>
      <c r="M134" s="10" t="n">
        <v>0</v>
      </c>
      <c r="N134" s="10" t="n">
        <f aca="false">M134*100/H134</f>
        <v>0</v>
      </c>
      <c r="O134" s="10" t="n">
        <v>17.22</v>
      </c>
      <c r="P134" s="10" t="n">
        <v>63.24</v>
      </c>
      <c r="Q134" s="12" t="s">
        <v>45</v>
      </c>
      <c r="R134" s="20" t="s">
        <v>57</v>
      </c>
      <c r="S134" s="10"/>
      <c r="T134" s="11" t="n">
        <v>13.1361</v>
      </c>
      <c r="U134" s="10"/>
      <c r="V134" s="10"/>
      <c r="W134" s="10"/>
      <c r="X134" s="10"/>
      <c r="Y134" s="10"/>
      <c r="Z134" s="10"/>
      <c r="AA134" s="12" t="s">
        <v>47</v>
      </c>
      <c r="AB134" s="11"/>
      <c r="AC134" s="11"/>
      <c r="AD134" s="11" t="n">
        <v>24.459433</v>
      </c>
      <c r="AE134" s="11" t="n">
        <v>76.534827</v>
      </c>
    </row>
    <row r="135" s="13" customFormat="true" ht="15" hidden="false" customHeight="false" outlineLevel="0" collapsed="false">
      <c r="A135" s="10" t="s">
        <v>39</v>
      </c>
      <c r="B135" s="10" t="s">
        <v>40</v>
      </c>
      <c r="C135" s="11" t="s">
        <v>212</v>
      </c>
      <c r="D135" s="10" t="s">
        <v>215</v>
      </c>
      <c r="E135" s="10" t="n">
        <v>104391</v>
      </c>
      <c r="F135" s="10" t="n">
        <v>331.68</v>
      </c>
      <c r="G135" s="10" t="n">
        <v>93</v>
      </c>
      <c r="H135" s="10" t="n">
        <v>445</v>
      </c>
      <c r="I135" s="10" t="n">
        <v>226</v>
      </c>
      <c r="J135" s="10" t="n">
        <v>219</v>
      </c>
      <c r="K135" s="10" t="n">
        <v>40</v>
      </c>
      <c r="L135" s="10" t="n">
        <f aca="false">K135*100/H135</f>
        <v>8.98876404494382</v>
      </c>
      <c r="M135" s="10" t="n">
        <v>236</v>
      </c>
      <c r="N135" s="10" t="n">
        <f aca="false">M135*100/H135</f>
        <v>53.0337078651685</v>
      </c>
      <c r="O135" s="10" t="n">
        <v>21.04</v>
      </c>
      <c r="P135" s="10" t="n">
        <v>117.36</v>
      </c>
      <c r="Q135" s="12" t="s">
        <v>45</v>
      </c>
      <c r="R135" s="20" t="s">
        <v>57</v>
      </c>
      <c r="S135" s="10"/>
      <c r="T135" s="11" t="n">
        <v>17.6443</v>
      </c>
      <c r="U135" s="10"/>
      <c r="V135" s="10"/>
      <c r="W135" s="10"/>
      <c r="X135" s="10"/>
      <c r="Y135" s="10"/>
      <c r="Z135" s="10"/>
      <c r="AA135" s="12" t="s">
        <v>47</v>
      </c>
      <c r="AB135" s="11"/>
      <c r="AC135" s="11"/>
      <c r="AD135" s="11" t="n">
        <v>24.459855</v>
      </c>
      <c r="AE135" s="11" t="n">
        <v>76.566602</v>
      </c>
    </row>
    <row r="136" s="13" customFormat="true" ht="15" hidden="false" customHeight="false" outlineLevel="0" collapsed="false">
      <c r="A136" s="10" t="s">
        <v>39</v>
      </c>
      <c r="B136" s="10" t="s">
        <v>40</v>
      </c>
      <c r="C136" s="11" t="s">
        <v>212</v>
      </c>
      <c r="D136" s="10" t="s">
        <v>216</v>
      </c>
      <c r="E136" s="10" t="n">
        <v>104404</v>
      </c>
      <c r="F136" s="10" t="n">
        <v>143.52</v>
      </c>
      <c r="G136" s="10" t="n">
        <v>126</v>
      </c>
      <c r="H136" s="10" t="n">
        <v>574</v>
      </c>
      <c r="I136" s="10" t="n">
        <v>293</v>
      </c>
      <c r="J136" s="10" t="n">
        <v>281</v>
      </c>
      <c r="K136" s="10" t="n">
        <v>50</v>
      </c>
      <c r="L136" s="10" t="n">
        <f aca="false">K136*100/H136</f>
        <v>8.71080139372822</v>
      </c>
      <c r="M136" s="10" t="n">
        <v>211</v>
      </c>
      <c r="N136" s="10" t="n">
        <f aca="false">M136*100/H136</f>
        <v>36.7595818815331</v>
      </c>
      <c r="O136" s="10" t="n">
        <v>8.17</v>
      </c>
      <c r="P136" s="10" t="n">
        <v>3.89</v>
      </c>
      <c r="Q136" s="12" t="s">
        <v>45</v>
      </c>
      <c r="R136" s="20" t="s">
        <v>57</v>
      </c>
      <c r="S136" s="10"/>
      <c r="T136" s="11" t="n">
        <v>8.0046</v>
      </c>
      <c r="U136" s="10"/>
      <c r="V136" s="10"/>
      <c r="W136" s="10"/>
      <c r="X136" s="10"/>
      <c r="Y136" s="10"/>
      <c r="Z136" s="10"/>
      <c r="AA136" s="12" t="s">
        <v>47</v>
      </c>
      <c r="AB136" s="11"/>
      <c r="AC136" s="11"/>
      <c r="AD136" s="11" t="n">
        <v>24.452569</v>
      </c>
      <c r="AE136" s="11" t="n">
        <v>76.513557</v>
      </c>
    </row>
    <row r="137" s="13" customFormat="true" ht="15" hidden="false" customHeight="false" outlineLevel="0" collapsed="false">
      <c r="A137" s="10" t="s">
        <v>39</v>
      </c>
      <c r="B137" s="10" t="s">
        <v>40</v>
      </c>
      <c r="C137" s="11" t="s">
        <v>212</v>
      </c>
      <c r="D137" s="10" t="s">
        <v>217</v>
      </c>
      <c r="E137" s="10" t="n">
        <v>104400</v>
      </c>
      <c r="F137" s="10" t="n">
        <v>359.44</v>
      </c>
      <c r="G137" s="10" t="n">
        <v>219</v>
      </c>
      <c r="H137" s="10" t="n">
        <v>1101</v>
      </c>
      <c r="I137" s="10" t="n">
        <v>545</v>
      </c>
      <c r="J137" s="10" t="n">
        <v>556</v>
      </c>
      <c r="K137" s="10" t="n">
        <v>92</v>
      </c>
      <c r="L137" s="10" t="n">
        <f aca="false">K137*100/H137</f>
        <v>8.35603996366939</v>
      </c>
      <c r="M137" s="10" t="n">
        <v>758</v>
      </c>
      <c r="N137" s="10" t="n">
        <f aca="false">M137*100/H137</f>
        <v>68.8465031789282</v>
      </c>
      <c r="O137" s="10" t="n">
        <v>19.06</v>
      </c>
      <c r="P137" s="10" t="n">
        <v>0</v>
      </c>
      <c r="Q137" s="12" t="s">
        <v>45</v>
      </c>
      <c r="R137" s="20" t="s">
        <v>57</v>
      </c>
      <c r="S137" s="10"/>
      <c r="T137" s="11" t="n">
        <v>32.7551</v>
      </c>
      <c r="U137" s="10"/>
      <c r="V137" s="10"/>
      <c r="W137" s="10"/>
      <c r="X137" s="10"/>
      <c r="Y137" s="10"/>
      <c r="Z137" s="10"/>
      <c r="AA137" s="12" t="s">
        <v>47</v>
      </c>
      <c r="AB137" s="11"/>
      <c r="AC137" s="11"/>
      <c r="AD137" s="11" t="n">
        <v>24.410262</v>
      </c>
      <c r="AE137" s="11" t="n">
        <v>76.528278</v>
      </c>
    </row>
    <row r="138" s="13" customFormat="true" ht="15" hidden="false" customHeight="false" outlineLevel="0" collapsed="false">
      <c r="A138" s="10" t="s">
        <v>39</v>
      </c>
      <c r="B138" s="10" t="s">
        <v>40</v>
      </c>
      <c r="C138" s="11" t="s">
        <v>218</v>
      </c>
      <c r="D138" s="10" t="s">
        <v>219</v>
      </c>
      <c r="E138" s="10" t="n">
        <v>104552</v>
      </c>
      <c r="F138" s="10" t="n">
        <v>460.63</v>
      </c>
      <c r="G138" s="10" t="n">
        <v>91</v>
      </c>
      <c r="H138" s="10" t="n">
        <v>415</v>
      </c>
      <c r="I138" s="10" t="n">
        <v>216</v>
      </c>
      <c r="J138" s="10" t="n">
        <v>199</v>
      </c>
      <c r="K138" s="10" t="n">
        <v>30</v>
      </c>
      <c r="L138" s="10" t="n">
        <f aca="false">K138*100/H138</f>
        <v>7.2289156626506</v>
      </c>
      <c r="M138" s="10" t="n">
        <v>0</v>
      </c>
      <c r="N138" s="10" t="n">
        <f aca="false">M138*100/H138</f>
        <v>0</v>
      </c>
      <c r="O138" s="10" t="n">
        <v>52.55</v>
      </c>
      <c r="P138" s="10" t="n">
        <v>68.7</v>
      </c>
      <c r="Q138" s="12" t="s">
        <v>45</v>
      </c>
      <c r="R138" s="14" t="n">
        <v>45932</v>
      </c>
      <c r="S138" s="10"/>
      <c r="T138" s="12" t="n">
        <v>56.7677</v>
      </c>
      <c r="U138" s="10"/>
      <c r="V138" s="10"/>
      <c r="W138" s="10"/>
      <c r="X138" s="10"/>
      <c r="Y138" s="10"/>
      <c r="Z138" s="10"/>
      <c r="AA138" s="12" t="s">
        <v>49</v>
      </c>
      <c r="AB138" s="12" t="n">
        <v>25</v>
      </c>
      <c r="AC138" s="12" t="s">
        <v>220</v>
      </c>
      <c r="AD138" s="12"/>
      <c r="AE138" s="12"/>
    </row>
    <row r="139" s="13" customFormat="true" ht="15" hidden="false" customHeight="false" outlineLevel="0" collapsed="false">
      <c r="A139" s="10" t="s">
        <v>39</v>
      </c>
      <c r="B139" s="10" t="s">
        <v>40</v>
      </c>
      <c r="C139" s="11" t="s">
        <v>218</v>
      </c>
      <c r="D139" s="10" t="s">
        <v>221</v>
      </c>
      <c r="E139" s="10" t="n">
        <v>104554</v>
      </c>
      <c r="F139" s="10" t="n">
        <v>263.79</v>
      </c>
      <c r="G139" s="10" t="n">
        <v>134</v>
      </c>
      <c r="H139" s="10" t="n">
        <v>557</v>
      </c>
      <c r="I139" s="10" t="n">
        <v>278</v>
      </c>
      <c r="J139" s="10" t="n">
        <v>279</v>
      </c>
      <c r="K139" s="10" t="n">
        <v>0</v>
      </c>
      <c r="L139" s="10" t="n">
        <f aca="false">K139*100/H139</f>
        <v>0</v>
      </c>
      <c r="M139" s="10" t="n">
        <v>0</v>
      </c>
      <c r="N139" s="10" t="n">
        <f aca="false">M139*100/H139</f>
        <v>0</v>
      </c>
      <c r="O139" s="10" t="n">
        <v>28.97</v>
      </c>
      <c r="P139" s="10" t="n">
        <v>32.03</v>
      </c>
      <c r="Q139" s="12" t="s">
        <v>45</v>
      </c>
      <c r="R139" s="14" t="n">
        <v>45932</v>
      </c>
      <c r="S139" s="10"/>
      <c r="T139" s="12" t="n">
        <v>29.542</v>
      </c>
      <c r="U139" s="10"/>
      <c r="V139" s="10"/>
      <c r="W139" s="10"/>
      <c r="X139" s="10"/>
      <c r="Y139" s="10"/>
      <c r="Z139" s="10"/>
      <c r="AA139" s="12" t="s">
        <v>47</v>
      </c>
      <c r="AB139" s="12"/>
      <c r="AC139" s="12"/>
      <c r="AD139" s="12" t="n">
        <v>24.223648</v>
      </c>
      <c r="AE139" s="12" t="n">
        <v>76.405091</v>
      </c>
    </row>
    <row r="140" s="13" customFormat="true" ht="15" hidden="false" customHeight="false" outlineLevel="0" collapsed="false">
      <c r="A140" s="10" t="s">
        <v>39</v>
      </c>
      <c r="B140" s="10" t="s">
        <v>40</v>
      </c>
      <c r="C140" s="11" t="s">
        <v>218</v>
      </c>
      <c r="D140" s="10" t="s">
        <v>222</v>
      </c>
      <c r="E140" s="10" t="n">
        <v>104553</v>
      </c>
      <c r="F140" s="10" t="n">
        <v>83.5</v>
      </c>
      <c r="G140" s="10"/>
      <c r="H140" s="10" t="n">
        <v>0</v>
      </c>
      <c r="I140" s="10"/>
      <c r="J140" s="10"/>
      <c r="K140" s="10"/>
      <c r="L140" s="10" t="n">
        <v>0</v>
      </c>
      <c r="M140" s="10"/>
      <c r="N140" s="10"/>
      <c r="O140" s="10" t="n">
        <v>0</v>
      </c>
      <c r="P140" s="10" t="n">
        <v>0</v>
      </c>
      <c r="Q140" s="12" t="s">
        <v>45</v>
      </c>
      <c r="R140" s="14" t="n">
        <v>45932</v>
      </c>
      <c r="S140" s="10"/>
      <c r="T140" s="12" t="n">
        <v>4</v>
      </c>
      <c r="U140" s="10"/>
      <c r="V140" s="10"/>
      <c r="W140" s="10"/>
      <c r="X140" s="10"/>
      <c r="Y140" s="10"/>
      <c r="Z140" s="10"/>
      <c r="AA140" s="12" t="s">
        <v>47</v>
      </c>
      <c r="AB140" s="12"/>
      <c r="AC140" s="12"/>
      <c r="AD140" s="12" t="n">
        <v>24.23257</v>
      </c>
      <c r="AE140" s="12" t="n">
        <v>76.377988</v>
      </c>
    </row>
    <row r="141" s="13" customFormat="true" ht="15" hidden="false" customHeight="false" outlineLevel="0" collapsed="false">
      <c r="A141" s="10" t="s">
        <v>39</v>
      </c>
      <c r="B141" s="10" t="s">
        <v>40</v>
      </c>
      <c r="C141" s="11" t="s">
        <v>218</v>
      </c>
      <c r="D141" s="10" t="s">
        <v>223</v>
      </c>
      <c r="E141" s="10" t="n">
        <v>104606</v>
      </c>
      <c r="F141" s="10" t="n">
        <v>348.61</v>
      </c>
      <c r="G141" s="10" t="n">
        <v>123</v>
      </c>
      <c r="H141" s="10" t="n">
        <v>695</v>
      </c>
      <c r="I141" s="10" t="n">
        <v>359</v>
      </c>
      <c r="J141" s="10" t="n">
        <v>336</v>
      </c>
      <c r="K141" s="10" t="n">
        <v>317</v>
      </c>
      <c r="L141" s="10" t="n">
        <f aca="false">K141*100/H141</f>
        <v>45.6115107913669</v>
      </c>
      <c r="M141" s="10" t="n">
        <v>0</v>
      </c>
      <c r="N141" s="10" t="n">
        <f aca="false">M141*100/H141</f>
        <v>0</v>
      </c>
      <c r="O141" s="10" t="n">
        <v>46.58</v>
      </c>
      <c r="P141" s="10" t="n">
        <v>46.25</v>
      </c>
      <c r="Q141" s="12" t="s">
        <v>45</v>
      </c>
      <c r="R141" s="14" t="n">
        <v>45932</v>
      </c>
      <c r="S141" s="10"/>
      <c r="T141" s="12" t="n">
        <v>49.2598</v>
      </c>
      <c r="U141" s="10"/>
      <c r="V141" s="10"/>
      <c r="W141" s="10"/>
      <c r="X141" s="10"/>
      <c r="Y141" s="10"/>
      <c r="Z141" s="10"/>
      <c r="AA141" s="12" t="s">
        <v>47</v>
      </c>
      <c r="AB141" s="12"/>
      <c r="AC141" s="12"/>
      <c r="AD141" s="12" t="n">
        <v>24.210565</v>
      </c>
      <c r="AE141" s="12" t="n">
        <v>76.415021</v>
      </c>
    </row>
    <row r="142" s="13" customFormat="true" ht="15" hidden="false" customHeight="false" outlineLevel="0" collapsed="false">
      <c r="A142" s="10" t="s">
        <v>39</v>
      </c>
      <c r="B142" s="10" t="s">
        <v>40</v>
      </c>
      <c r="C142" s="11" t="s">
        <v>218</v>
      </c>
      <c r="D142" s="10" t="s">
        <v>224</v>
      </c>
      <c r="E142" s="10" t="n">
        <v>104605</v>
      </c>
      <c r="F142" s="10" t="n">
        <v>269.85</v>
      </c>
      <c r="G142" s="10" t="n">
        <v>82</v>
      </c>
      <c r="H142" s="10" t="n">
        <v>418</v>
      </c>
      <c r="I142" s="10" t="n">
        <v>216</v>
      </c>
      <c r="J142" s="10" t="n">
        <v>202</v>
      </c>
      <c r="K142" s="10" t="n">
        <v>36</v>
      </c>
      <c r="L142" s="10" t="n">
        <f aca="false">K142*100/H142</f>
        <v>8.61244019138756</v>
      </c>
      <c r="M142" s="10" t="n">
        <v>174</v>
      </c>
      <c r="N142" s="10" t="n">
        <f aca="false">M142*100/H142</f>
        <v>41.6267942583732</v>
      </c>
      <c r="O142" s="10" t="n">
        <v>19.64</v>
      </c>
      <c r="P142" s="10" t="n">
        <v>0</v>
      </c>
      <c r="Q142" s="12" t="s">
        <v>45</v>
      </c>
      <c r="R142" s="14" t="n">
        <v>45932</v>
      </c>
      <c r="S142" s="10"/>
      <c r="T142" s="12" t="n">
        <v>19.2099</v>
      </c>
      <c r="U142" s="10"/>
      <c r="V142" s="10"/>
      <c r="W142" s="10"/>
      <c r="X142" s="10"/>
      <c r="Y142" s="10"/>
      <c r="Z142" s="10"/>
      <c r="AA142" s="12" t="s">
        <v>47</v>
      </c>
      <c r="AB142" s="12"/>
      <c r="AC142" s="12"/>
      <c r="AD142" s="12" t="n">
        <v>24.21938</v>
      </c>
      <c r="AE142" s="12" t="n">
        <v>76.39702</v>
      </c>
    </row>
    <row r="143" s="13" customFormat="true" ht="15" hidden="false" customHeight="false" outlineLevel="0" collapsed="false">
      <c r="A143" s="10" t="s">
        <v>39</v>
      </c>
      <c r="B143" s="10" t="s">
        <v>40</v>
      </c>
      <c r="C143" s="11" t="s">
        <v>218</v>
      </c>
      <c r="D143" s="10" t="s">
        <v>225</v>
      </c>
      <c r="E143" s="10" t="n">
        <v>104551</v>
      </c>
      <c r="F143" s="10" t="n">
        <v>194.18</v>
      </c>
      <c r="G143" s="10" t="n">
        <v>17</v>
      </c>
      <c r="H143" s="10" t="n">
        <v>67</v>
      </c>
      <c r="I143" s="10" t="n">
        <v>28</v>
      </c>
      <c r="J143" s="10" t="n">
        <v>39</v>
      </c>
      <c r="K143" s="10" t="n">
        <v>0</v>
      </c>
      <c r="L143" s="10" t="n">
        <f aca="false">K143*100/H143</f>
        <v>0</v>
      </c>
      <c r="M143" s="10" t="n">
        <v>0</v>
      </c>
      <c r="N143" s="10" t="n">
        <f aca="false">M143*100/H143</f>
        <v>0</v>
      </c>
      <c r="O143" s="10" t="n">
        <v>0</v>
      </c>
      <c r="P143" s="10" t="n">
        <v>16.4</v>
      </c>
      <c r="Q143" s="12" t="s">
        <v>45</v>
      </c>
      <c r="R143" s="14" t="n">
        <v>45932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="13" customFormat="true" ht="15" hidden="false" customHeight="false" outlineLevel="0" collapsed="false">
      <c r="A144" s="10" t="s">
        <v>39</v>
      </c>
      <c r="B144" s="10" t="s">
        <v>40</v>
      </c>
      <c r="C144" s="11" t="s">
        <v>218</v>
      </c>
      <c r="D144" s="10" t="s">
        <v>226</v>
      </c>
      <c r="E144" s="10" t="n">
        <v>104604</v>
      </c>
      <c r="F144" s="10" t="n">
        <v>479.62</v>
      </c>
      <c r="G144" s="10" t="n">
        <v>154</v>
      </c>
      <c r="H144" s="10" t="n">
        <v>937</v>
      </c>
      <c r="I144" s="10" t="n">
        <v>478</v>
      </c>
      <c r="J144" s="10" t="n">
        <v>459</v>
      </c>
      <c r="K144" s="10" t="n">
        <v>105</v>
      </c>
      <c r="L144" s="10" t="n">
        <f aca="false">K144*100/H144</f>
        <v>11.2059765208111</v>
      </c>
      <c r="M144" s="10" t="n">
        <v>15</v>
      </c>
      <c r="N144" s="10" t="n">
        <f aca="false">M144*100/H144</f>
        <v>1.6008537886873</v>
      </c>
      <c r="O144" s="10" t="n">
        <v>36.45</v>
      </c>
      <c r="P144" s="10" t="n">
        <v>0</v>
      </c>
      <c r="Q144" s="12" t="s">
        <v>45</v>
      </c>
      <c r="R144" s="14" t="n">
        <v>45932</v>
      </c>
      <c r="S144" s="10"/>
      <c r="T144" s="12" t="n">
        <v>152.5788</v>
      </c>
      <c r="U144" s="10"/>
      <c r="V144" s="10" t="s">
        <v>49</v>
      </c>
      <c r="W144" s="10"/>
      <c r="X144" s="10"/>
      <c r="Y144" s="10"/>
      <c r="Z144" s="10"/>
      <c r="AA144" s="12" t="s">
        <v>150</v>
      </c>
      <c r="AB144" s="12" t="n">
        <v>64</v>
      </c>
      <c r="AC144" s="12"/>
      <c r="AD144" s="12" t="n">
        <v>24.241047</v>
      </c>
      <c r="AE144" s="12" t="n">
        <v>76.402597</v>
      </c>
    </row>
  </sheetData>
  <mergeCells count="3">
    <mergeCell ref="K2:L2"/>
    <mergeCell ref="M2:N2"/>
    <mergeCell ref="AD2:AE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P4" activePane="bottomRight" state="frozen"/>
      <selection pane="topLeft" activeCell="A1" activeCellId="0" sqref="A1"/>
      <selection pane="topRight" activeCell="P1" activeCellId="0" sqref="P1"/>
      <selection pane="bottomLeft" activeCell="A4" activeCellId="0" sqref="A4"/>
      <selection pane="bottomRight" activeCell="U104" activeCellId="0" sqref="U104"/>
    </sheetView>
  </sheetViews>
  <sheetFormatPr defaultColWidth="8.859375" defaultRowHeight="15" zeroHeight="false" outlineLevelRow="0" outlineLevelCol="0"/>
  <cols>
    <col collapsed="false" customWidth="false" hidden="false" outlineLevel="0" max="1" min="1" style="26" width="8.85"/>
    <col collapsed="false" customWidth="true" hidden="false" outlineLevel="0" max="2" min="2" style="26" width="14.14"/>
    <col collapsed="false" customWidth="true" hidden="false" outlineLevel="0" max="3" min="3" style="26" width="21.15"/>
    <col collapsed="false" customWidth="true" hidden="false" outlineLevel="0" max="4" min="4" style="26" width="17.28"/>
    <col collapsed="false" customWidth="false" hidden="false" outlineLevel="0" max="5" min="5" style="26" width="8.85"/>
    <col collapsed="false" customWidth="true" hidden="false" outlineLevel="0" max="9" min="6" style="26" width="14.43"/>
    <col collapsed="false" customWidth="true" hidden="false" outlineLevel="0" max="11" min="10" style="26" width="12.28"/>
    <col collapsed="false" customWidth="true" hidden="false" outlineLevel="0" max="12" min="12" style="26" width="11.43"/>
    <col collapsed="false" customWidth="true" hidden="false" outlineLevel="0" max="13" min="13" style="26" width="11"/>
    <col collapsed="false" customWidth="true" hidden="false" outlineLevel="0" max="14" min="14" style="26" width="12"/>
    <col collapsed="false" customWidth="true" hidden="false" outlineLevel="0" max="26" min="15" style="26" width="14.43"/>
    <col collapsed="false" customWidth="true" hidden="false" outlineLevel="0" max="27" min="27" style="13" width="19.43"/>
    <col collapsed="false" customWidth="true" hidden="false" outlineLevel="0" max="28" min="28" style="13" width="17.71"/>
    <col collapsed="false" customWidth="true" hidden="false" outlineLevel="0" max="29" min="29" style="26" width="24.57"/>
    <col collapsed="false" customWidth="false" hidden="false" outlineLevel="0" max="30" min="30" style="26" width="8.85"/>
    <col collapsed="false" customWidth="true" hidden="false" outlineLevel="0" max="31" min="31" style="26" width="12.57"/>
    <col collapsed="false" customWidth="false" hidden="false" outlineLevel="0" max="1024" min="32" style="26" width="8.85"/>
  </cols>
  <sheetData>
    <row r="1" s="32" customFormat="true" ht="19.15" hidden="false" customHeight="true" outlineLevel="0" collapsed="false">
      <c r="A1" s="27"/>
      <c r="B1" s="27"/>
      <c r="C1" s="27"/>
      <c r="D1" s="28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9" t="s">
        <v>0</v>
      </c>
      <c r="R1" s="29" t="s">
        <v>0</v>
      </c>
      <c r="S1" s="30" t="s">
        <v>0</v>
      </c>
      <c r="T1" s="30" t="s">
        <v>1</v>
      </c>
      <c r="U1" s="30" t="s">
        <v>1</v>
      </c>
      <c r="V1" s="30" t="s">
        <v>1</v>
      </c>
      <c r="W1" s="30" t="s">
        <v>1</v>
      </c>
      <c r="X1" s="30" t="s">
        <v>1</v>
      </c>
      <c r="Y1" s="30" t="s">
        <v>1</v>
      </c>
      <c r="Z1" s="27" t="s">
        <v>2</v>
      </c>
      <c r="AA1" s="31" t="s">
        <v>2</v>
      </c>
      <c r="AB1" s="31" t="s">
        <v>2</v>
      </c>
      <c r="AC1" s="27" t="s">
        <v>2</v>
      </c>
      <c r="AD1" s="27" t="s">
        <v>2</v>
      </c>
      <c r="AE1" s="27" t="s">
        <v>2</v>
      </c>
    </row>
    <row r="2" s="36" customFormat="true" ht="63" hidden="false" customHeight="true" outlineLevel="0" collapsed="false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7" t="s">
        <v>13</v>
      </c>
      <c r="L2" s="7"/>
      <c r="M2" s="7" t="s">
        <v>14</v>
      </c>
      <c r="N2" s="7"/>
      <c r="O2" s="33" t="s">
        <v>15</v>
      </c>
      <c r="P2" s="33" t="s">
        <v>16</v>
      </c>
      <c r="Q2" s="7" t="s">
        <v>17</v>
      </c>
      <c r="R2" s="7" t="s">
        <v>18</v>
      </c>
      <c r="S2" s="33" t="s">
        <v>19</v>
      </c>
      <c r="T2" s="34" t="s">
        <v>20</v>
      </c>
      <c r="U2" s="33" t="s">
        <v>21</v>
      </c>
      <c r="V2" s="34" t="s">
        <v>22</v>
      </c>
      <c r="W2" s="33" t="s">
        <v>23</v>
      </c>
      <c r="X2" s="33" t="s">
        <v>24</v>
      </c>
      <c r="Y2" s="34" t="s">
        <v>25</v>
      </c>
      <c r="Z2" s="34" t="s">
        <v>26</v>
      </c>
      <c r="AA2" s="35" t="s">
        <v>27</v>
      </c>
      <c r="AB2" s="35" t="s">
        <v>28</v>
      </c>
      <c r="AC2" s="34" t="s">
        <v>29</v>
      </c>
      <c r="AD2" s="35" t="s">
        <v>30</v>
      </c>
      <c r="AE2" s="35"/>
    </row>
    <row r="3" s="37" customFormat="true" ht="22.15" hidden="false" customHeight="true" outlineLevel="0" collapsed="false">
      <c r="A3" s="7"/>
      <c r="B3" s="7"/>
      <c r="C3" s="7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 t="s">
        <v>33</v>
      </c>
      <c r="M3" s="7"/>
      <c r="N3" s="7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5" t="s">
        <v>31</v>
      </c>
      <c r="AC3" s="7" t="s">
        <v>36</v>
      </c>
      <c r="AD3" s="35" t="s">
        <v>37</v>
      </c>
      <c r="AE3" s="35" t="s">
        <v>38</v>
      </c>
    </row>
    <row r="4" customFormat="false" ht="15" hidden="false" customHeight="false" outlineLevel="0" collapsed="false">
      <c r="A4" s="38" t="s">
        <v>39</v>
      </c>
      <c r="B4" s="10" t="s">
        <v>227</v>
      </c>
      <c r="C4" s="10" t="s">
        <v>228</v>
      </c>
      <c r="D4" s="38" t="s">
        <v>229</v>
      </c>
      <c r="E4" s="10" t="n">
        <v>104161</v>
      </c>
      <c r="F4" s="38" t="n">
        <v>1083</v>
      </c>
      <c r="G4" s="38" t="n">
        <v>1859</v>
      </c>
      <c r="H4" s="38" t="n">
        <v>8885</v>
      </c>
      <c r="I4" s="38" t="n">
        <v>4585</v>
      </c>
      <c r="J4" s="38" t="n">
        <v>4300</v>
      </c>
      <c r="K4" s="38" t="n">
        <v>1768</v>
      </c>
      <c r="L4" s="38" t="n">
        <f aca="false">K4*100/H4</f>
        <v>19.8987056837366</v>
      </c>
      <c r="M4" s="38" t="n">
        <v>2931</v>
      </c>
      <c r="N4" s="38" t="n">
        <f aca="false">M4*100/H4</f>
        <v>32.9881823297693</v>
      </c>
      <c r="O4" s="38" t="n">
        <v>45.32</v>
      </c>
      <c r="P4" s="38" t="n">
        <v>63.68</v>
      </c>
      <c r="Q4" s="39" t="s">
        <v>45</v>
      </c>
      <c r="R4" s="40" t="n">
        <v>44868</v>
      </c>
      <c r="S4" s="38"/>
      <c r="T4" s="16" t="n">
        <v>39.9</v>
      </c>
      <c r="U4" s="38"/>
      <c r="V4" s="38"/>
      <c r="W4" s="38"/>
      <c r="X4" s="38"/>
      <c r="Y4" s="38"/>
      <c r="Z4" s="38"/>
      <c r="AA4" s="41" t="s">
        <v>45</v>
      </c>
      <c r="AB4" s="41" t="n">
        <v>1</v>
      </c>
      <c r="AC4" s="16" t="s">
        <v>148</v>
      </c>
      <c r="AD4" s="17" t="n">
        <v>24.475181</v>
      </c>
      <c r="AE4" s="17" t="n">
        <v>76.347404</v>
      </c>
    </row>
    <row r="5" customFormat="false" ht="15" hidden="false" customHeight="false" outlineLevel="0" collapsed="false">
      <c r="A5" s="38" t="s">
        <v>39</v>
      </c>
      <c r="B5" s="10" t="s">
        <v>227</v>
      </c>
      <c r="C5" s="10" t="s">
        <v>230</v>
      </c>
      <c r="D5" s="38" t="s">
        <v>231</v>
      </c>
      <c r="E5" s="10" t="n">
        <v>104165</v>
      </c>
      <c r="F5" s="38" t="n">
        <v>110.9</v>
      </c>
      <c r="G5" s="38" t="n">
        <v>73</v>
      </c>
      <c r="H5" s="38" t="n">
        <v>342</v>
      </c>
      <c r="I5" s="38" t="n">
        <v>181</v>
      </c>
      <c r="J5" s="38" t="n">
        <v>161</v>
      </c>
      <c r="K5" s="38" t="n">
        <v>164</v>
      </c>
      <c r="L5" s="38" t="n">
        <f aca="false">K5*100/H5</f>
        <v>47.953216374269</v>
      </c>
      <c r="M5" s="38" t="n">
        <v>161</v>
      </c>
      <c r="N5" s="38" t="n">
        <f aca="false">M5*100/H5</f>
        <v>47.0760233918129</v>
      </c>
      <c r="O5" s="38" t="n">
        <v>1.75</v>
      </c>
      <c r="P5" s="38" t="n">
        <v>30.55</v>
      </c>
      <c r="Q5" s="39" t="s">
        <v>45</v>
      </c>
      <c r="R5" s="40" t="n">
        <v>44654</v>
      </c>
      <c r="S5" s="38"/>
      <c r="T5" s="39" t="n">
        <v>1.74</v>
      </c>
      <c r="U5" s="38"/>
      <c r="V5" s="38"/>
      <c r="W5" s="38"/>
      <c r="X5" s="38"/>
      <c r="Y5" s="38"/>
      <c r="Z5" s="38"/>
      <c r="AA5" s="41" t="s">
        <v>45</v>
      </c>
      <c r="AB5" s="41" t="n">
        <v>4</v>
      </c>
      <c r="AC5" s="38"/>
      <c r="AD5" s="42" t="n">
        <v>24.435359</v>
      </c>
      <c r="AE5" s="42" t="n">
        <v>76.33507707</v>
      </c>
    </row>
    <row r="6" customFormat="false" ht="15" hidden="false" customHeight="false" outlineLevel="0" collapsed="false">
      <c r="A6" s="38" t="s">
        <v>39</v>
      </c>
      <c r="B6" s="10" t="s">
        <v>227</v>
      </c>
      <c r="C6" s="10" t="s">
        <v>230</v>
      </c>
      <c r="D6" s="38" t="s">
        <v>232</v>
      </c>
      <c r="E6" s="10" t="n">
        <v>104166</v>
      </c>
      <c r="F6" s="38" t="n">
        <v>417.9</v>
      </c>
      <c r="G6" s="38" t="n">
        <v>133</v>
      </c>
      <c r="H6" s="38" t="n">
        <v>676</v>
      </c>
      <c r="I6" s="38" t="n">
        <v>358</v>
      </c>
      <c r="J6" s="38" t="n">
        <v>318</v>
      </c>
      <c r="K6" s="38" t="n">
        <v>74</v>
      </c>
      <c r="L6" s="38" t="n">
        <f aca="false">K6*100/H6</f>
        <v>10.9467455621302</v>
      </c>
      <c r="M6" s="38" t="n">
        <v>88</v>
      </c>
      <c r="N6" s="38" t="n">
        <f aca="false">M6*100/H6</f>
        <v>13.0177514792899</v>
      </c>
      <c r="O6" s="38" t="n">
        <v>11.78</v>
      </c>
      <c r="P6" s="38" t="n">
        <v>14.7</v>
      </c>
      <c r="Q6" s="39" t="s">
        <v>45</v>
      </c>
      <c r="R6" s="40" t="n">
        <v>44837</v>
      </c>
      <c r="S6" s="38"/>
      <c r="T6" s="39" t="n">
        <v>15.3977</v>
      </c>
      <c r="U6" s="38"/>
      <c r="V6" s="38"/>
      <c r="W6" s="38"/>
      <c r="X6" s="38"/>
      <c r="Y6" s="38"/>
      <c r="Z6" s="38"/>
      <c r="AA6" s="41" t="s">
        <v>45</v>
      </c>
      <c r="AB6" s="41" t="n">
        <v>2</v>
      </c>
      <c r="AC6" s="38"/>
      <c r="AD6" s="42" t="n">
        <v>24.463147</v>
      </c>
      <c r="AE6" s="42" t="n">
        <v>76.35486</v>
      </c>
    </row>
    <row r="7" customFormat="false" ht="15" hidden="false" customHeight="false" outlineLevel="0" collapsed="false">
      <c r="A7" s="38" t="s">
        <v>39</v>
      </c>
      <c r="B7" s="10" t="s">
        <v>227</v>
      </c>
      <c r="C7" s="10" t="s">
        <v>230</v>
      </c>
      <c r="D7" s="38" t="s">
        <v>233</v>
      </c>
      <c r="E7" s="10" t="n">
        <v>104167</v>
      </c>
      <c r="F7" s="38" t="n">
        <v>384.09</v>
      </c>
      <c r="G7" s="38" t="n">
        <v>319</v>
      </c>
      <c r="H7" s="38" t="n">
        <v>1764</v>
      </c>
      <c r="I7" s="38" t="n">
        <v>909</v>
      </c>
      <c r="J7" s="38" t="n">
        <v>855</v>
      </c>
      <c r="K7" s="38" t="n">
        <v>424</v>
      </c>
      <c r="L7" s="38" t="n">
        <f aca="false">K7*100/H7</f>
        <v>24.0362811791383</v>
      </c>
      <c r="M7" s="38" t="n">
        <v>300</v>
      </c>
      <c r="N7" s="38" t="n">
        <f aca="false">M7*100/H7</f>
        <v>17.0068027210884</v>
      </c>
      <c r="O7" s="38" t="n">
        <v>6.61</v>
      </c>
      <c r="P7" s="38" t="n">
        <v>150.53</v>
      </c>
      <c r="Q7" s="39" t="s">
        <v>45</v>
      </c>
      <c r="R7" s="39" t="s">
        <v>234</v>
      </c>
      <c r="S7" s="38"/>
      <c r="T7" s="39" t="n">
        <v>8.4101</v>
      </c>
      <c r="U7" s="38"/>
      <c r="V7" s="38"/>
      <c r="W7" s="38"/>
      <c r="X7" s="38"/>
      <c r="Y7" s="38"/>
      <c r="Z7" s="38"/>
      <c r="AA7" s="41" t="s">
        <v>45</v>
      </c>
      <c r="AB7" s="41" t="n">
        <v>3</v>
      </c>
      <c r="AC7" s="38"/>
      <c r="AD7" s="42" t="n">
        <v>24.4683</v>
      </c>
      <c r="AE7" s="42" t="n">
        <v>76.34123849</v>
      </c>
    </row>
    <row r="8" customFormat="false" ht="15" hidden="false" customHeight="false" outlineLevel="0" collapsed="false">
      <c r="A8" s="38" t="s">
        <v>39</v>
      </c>
      <c r="B8" s="10" t="s">
        <v>227</v>
      </c>
      <c r="C8" s="10" t="s">
        <v>230</v>
      </c>
      <c r="D8" s="38" t="s">
        <v>235</v>
      </c>
      <c r="E8" s="10" t="n">
        <v>104168</v>
      </c>
      <c r="F8" s="38" t="n">
        <v>147.57</v>
      </c>
      <c r="G8" s="38" t="n">
        <v>81</v>
      </c>
      <c r="H8" s="38" t="n">
        <v>412</v>
      </c>
      <c r="I8" s="38" t="n">
        <v>208</v>
      </c>
      <c r="J8" s="38" t="n">
        <v>204</v>
      </c>
      <c r="K8" s="38" t="n">
        <v>7</v>
      </c>
      <c r="L8" s="38" t="n">
        <f aca="false">K8*100/H8</f>
        <v>1.69902912621359</v>
      </c>
      <c r="M8" s="38" t="n">
        <v>28</v>
      </c>
      <c r="N8" s="38" t="n">
        <f aca="false">M8*100/H8</f>
        <v>6.79611650485437</v>
      </c>
      <c r="O8" s="38" t="n">
        <v>26.96</v>
      </c>
      <c r="P8" s="38" t="n">
        <v>0</v>
      </c>
      <c r="Q8" s="39" t="s">
        <v>45</v>
      </c>
      <c r="R8" s="40" t="n">
        <v>44776</v>
      </c>
      <c r="S8" s="38"/>
      <c r="T8" s="39" t="n">
        <v>25.0882</v>
      </c>
      <c r="U8" s="38"/>
      <c r="V8" s="38"/>
      <c r="W8" s="38"/>
      <c r="X8" s="38"/>
      <c r="Y8" s="38"/>
      <c r="Z8" s="38"/>
      <c r="AA8" s="41" t="s">
        <v>45</v>
      </c>
      <c r="AB8" s="41" t="n">
        <v>3</v>
      </c>
      <c r="AC8" s="38"/>
      <c r="AD8" s="42" t="n">
        <v>24.44068</v>
      </c>
      <c r="AE8" s="42" t="n">
        <v>76.3814885</v>
      </c>
    </row>
    <row r="9" customFormat="false" ht="21" hidden="false" customHeight="false" outlineLevel="0" collapsed="false">
      <c r="A9" s="38" t="s">
        <v>39</v>
      </c>
      <c r="B9" s="10" t="s">
        <v>227</v>
      </c>
      <c r="C9" s="10" t="s">
        <v>230</v>
      </c>
      <c r="D9" s="38" t="s">
        <v>236</v>
      </c>
      <c r="E9" s="10" t="n">
        <v>104169</v>
      </c>
      <c r="F9" s="38" t="n">
        <v>208.1</v>
      </c>
      <c r="G9" s="38" t="n">
        <v>175</v>
      </c>
      <c r="H9" s="38" t="n">
        <v>884</v>
      </c>
      <c r="I9" s="38" t="n">
        <v>459</v>
      </c>
      <c r="J9" s="38" t="n">
        <v>425</v>
      </c>
      <c r="K9" s="38" t="n">
        <v>192</v>
      </c>
      <c r="L9" s="38" t="n">
        <f aca="false">K9*100/H9</f>
        <v>21.7194570135747</v>
      </c>
      <c r="M9" s="38" t="n">
        <v>53</v>
      </c>
      <c r="N9" s="38" t="n">
        <f aca="false">M9*100/H9</f>
        <v>5.99547511312217</v>
      </c>
      <c r="O9" s="38" t="n">
        <v>19.72</v>
      </c>
      <c r="P9" s="38" t="n">
        <v>0</v>
      </c>
      <c r="Q9" s="43"/>
      <c r="R9" s="10"/>
      <c r="S9" s="38"/>
      <c r="T9" s="39" t="n">
        <v>19.2</v>
      </c>
      <c r="U9" s="38"/>
      <c r="V9" s="38"/>
      <c r="W9" s="38"/>
      <c r="X9" s="38"/>
      <c r="Y9" s="38"/>
      <c r="Z9" s="38"/>
      <c r="AA9" s="44"/>
      <c r="AB9" s="10"/>
      <c r="AC9" s="38"/>
      <c r="AD9" s="42" t="n">
        <v>24.463753</v>
      </c>
      <c r="AE9" s="42" t="n">
        <v>76.35984</v>
      </c>
    </row>
    <row r="10" customFormat="false" ht="21" hidden="false" customHeight="false" outlineLevel="0" collapsed="false">
      <c r="A10" s="38" t="s">
        <v>39</v>
      </c>
      <c r="B10" s="10" t="s">
        <v>227</v>
      </c>
      <c r="C10" s="10" t="s">
        <v>230</v>
      </c>
      <c r="D10" s="38" t="s">
        <v>237</v>
      </c>
      <c r="E10" s="10" t="n">
        <v>104198</v>
      </c>
      <c r="F10" s="38" t="n">
        <v>189.17</v>
      </c>
      <c r="G10" s="38"/>
      <c r="H10" s="38" t="n">
        <v>0</v>
      </c>
      <c r="I10" s="38"/>
      <c r="J10" s="38"/>
      <c r="K10" s="38"/>
      <c r="L10" s="38" t="e">
        <f aca="false">K10*100/H10</f>
        <v>#DIV/0!</v>
      </c>
      <c r="M10" s="38"/>
      <c r="N10" s="38" t="e">
        <f aca="false">M10*100/H10</f>
        <v>#DIV/0!</v>
      </c>
      <c r="O10" s="38" t="n">
        <v>0</v>
      </c>
      <c r="P10" s="38" t="n">
        <v>87.57</v>
      </c>
      <c r="Q10" s="12" t="s">
        <v>43</v>
      </c>
      <c r="R10" s="12" t="s">
        <v>238</v>
      </c>
      <c r="S10" s="38"/>
      <c r="T10" s="45"/>
      <c r="U10" s="38"/>
      <c r="V10" s="38"/>
      <c r="W10" s="38"/>
      <c r="X10" s="38"/>
      <c r="Y10" s="38"/>
      <c r="Z10" s="38"/>
      <c r="AA10" s="44"/>
      <c r="AB10" s="44"/>
      <c r="AC10" s="45"/>
      <c r="AD10" s="45"/>
      <c r="AE10" s="45"/>
    </row>
    <row r="11" customFormat="false" ht="18.75" hidden="false" customHeight="false" outlineLevel="0" collapsed="false">
      <c r="A11" s="38" t="s">
        <v>39</v>
      </c>
      <c r="B11" s="10" t="s">
        <v>227</v>
      </c>
      <c r="C11" s="10" t="s">
        <v>239</v>
      </c>
      <c r="D11" s="38" t="s">
        <v>240</v>
      </c>
      <c r="E11" s="10" t="n">
        <v>104142</v>
      </c>
      <c r="F11" s="38" t="n">
        <v>629</v>
      </c>
      <c r="G11" s="38" t="n">
        <v>256</v>
      </c>
      <c r="H11" s="38" t="n">
        <v>1186</v>
      </c>
      <c r="I11" s="38" t="n">
        <v>596</v>
      </c>
      <c r="J11" s="38" t="n">
        <v>590</v>
      </c>
      <c r="K11" s="38" t="n">
        <v>125</v>
      </c>
      <c r="L11" s="38" t="n">
        <f aca="false">K11*100/H11</f>
        <v>10.539629005059</v>
      </c>
      <c r="M11" s="38" t="n">
        <v>188</v>
      </c>
      <c r="N11" s="38" t="n">
        <f aca="false">M11*100/H11</f>
        <v>15.8516020236088</v>
      </c>
      <c r="O11" s="38" t="n">
        <v>33</v>
      </c>
      <c r="P11" s="38" t="n">
        <v>0</v>
      </c>
      <c r="Q11" s="12" t="s">
        <v>43</v>
      </c>
      <c r="R11" s="12" t="s">
        <v>238</v>
      </c>
      <c r="S11" s="38"/>
      <c r="T11" s="45"/>
      <c r="U11" s="38"/>
      <c r="V11" s="38" t="s">
        <v>49</v>
      </c>
      <c r="W11" s="38"/>
      <c r="X11" s="38"/>
      <c r="Y11" s="38"/>
      <c r="Z11" s="38"/>
      <c r="AA11" s="12" t="s">
        <v>43</v>
      </c>
      <c r="AB11" s="12" t="n">
        <v>10</v>
      </c>
      <c r="AC11" s="45"/>
      <c r="AD11" s="46" t="n">
        <v>24.432379</v>
      </c>
      <c r="AE11" s="46" t="n">
        <v>76.19893</v>
      </c>
    </row>
    <row r="12" customFormat="false" ht="21" hidden="false" customHeight="false" outlineLevel="0" collapsed="false">
      <c r="A12" s="38" t="s">
        <v>39</v>
      </c>
      <c r="B12" s="10" t="s">
        <v>227</v>
      </c>
      <c r="C12" s="10" t="s">
        <v>239</v>
      </c>
      <c r="D12" s="38" t="s">
        <v>241</v>
      </c>
      <c r="E12" s="10"/>
      <c r="F12" s="38"/>
      <c r="G12" s="38"/>
      <c r="H12" s="38"/>
      <c r="I12" s="38"/>
      <c r="J12" s="38"/>
      <c r="K12" s="38"/>
      <c r="L12" s="38" t="e">
        <f aca="false">K12*100/H12</f>
        <v>#DIV/0!</v>
      </c>
      <c r="M12" s="38"/>
      <c r="N12" s="38" t="e">
        <f aca="false">M12*100/H12</f>
        <v>#DIV/0!</v>
      </c>
      <c r="O12" s="38"/>
      <c r="P12" s="38"/>
      <c r="Q12" s="12" t="s">
        <v>43</v>
      </c>
      <c r="R12" s="12" t="s">
        <v>238</v>
      </c>
      <c r="S12" s="38"/>
      <c r="T12" s="46"/>
      <c r="U12" s="38"/>
      <c r="V12" s="38"/>
      <c r="W12" s="38"/>
      <c r="X12" s="38"/>
      <c r="Y12" s="38"/>
      <c r="Z12" s="38"/>
      <c r="AA12" s="44"/>
      <c r="AB12" s="44"/>
      <c r="AC12" s="46"/>
      <c r="AD12" s="46" t="n">
        <v>24.416969</v>
      </c>
      <c r="AE12" s="46" t="n">
        <v>76.187401</v>
      </c>
    </row>
    <row r="13" customFormat="false" ht="21" hidden="false" customHeight="false" outlineLevel="0" collapsed="false">
      <c r="A13" s="38" t="s">
        <v>39</v>
      </c>
      <c r="B13" s="10" t="s">
        <v>227</v>
      </c>
      <c r="C13" s="10" t="s">
        <v>239</v>
      </c>
      <c r="D13" s="38" t="s">
        <v>242</v>
      </c>
      <c r="E13" s="10" t="n">
        <v>104143</v>
      </c>
      <c r="F13" s="38" t="n">
        <v>256</v>
      </c>
      <c r="G13" s="38" t="n">
        <v>83</v>
      </c>
      <c r="H13" s="38" t="n">
        <v>364</v>
      </c>
      <c r="I13" s="38" t="n">
        <v>193</v>
      </c>
      <c r="J13" s="38" t="n">
        <v>171</v>
      </c>
      <c r="K13" s="38" t="n">
        <v>20</v>
      </c>
      <c r="L13" s="38" t="n">
        <f aca="false">K13*100/H13</f>
        <v>5.49450549450549</v>
      </c>
      <c r="M13" s="38" t="n">
        <v>186</v>
      </c>
      <c r="N13" s="38" t="n">
        <f aca="false">M13*100/H13</f>
        <v>51.0989010989011</v>
      </c>
      <c r="O13" s="38" t="n">
        <v>9</v>
      </c>
      <c r="P13" s="38" t="n">
        <v>0</v>
      </c>
      <c r="Q13" s="12" t="s">
        <v>43</v>
      </c>
      <c r="R13" s="12" t="s">
        <v>238</v>
      </c>
      <c r="S13" s="38"/>
      <c r="T13" s="45"/>
      <c r="U13" s="38"/>
      <c r="V13" s="38"/>
      <c r="W13" s="38"/>
      <c r="X13" s="38"/>
      <c r="Y13" s="38"/>
      <c r="Z13" s="38"/>
      <c r="AA13" s="44"/>
      <c r="AB13" s="44"/>
      <c r="AC13" s="45"/>
      <c r="AD13" s="46" t="n">
        <v>24.44467</v>
      </c>
      <c r="AE13" s="46" t="n">
        <v>76.195356</v>
      </c>
    </row>
    <row r="14" customFormat="false" ht="18.75" hidden="false" customHeight="false" outlineLevel="0" collapsed="false">
      <c r="A14" s="38" t="s">
        <v>39</v>
      </c>
      <c r="B14" s="10" t="s">
        <v>227</v>
      </c>
      <c r="C14" s="10" t="s">
        <v>239</v>
      </c>
      <c r="D14" s="38" t="s">
        <v>243</v>
      </c>
      <c r="E14" s="10" t="n">
        <v>104144</v>
      </c>
      <c r="F14" s="38" t="n">
        <v>498</v>
      </c>
      <c r="G14" s="38" t="n">
        <v>230</v>
      </c>
      <c r="H14" s="38" t="n">
        <v>1221</v>
      </c>
      <c r="I14" s="38" t="n">
        <v>653</v>
      </c>
      <c r="J14" s="38" t="n">
        <v>568</v>
      </c>
      <c r="K14" s="38" t="n">
        <v>290</v>
      </c>
      <c r="L14" s="38" t="n">
        <f aca="false">K14*100/H14</f>
        <v>23.7510237510237</v>
      </c>
      <c r="M14" s="38" t="n">
        <v>295</v>
      </c>
      <c r="N14" s="38" t="n">
        <f aca="false">M14*100/H14</f>
        <v>24.1605241605242</v>
      </c>
      <c r="O14" s="38" t="n">
        <v>57</v>
      </c>
      <c r="P14" s="38" t="n">
        <v>0</v>
      </c>
      <c r="Q14" s="12" t="s">
        <v>43</v>
      </c>
      <c r="R14" s="12" t="s">
        <v>238</v>
      </c>
      <c r="S14" s="38"/>
      <c r="T14" s="45"/>
      <c r="U14" s="38"/>
      <c r="V14" s="38"/>
      <c r="W14" s="38"/>
      <c r="X14" s="38"/>
      <c r="Y14" s="38"/>
      <c r="Z14" s="38"/>
      <c r="AA14" s="12" t="s">
        <v>43</v>
      </c>
      <c r="AB14" s="12" t="n">
        <v>10</v>
      </c>
      <c r="AC14" s="45"/>
      <c r="AD14" s="46" t="n">
        <v>24.454357</v>
      </c>
      <c r="AE14" s="46" t="n">
        <v>76.220234</v>
      </c>
    </row>
    <row r="15" customFormat="false" ht="21" hidden="false" customHeight="false" outlineLevel="0" collapsed="false">
      <c r="A15" s="38" t="s">
        <v>39</v>
      </c>
      <c r="B15" s="10" t="s">
        <v>227</v>
      </c>
      <c r="C15" s="10" t="s">
        <v>239</v>
      </c>
      <c r="D15" s="38" t="s">
        <v>119</v>
      </c>
      <c r="E15" s="10" t="n">
        <v>104141</v>
      </c>
      <c r="F15" s="38" t="n">
        <v>350.42</v>
      </c>
      <c r="G15" s="38" t="n">
        <v>195</v>
      </c>
      <c r="H15" s="38" t="n">
        <v>949</v>
      </c>
      <c r="I15" s="38" t="n">
        <v>472</v>
      </c>
      <c r="J15" s="38" t="n">
        <v>477</v>
      </c>
      <c r="K15" s="38" t="n">
        <v>77</v>
      </c>
      <c r="L15" s="38" t="n">
        <f aca="false">K15*100/H15</f>
        <v>8.11380400421496</v>
      </c>
      <c r="M15" s="38" t="n">
        <v>704</v>
      </c>
      <c r="N15" s="38" t="n">
        <f aca="false">M15*100/H15</f>
        <v>74.1833508956797</v>
      </c>
      <c r="O15" s="38" t="n">
        <v>40.13</v>
      </c>
      <c r="P15" s="38" t="n">
        <v>74.06</v>
      </c>
      <c r="Q15" s="12" t="s">
        <v>43</v>
      </c>
      <c r="R15" s="12" t="s">
        <v>238</v>
      </c>
      <c r="S15" s="38"/>
      <c r="T15" s="46"/>
      <c r="U15" s="38"/>
      <c r="V15" s="38"/>
      <c r="W15" s="38"/>
      <c r="X15" s="38"/>
      <c r="Y15" s="38"/>
      <c r="Z15" s="38"/>
      <c r="AA15" s="44"/>
      <c r="AB15" s="44"/>
      <c r="AC15" s="45"/>
      <c r="AD15" s="46" t="n">
        <v>24.419888</v>
      </c>
      <c r="AE15" s="46" t="n">
        <v>76.191308</v>
      </c>
    </row>
    <row r="16" customFormat="false" ht="18.75" hidden="false" customHeight="false" outlineLevel="0" collapsed="false">
      <c r="A16" s="38" t="s">
        <v>39</v>
      </c>
      <c r="B16" s="10" t="s">
        <v>227</v>
      </c>
      <c r="C16" s="10" t="s">
        <v>239</v>
      </c>
      <c r="D16" s="38" t="s">
        <v>225</v>
      </c>
      <c r="E16" s="10" t="n">
        <v>104140</v>
      </c>
      <c r="F16" s="38" t="n">
        <v>120.42</v>
      </c>
      <c r="G16" s="38" t="n">
        <v>61</v>
      </c>
      <c r="H16" s="38" t="n">
        <v>304</v>
      </c>
      <c r="I16" s="38" t="n">
        <v>152</v>
      </c>
      <c r="J16" s="38" t="n">
        <v>152</v>
      </c>
      <c r="K16" s="38" t="n">
        <v>203</v>
      </c>
      <c r="L16" s="38" t="n">
        <f aca="false">K16*100/H16</f>
        <v>66.7763157894737</v>
      </c>
      <c r="M16" s="38" t="n">
        <v>0</v>
      </c>
      <c r="N16" s="38" t="n">
        <f aca="false">M16*100/H16</f>
        <v>0</v>
      </c>
      <c r="O16" s="38" t="n">
        <v>18.91</v>
      </c>
      <c r="P16" s="38" t="n">
        <v>0</v>
      </c>
      <c r="Q16" s="12" t="s">
        <v>45</v>
      </c>
      <c r="R16" s="12" t="s">
        <v>244</v>
      </c>
      <c r="S16" s="38"/>
      <c r="T16" s="45"/>
      <c r="U16" s="38"/>
      <c r="V16" s="38"/>
      <c r="W16" s="38"/>
      <c r="X16" s="38"/>
      <c r="Y16" s="38"/>
      <c r="Z16" s="38"/>
      <c r="AA16" s="12" t="s">
        <v>43</v>
      </c>
      <c r="AB16" s="12" t="n">
        <v>1</v>
      </c>
      <c r="AC16" s="45"/>
      <c r="AD16" s="46" t="n">
        <v>24.437691</v>
      </c>
      <c r="AE16" s="46" t="n">
        <v>76.164667</v>
      </c>
    </row>
    <row r="17" customFormat="false" ht="18.75" hidden="false" customHeight="false" outlineLevel="0" collapsed="false">
      <c r="A17" s="38" t="s">
        <v>39</v>
      </c>
      <c r="B17" s="10" t="s">
        <v>227</v>
      </c>
      <c r="C17" s="10" t="s">
        <v>245</v>
      </c>
      <c r="D17" s="38" t="s">
        <v>246</v>
      </c>
      <c r="E17" s="10" t="n">
        <v>104114</v>
      </c>
      <c r="F17" s="38" t="n">
        <v>130.79</v>
      </c>
      <c r="G17" s="38" t="n">
        <v>125</v>
      </c>
      <c r="H17" s="38" t="n">
        <v>623</v>
      </c>
      <c r="I17" s="38" t="n">
        <v>330</v>
      </c>
      <c r="J17" s="38" t="n">
        <v>293</v>
      </c>
      <c r="K17" s="38" t="n">
        <v>599</v>
      </c>
      <c r="L17" s="38" t="n">
        <f aca="false">K17*100/H17</f>
        <v>96.1476725521669</v>
      </c>
      <c r="M17" s="38" t="n">
        <v>13</v>
      </c>
      <c r="N17" s="38" t="n">
        <f aca="false">M17*100/H17</f>
        <v>2.08667736757624</v>
      </c>
      <c r="O17" s="38" t="n">
        <v>20.3</v>
      </c>
      <c r="P17" s="38" t="n">
        <v>0</v>
      </c>
      <c r="Q17" s="12" t="s">
        <v>45</v>
      </c>
      <c r="R17" s="12" t="s">
        <v>244</v>
      </c>
      <c r="S17" s="38"/>
      <c r="T17" s="45"/>
      <c r="U17" s="38"/>
      <c r="V17" s="38"/>
      <c r="W17" s="38"/>
      <c r="X17" s="38"/>
      <c r="Y17" s="38"/>
      <c r="Z17" s="38"/>
      <c r="AA17" s="12" t="s">
        <v>43</v>
      </c>
      <c r="AB17" s="12" t="n">
        <v>1</v>
      </c>
      <c r="AC17" s="46"/>
      <c r="AD17" s="46" t="n">
        <v>24.482</v>
      </c>
      <c r="AE17" s="46" t="n">
        <v>76.176</v>
      </c>
    </row>
    <row r="18" customFormat="false" ht="15" hidden="false" customHeight="false" outlineLevel="0" collapsed="false">
      <c r="A18" s="38" t="s">
        <v>39</v>
      </c>
      <c r="B18" s="10" t="s">
        <v>227</v>
      </c>
      <c r="C18" s="10" t="s">
        <v>245</v>
      </c>
      <c r="D18" s="38" t="s">
        <v>247</v>
      </c>
      <c r="E18" s="10" t="n">
        <v>104115</v>
      </c>
      <c r="F18" s="38" t="n">
        <v>249.39</v>
      </c>
      <c r="G18" s="38" t="n">
        <v>166</v>
      </c>
      <c r="H18" s="38" t="n">
        <v>790</v>
      </c>
      <c r="I18" s="38" t="n">
        <v>406</v>
      </c>
      <c r="J18" s="38" t="n">
        <v>384</v>
      </c>
      <c r="K18" s="38" t="n">
        <v>608</v>
      </c>
      <c r="L18" s="38" t="n">
        <f aca="false">K18*100/H18</f>
        <v>76.9620253164557</v>
      </c>
      <c r="M18" s="38" t="n">
        <v>0</v>
      </c>
      <c r="N18" s="38" t="n">
        <f aca="false">M18*100/H18</f>
        <v>0</v>
      </c>
      <c r="O18" s="38" t="n">
        <v>35.19</v>
      </c>
      <c r="P18" s="38" t="n">
        <v>0</v>
      </c>
      <c r="Q18" s="12" t="s">
        <v>45</v>
      </c>
      <c r="R18" s="12" t="s">
        <v>244</v>
      </c>
      <c r="S18" s="38"/>
      <c r="T18" s="46" t="n">
        <v>13.11</v>
      </c>
      <c r="U18" s="38"/>
      <c r="V18" s="38"/>
      <c r="W18" s="38"/>
      <c r="X18" s="38"/>
      <c r="Y18" s="38"/>
      <c r="Z18" s="38"/>
      <c r="AA18" s="12" t="s">
        <v>47</v>
      </c>
      <c r="AB18" s="12"/>
      <c r="AC18" s="46"/>
      <c r="AD18" s="46" t="n">
        <v>24.475</v>
      </c>
      <c r="AE18" s="46" t="n">
        <v>76.163</v>
      </c>
    </row>
    <row r="19" customFormat="false" ht="15" hidden="false" customHeight="false" outlineLevel="0" collapsed="false">
      <c r="A19" s="38" t="s">
        <v>39</v>
      </c>
      <c r="B19" s="10" t="s">
        <v>227</v>
      </c>
      <c r="C19" s="10" t="s">
        <v>245</v>
      </c>
      <c r="D19" s="38" t="s">
        <v>248</v>
      </c>
      <c r="E19" s="10" t="n">
        <v>104137</v>
      </c>
      <c r="F19" s="38" t="n">
        <v>453.06</v>
      </c>
      <c r="G19" s="38" t="n">
        <v>196</v>
      </c>
      <c r="H19" s="38" t="n">
        <v>1049</v>
      </c>
      <c r="I19" s="38" t="n">
        <v>535</v>
      </c>
      <c r="J19" s="38" t="n">
        <v>514</v>
      </c>
      <c r="K19" s="38" t="n">
        <v>73</v>
      </c>
      <c r="L19" s="38" t="n">
        <f aca="false">K19*100/H19</f>
        <v>6.95900857959962</v>
      </c>
      <c r="M19" s="38" t="n">
        <v>4</v>
      </c>
      <c r="N19" s="38" t="n">
        <f aca="false">M19*100/H19</f>
        <v>0.381315538608198</v>
      </c>
      <c r="O19" s="38" t="n">
        <v>46.16</v>
      </c>
      <c r="P19" s="38" t="n">
        <v>0</v>
      </c>
      <c r="Q19" s="15" t="s">
        <v>45</v>
      </c>
      <c r="R19" s="15" t="s">
        <v>249</v>
      </c>
      <c r="S19" s="38"/>
      <c r="T19" s="46" t="n">
        <v>16.96</v>
      </c>
      <c r="U19" s="38"/>
      <c r="V19" s="38"/>
      <c r="W19" s="38"/>
      <c r="X19" s="38"/>
      <c r="Y19" s="38"/>
      <c r="Z19" s="38"/>
      <c r="AA19" s="16" t="s">
        <v>45</v>
      </c>
      <c r="AB19" s="16" t="n">
        <v>14</v>
      </c>
      <c r="AC19" s="46"/>
      <c r="AD19" s="46" t="n">
        <v>24.431993</v>
      </c>
      <c r="AE19" s="46" t="n">
        <v>76.156048</v>
      </c>
    </row>
    <row r="20" customFormat="false" ht="15" hidden="false" customHeight="false" outlineLevel="0" collapsed="false">
      <c r="A20" s="38" t="s">
        <v>39</v>
      </c>
      <c r="B20" s="10" t="s">
        <v>227</v>
      </c>
      <c r="C20" s="10" t="s">
        <v>245</v>
      </c>
      <c r="D20" s="38" t="s">
        <v>250</v>
      </c>
      <c r="E20" s="10" t="n">
        <v>104138</v>
      </c>
      <c r="F20" s="38" t="n">
        <v>647.6</v>
      </c>
      <c r="G20" s="38" t="n">
        <v>363</v>
      </c>
      <c r="H20" s="38" t="n">
        <v>1758</v>
      </c>
      <c r="I20" s="38" t="n">
        <v>927</v>
      </c>
      <c r="J20" s="38" t="n">
        <v>831</v>
      </c>
      <c r="K20" s="38" t="n">
        <v>469</v>
      </c>
      <c r="L20" s="38" t="n">
        <f aca="false">K20*100/H20</f>
        <v>26.6780432309443</v>
      </c>
      <c r="M20" s="38" t="n">
        <v>464</v>
      </c>
      <c r="N20" s="38" t="n">
        <f aca="false">M20*100/H20</f>
        <v>26.3936291240045</v>
      </c>
      <c r="O20" s="38" t="n">
        <v>42.55</v>
      </c>
      <c r="P20" s="38" t="n">
        <v>3.33</v>
      </c>
      <c r="Q20" s="12" t="s">
        <v>45</v>
      </c>
      <c r="R20" s="12" t="s">
        <v>244</v>
      </c>
      <c r="S20" s="38"/>
      <c r="T20" s="46" t="n">
        <v>52.94</v>
      </c>
      <c r="U20" s="38"/>
      <c r="V20" s="38"/>
      <c r="W20" s="38"/>
      <c r="X20" s="38"/>
      <c r="Y20" s="38"/>
      <c r="Z20" s="38"/>
      <c r="AA20" s="12" t="s">
        <v>47</v>
      </c>
      <c r="AB20" s="12"/>
      <c r="AC20" s="16" t="s">
        <v>251</v>
      </c>
      <c r="AD20" s="17" t="n">
        <v>24.462883</v>
      </c>
      <c r="AE20" s="17" t="n">
        <v>76.147672</v>
      </c>
    </row>
    <row r="21" customFormat="false" ht="21" hidden="false" customHeight="false" outlineLevel="0" collapsed="false">
      <c r="A21" s="38" t="s">
        <v>39</v>
      </c>
      <c r="B21" s="10" t="s">
        <v>227</v>
      </c>
      <c r="C21" s="10" t="s">
        <v>245</v>
      </c>
      <c r="D21" s="38" t="s">
        <v>252</v>
      </c>
      <c r="E21" s="10" t="n">
        <v>104139</v>
      </c>
      <c r="F21" s="38" t="n">
        <v>611.98</v>
      </c>
      <c r="G21" s="38" t="n">
        <v>191</v>
      </c>
      <c r="H21" s="38" t="n">
        <v>1071</v>
      </c>
      <c r="I21" s="38" t="n">
        <v>543</v>
      </c>
      <c r="J21" s="38" t="n">
        <v>528</v>
      </c>
      <c r="K21" s="38" t="n">
        <v>55</v>
      </c>
      <c r="L21" s="38" t="n">
        <f aca="false">K21*100/H21</f>
        <v>5.13538748832867</v>
      </c>
      <c r="M21" s="38" t="n">
        <v>23</v>
      </c>
      <c r="N21" s="38" t="n">
        <f aca="false">M21*100/H21</f>
        <v>2.14752567693744</v>
      </c>
      <c r="O21" s="38" t="n">
        <v>35.76</v>
      </c>
      <c r="P21" s="38" t="n">
        <v>0</v>
      </c>
      <c r="Q21" s="12" t="s">
        <v>49</v>
      </c>
      <c r="R21" s="14" t="s">
        <v>253</v>
      </c>
      <c r="S21" s="38"/>
      <c r="T21" s="16" t="n">
        <v>30.92</v>
      </c>
      <c r="U21" s="38"/>
      <c r="V21" s="38"/>
      <c r="W21" s="38"/>
      <c r="X21" s="38"/>
      <c r="Y21" s="38"/>
      <c r="Z21" s="38"/>
      <c r="AA21" s="44"/>
      <c r="AB21" s="10"/>
      <c r="AC21" s="46"/>
      <c r="AD21" s="46" t="n">
        <v>24.45517</v>
      </c>
      <c r="AE21" s="46" t="n">
        <v>76.170508</v>
      </c>
    </row>
    <row r="22" customFormat="false" ht="21" hidden="false" customHeight="false" outlineLevel="0" collapsed="false">
      <c r="A22" s="38" t="s">
        <v>39</v>
      </c>
      <c r="B22" s="10" t="s">
        <v>227</v>
      </c>
      <c r="C22" s="10" t="s">
        <v>254</v>
      </c>
      <c r="D22" s="38" t="s">
        <v>255</v>
      </c>
      <c r="E22" s="10" t="n">
        <v>104193</v>
      </c>
      <c r="F22" s="38" t="n">
        <v>63.2</v>
      </c>
      <c r="G22" s="38" t="n">
        <v>55</v>
      </c>
      <c r="H22" s="38" t="n">
        <v>335</v>
      </c>
      <c r="I22" s="38" t="n">
        <v>171</v>
      </c>
      <c r="J22" s="38" t="n">
        <v>164</v>
      </c>
      <c r="K22" s="38" t="n">
        <v>0</v>
      </c>
      <c r="L22" s="38" t="n">
        <f aca="false">K22*100/H22</f>
        <v>0</v>
      </c>
      <c r="M22" s="38" t="n">
        <v>335</v>
      </c>
      <c r="N22" s="38" t="n">
        <f aca="false">M22*100/H22</f>
        <v>100</v>
      </c>
      <c r="O22" s="38" t="n">
        <v>7.87</v>
      </c>
      <c r="P22" s="38" t="n">
        <v>16.14</v>
      </c>
      <c r="Q22" s="12" t="s">
        <v>49</v>
      </c>
      <c r="R22" s="14" t="s">
        <v>253</v>
      </c>
      <c r="S22" s="38"/>
      <c r="T22" s="46" t="n">
        <v>39.46</v>
      </c>
      <c r="U22" s="38"/>
      <c r="V22" s="38"/>
      <c r="W22" s="38"/>
      <c r="X22" s="38"/>
      <c r="Y22" s="38"/>
      <c r="Z22" s="38"/>
      <c r="AA22" s="44"/>
      <c r="AB22" s="10"/>
      <c r="AC22" s="45"/>
      <c r="AD22" s="46" t="n">
        <v>24.4359</v>
      </c>
      <c r="AE22" s="46" t="n">
        <v>76.3903</v>
      </c>
    </row>
    <row r="23" customFormat="false" ht="18.75" hidden="false" customHeight="false" outlineLevel="0" collapsed="false">
      <c r="A23" s="38" t="s">
        <v>39</v>
      </c>
      <c r="B23" s="10" t="s">
        <v>227</v>
      </c>
      <c r="C23" s="10" t="s">
        <v>254</v>
      </c>
      <c r="D23" s="38" t="s">
        <v>256</v>
      </c>
      <c r="E23" s="10" t="n">
        <v>104194</v>
      </c>
      <c r="F23" s="38" t="n">
        <v>419.37</v>
      </c>
      <c r="G23" s="38" t="n">
        <v>158</v>
      </c>
      <c r="H23" s="38" t="n">
        <v>693</v>
      </c>
      <c r="I23" s="38" t="n">
        <v>347</v>
      </c>
      <c r="J23" s="38" t="n">
        <v>346</v>
      </c>
      <c r="K23" s="38" t="n">
        <v>33</v>
      </c>
      <c r="L23" s="38" t="n">
        <f aca="false">K23*100/H23</f>
        <v>4.76190476190476</v>
      </c>
      <c r="M23" s="38" t="n">
        <v>440</v>
      </c>
      <c r="N23" s="38" t="n">
        <f aca="false">M23*100/H23</f>
        <v>63.4920634920635</v>
      </c>
      <c r="O23" s="38" t="n">
        <v>7.1</v>
      </c>
      <c r="P23" s="38" t="n">
        <v>258.27</v>
      </c>
      <c r="Q23" s="12" t="s">
        <v>43</v>
      </c>
      <c r="R23" s="14" t="s">
        <v>253</v>
      </c>
      <c r="S23" s="38"/>
      <c r="T23" s="45"/>
      <c r="U23" s="38"/>
      <c r="V23" s="38"/>
      <c r="W23" s="38"/>
      <c r="X23" s="38"/>
      <c r="Y23" s="38"/>
      <c r="Z23" s="38"/>
      <c r="AA23" s="12" t="s">
        <v>82</v>
      </c>
      <c r="AB23" s="10" t="n">
        <v>6.30588</v>
      </c>
      <c r="AC23" s="45"/>
      <c r="AD23" s="46" t="n">
        <v>24.4416</v>
      </c>
      <c r="AE23" s="46" t="n">
        <v>76.3864</v>
      </c>
    </row>
    <row r="24" customFormat="false" ht="18.75" hidden="false" customHeight="false" outlineLevel="0" collapsed="false">
      <c r="A24" s="38" t="s">
        <v>39</v>
      </c>
      <c r="B24" s="10" t="s">
        <v>227</v>
      </c>
      <c r="C24" s="10" t="s">
        <v>254</v>
      </c>
      <c r="D24" s="38" t="s">
        <v>256</v>
      </c>
      <c r="E24" s="10"/>
      <c r="F24" s="38"/>
      <c r="G24" s="38"/>
      <c r="H24" s="38"/>
      <c r="I24" s="38"/>
      <c r="J24" s="38"/>
      <c r="K24" s="38"/>
      <c r="L24" s="38" t="e">
        <f aca="false">K24*100/H24</f>
        <v>#DIV/0!</v>
      </c>
      <c r="M24" s="38"/>
      <c r="N24" s="38" t="e">
        <f aca="false">M24*100/H24</f>
        <v>#DIV/0!</v>
      </c>
      <c r="O24" s="38"/>
      <c r="P24" s="38"/>
      <c r="Q24" s="39" t="s">
        <v>45</v>
      </c>
      <c r="R24" s="39" t="s">
        <v>257</v>
      </c>
      <c r="S24" s="38"/>
      <c r="T24" s="45"/>
      <c r="U24" s="38"/>
      <c r="V24" s="38"/>
      <c r="W24" s="38"/>
      <c r="X24" s="38"/>
      <c r="Y24" s="38"/>
      <c r="Z24" s="38"/>
      <c r="AA24" s="41" t="s">
        <v>45</v>
      </c>
      <c r="AB24" s="41" t="n">
        <v>3</v>
      </c>
      <c r="AC24" s="46"/>
      <c r="AD24" s="38" t="n">
        <v>24.44227</v>
      </c>
      <c r="AE24" s="38" t="n">
        <v>76.38733</v>
      </c>
    </row>
    <row r="25" customFormat="false" ht="15" hidden="false" customHeight="false" outlineLevel="0" collapsed="false">
      <c r="A25" s="38" t="s">
        <v>39</v>
      </c>
      <c r="B25" s="10" t="s">
        <v>227</v>
      </c>
      <c r="C25" s="10" t="s">
        <v>254</v>
      </c>
      <c r="D25" s="38" t="s">
        <v>258</v>
      </c>
      <c r="E25" s="10"/>
      <c r="F25" s="38"/>
      <c r="G25" s="38"/>
      <c r="H25" s="38"/>
      <c r="I25" s="38"/>
      <c r="J25" s="38"/>
      <c r="K25" s="38"/>
      <c r="L25" s="38" t="e">
        <f aca="false">K25*100/H25</f>
        <v>#DIV/0!</v>
      </c>
      <c r="M25" s="38"/>
      <c r="N25" s="38" t="e">
        <f aca="false">M25*100/H25</f>
        <v>#DIV/0!</v>
      </c>
      <c r="O25" s="38"/>
      <c r="P25" s="38"/>
      <c r="Q25" s="23" t="s">
        <v>45</v>
      </c>
      <c r="R25" s="23" t="s">
        <v>257</v>
      </c>
      <c r="S25" s="38"/>
      <c r="T25" s="16" t="n">
        <v>27.97</v>
      </c>
      <c r="U25" s="38"/>
      <c r="V25" s="38"/>
      <c r="W25" s="38"/>
      <c r="X25" s="38"/>
      <c r="Y25" s="38"/>
      <c r="Z25" s="38"/>
      <c r="AA25" s="12" t="s">
        <v>150</v>
      </c>
      <c r="AB25" s="12" t="n">
        <v>23.9482</v>
      </c>
      <c r="AC25" s="46"/>
      <c r="AD25" s="47" t="n">
        <v>24.44698</v>
      </c>
      <c r="AE25" s="47" t="n">
        <v>76.3805516</v>
      </c>
    </row>
    <row r="26" customFormat="false" ht="15" hidden="false" customHeight="false" outlineLevel="0" collapsed="false">
      <c r="A26" s="38" t="s">
        <v>39</v>
      </c>
      <c r="B26" s="10" t="s">
        <v>227</v>
      </c>
      <c r="C26" s="10" t="s">
        <v>254</v>
      </c>
      <c r="D26" s="38" t="s">
        <v>259</v>
      </c>
      <c r="E26" s="10" t="n">
        <v>104199</v>
      </c>
      <c r="F26" s="38" t="n">
        <v>267.96</v>
      </c>
      <c r="G26" s="38" t="n">
        <v>5</v>
      </c>
      <c r="H26" s="38" t="n">
        <v>19</v>
      </c>
      <c r="I26" s="38" t="n">
        <v>5</v>
      </c>
      <c r="J26" s="38" t="n">
        <v>14</v>
      </c>
      <c r="K26" s="38" t="n">
        <v>0</v>
      </c>
      <c r="L26" s="38" t="n">
        <f aca="false">K26*100/H26</f>
        <v>0</v>
      </c>
      <c r="M26" s="38" t="n">
        <v>19</v>
      </c>
      <c r="N26" s="38" t="n">
        <f aca="false">M26*100/H26</f>
        <v>100</v>
      </c>
      <c r="O26" s="38" t="n">
        <v>0</v>
      </c>
      <c r="P26" s="38" t="n">
        <v>133.21</v>
      </c>
      <c r="Q26" s="12" t="s">
        <v>49</v>
      </c>
      <c r="R26" s="14" t="s">
        <v>253</v>
      </c>
      <c r="S26" s="38"/>
      <c r="T26" s="46"/>
      <c r="U26" s="38"/>
      <c r="V26" s="38"/>
      <c r="W26" s="38"/>
      <c r="X26" s="38"/>
      <c r="Y26" s="38"/>
      <c r="Z26" s="38"/>
      <c r="AA26" s="10"/>
      <c r="AB26" s="10"/>
      <c r="AC26" s="48"/>
      <c r="AD26" s="48"/>
      <c r="AE26" s="48"/>
    </row>
    <row r="27" customFormat="false" ht="15" hidden="false" customHeight="false" outlineLevel="0" collapsed="false">
      <c r="A27" s="38" t="s">
        <v>39</v>
      </c>
      <c r="B27" s="10" t="s">
        <v>227</v>
      </c>
      <c r="C27" s="10" t="s">
        <v>254</v>
      </c>
      <c r="D27" s="38" t="s">
        <v>260</v>
      </c>
      <c r="E27" s="10" t="n">
        <v>104200</v>
      </c>
      <c r="F27" s="38" t="n">
        <v>204.39</v>
      </c>
      <c r="G27" s="38" t="n">
        <v>59</v>
      </c>
      <c r="H27" s="38" t="n">
        <v>272</v>
      </c>
      <c r="I27" s="38" t="n">
        <v>129</v>
      </c>
      <c r="J27" s="38" t="n">
        <v>143</v>
      </c>
      <c r="K27" s="38" t="n">
        <v>266</v>
      </c>
      <c r="L27" s="38" t="n">
        <f aca="false">K27*100/H27</f>
        <v>97.7941176470588</v>
      </c>
      <c r="M27" s="38" t="n">
        <v>6</v>
      </c>
      <c r="N27" s="38" t="n">
        <f aca="false">M27*100/H27</f>
        <v>2.20588235294118</v>
      </c>
      <c r="O27" s="38" t="n">
        <v>0</v>
      </c>
      <c r="P27" s="38" t="n">
        <v>104.95</v>
      </c>
      <c r="Q27" s="12" t="s">
        <v>49</v>
      </c>
      <c r="R27" s="14" t="s">
        <v>253</v>
      </c>
      <c r="S27" s="38"/>
      <c r="T27" s="48"/>
      <c r="U27" s="38"/>
      <c r="V27" s="38"/>
      <c r="W27" s="38"/>
      <c r="X27" s="38"/>
      <c r="Y27" s="38"/>
      <c r="Z27" s="38"/>
      <c r="AA27" s="49"/>
      <c r="AB27" s="10"/>
      <c r="AC27" s="50"/>
      <c r="AD27" s="46" t="n">
        <v>24.41748</v>
      </c>
      <c r="AE27" s="46" t="n">
        <v>76.379249</v>
      </c>
    </row>
    <row r="28" customFormat="false" ht="15" hidden="false" customHeight="false" outlineLevel="0" collapsed="false">
      <c r="A28" s="38" t="s">
        <v>39</v>
      </c>
      <c r="B28" s="10" t="s">
        <v>227</v>
      </c>
      <c r="C28" s="10" t="s">
        <v>254</v>
      </c>
      <c r="D28" s="38" t="s">
        <v>261</v>
      </c>
      <c r="E28" s="10" t="n">
        <v>104201</v>
      </c>
      <c r="F28" s="38" t="n">
        <v>426.25</v>
      </c>
      <c r="G28" s="38" t="n">
        <v>44</v>
      </c>
      <c r="H28" s="38" t="n">
        <v>198</v>
      </c>
      <c r="I28" s="38" t="n">
        <v>107</v>
      </c>
      <c r="J28" s="38" t="n">
        <v>91</v>
      </c>
      <c r="K28" s="38" t="n">
        <v>30</v>
      </c>
      <c r="L28" s="38" t="n">
        <f aca="false">K28*100/H28</f>
        <v>15.1515151515152</v>
      </c>
      <c r="M28" s="38" t="n">
        <v>0</v>
      </c>
      <c r="N28" s="38" t="n">
        <f aca="false">M28*100/H28</f>
        <v>0</v>
      </c>
      <c r="O28" s="38" t="n">
        <v>0</v>
      </c>
      <c r="P28" s="38" t="n">
        <v>296.87</v>
      </c>
      <c r="Q28" s="39" t="s">
        <v>45</v>
      </c>
      <c r="R28" s="39" t="s">
        <v>262</v>
      </c>
      <c r="S28" s="38"/>
      <c r="T28" s="50"/>
      <c r="U28" s="38"/>
      <c r="V28" s="38"/>
      <c r="W28" s="38"/>
      <c r="X28" s="38"/>
      <c r="Y28" s="38"/>
      <c r="Z28" s="38"/>
      <c r="AA28" s="41" t="s">
        <v>45</v>
      </c>
      <c r="AB28" s="41" t="n">
        <v>4</v>
      </c>
      <c r="AC28" s="51"/>
      <c r="AD28" s="46" t="n">
        <v>24.4101</v>
      </c>
      <c r="AE28" s="46" t="n">
        <v>76.3881</v>
      </c>
    </row>
    <row r="29" customFormat="false" ht="15" hidden="false" customHeight="false" outlineLevel="0" collapsed="false">
      <c r="A29" s="38" t="s">
        <v>39</v>
      </c>
      <c r="B29" s="10" t="s">
        <v>227</v>
      </c>
      <c r="C29" s="10" t="s">
        <v>254</v>
      </c>
      <c r="D29" s="38" t="s">
        <v>168</v>
      </c>
      <c r="E29" s="10" t="n">
        <v>104197</v>
      </c>
      <c r="F29" s="38" t="n">
        <v>482.84</v>
      </c>
      <c r="G29" s="38" t="n">
        <v>323</v>
      </c>
      <c r="H29" s="38" t="n">
        <v>1389</v>
      </c>
      <c r="I29" s="38" t="n">
        <v>689</v>
      </c>
      <c r="J29" s="38" t="n">
        <v>700</v>
      </c>
      <c r="K29" s="38" t="n">
        <v>0</v>
      </c>
      <c r="L29" s="38" t="n">
        <f aca="false">K29*100/H29</f>
        <v>0</v>
      </c>
      <c r="M29" s="38" t="n">
        <v>6</v>
      </c>
      <c r="N29" s="38" t="n">
        <f aca="false">M29*100/H29</f>
        <v>0.431965442764579</v>
      </c>
      <c r="O29" s="38" t="n">
        <v>84.53</v>
      </c>
      <c r="P29" s="38" t="n">
        <v>0</v>
      </c>
      <c r="Q29" s="23" t="s">
        <v>45</v>
      </c>
      <c r="R29" s="23" t="s">
        <v>262</v>
      </c>
      <c r="S29" s="38"/>
      <c r="T29" s="52" t="n">
        <v>31.1701</v>
      </c>
      <c r="U29" s="38"/>
      <c r="V29" s="38" t="s">
        <v>49</v>
      </c>
      <c r="W29" s="38"/>
      <c r="X29" s="38"/>
      <c r="Y29" s="38"/>
      <c r="Z29" s="38"/>
      <c r="AA29" s="12" t="s">
        <v>150</v>
      </c>
      <c r="AB29" s="12" t="n">
        <v>17.2582</v>
      </c>
      <c r="AC29" s="38"/>
      <c r="AD29" s="42" t="n">
        <v>24.4339</v>
      </c>
      <c r="AE29" s="42" t="n">
        <v>76.375468</v>
      </c>
    </row>
    <row r="30" customFormat="false" ht="15" hidden="false" customHeight="false" outlineLevel="0" collapsed="false">
      <c r="A30" s="38" t="s">
        <v>39</v>
      </c>
      <c r="B30" s="10" t="s">
        <v>227</v>
      </c>
      <c r="C30" s="10" t="s">
        <v>263</v>
      </c>
      <c r="D30" s="38" t="s">
        <v>264</v>
      </c>
      <c r="E30" s="10" t="n">
        <v>104002</v>
      </c>
      <c r="F30" s="38" t="n">
        <v>457.26</v>
      </c>
      <c r="G30" s="38" t="n">
        <v>155</v>
      </c>
      <c r="H30" s="38" t="n">
        <v>759</v>
      </c>
      <c r="I30" s="38" t="n">
        <v>391</v>
      </c>
      <c r="J30" s="38" t="n">
        <v>368</v>
      </c>
      <c r="K30" s="38" t="n">
        <v>2</v>
      </c>
      <c r="L30" s="38" t="n">
        <f aca="false">K30*100/H30</f>
        <v>0.263504611330698</v>
      </c>
      <c r="M30" s="38" t="n">
        <v>228</v>
      </c>
      <c r="N30" s="38" t="n">
        <f aca="false">M30*100/H30</f>
        <v>30.0395256916996</v>
      </c>
      <c r="O30" s="38" t="n">
        <v>0</v>
      </c>
      <c r="P30" s="38" t="n">
        <v>294.31</v>
      </c>
      <c r="Q30" s="10"/>
      <c r="R30" s="10"/>
      <c r="S30" s="38"/>
      <c r="T30" s="16"/>
      <c r="U30" s="38"/>
      <c r="V30" s="38"/>
      <c r="W30" s="38"/>
      <c r="X30" s="38"/>
      <c r="Y30" s="38"/>
      <c r="Z30" s="38"/>
      <c r="AA30" s="49"/>
      <c r="AB30" s="49"/>
      <c r="AC30" s="51"/>
      <c r="AD30" s="51"/>
      <c r="AE30" s="51"/>
    </row>
    <row r="31" customFormat="false" ht="15" hidden="false" customHeight="false" outlineLevel="0" collapsed="false">
      <c r="A31" s="38" t="s">
        <v>39</v>
      </c>
      <c r="B31" s="10" t="s">
        <v>227</v>
      </c>
      <c r="C31" s="10" t="s">
        <v>263</v>
      </c>
      <c r="D31" s="38" t="s">
        <v>265</v>
      </c>
      <c r="E31" s="10" t="n">
        <v>104012</v>
      </c>
      <c r="F31" s="38" t="n">
        <v>339.39</v>
      </c>
      <c r="G31" s="38" t="n">
        <v>76</v>
      </c>
      <c r="H31" s="38" t="n">
        <v>401</v>
      </c>
      <c r="I31" s="38" t="n">
        <v>217</v>
      </c>
      <c r="J31" s="38" t="n">
        <v>184</v>
      </c>
      <c r="K31" s="38" t="n">
        <v>0</v>
      </c>
      <c r="L31" s="38" t="n">
        <f aca="false">K31*100/H31</f>
        <v>0</v>
      </c>
      <c r="M31" s="38" t="n">
        <v>222</v>
      </c>
      <c r="N31" s="38" t="n">
        <f aca="false">M31*100/H31</f>
        <v>55.3615960099751</v>
      </c>
      <c r="O31" s="38" t="n">
        <v>0</v>
      </c>
      <c r="P31" s="38" t="n">
        <v>163.82</v>
      </c>
      <c r="Q31" s="53"/>
      <c r="R31" s="10"/>
      <c r="S31" s="38"/>
      <c r="T31" s="51"/>
      <c r="U31" s="38"/>
      <c r="V31" s="38"/>
      <c r="W31" s="38"/>
      <c r="X31" s="38"/>
      <c r="Y31" s="38"/>
      <c r="Z31" s="38"/>
      <c r="AA31" s="10"/>
      <c r="AB31" s="10"/>
      <c r="AC31" s="10"/>
      <c r="AD31" s="38"/>
      <c r="AE31" s="38"/>
    </row>
    <row r="32" customFormat="false" ht="15" hidden="false" customHeight="false" outlineLevel="0" collapsed="false">
      <c r="A32" s="38" t="s">
        <v>39</v>
      </c>
      <c r="B32" s="10" t="s">
        <v>227</v>
      </c>
      <c r="C32" s="10" t="s">
        <v>263</v>
      </c>
      <c r="D32" s="38" t="s">
        <v>266</v>
      </c>
      <c r="E32" s="10" t="n">
        <v>104015</v>
      </c>
      <c r="F32" s="38" t="n">
        <v>206.92</v>
      </c>
      <c r="G32" s="38" t="n">
        <v>85</v>
      </c>
      <c r="H32" s="38" t="n">
        <v>387</v>
      </c>
      <c r="I32" s="38" t="n">
        <v>195</v>
      </c>
      <c r="J32" s="38" t="n">
        <v>192</v>
      </c>
      <c r="K32" s="38" t="n">
        <v>134</v>
      </c>
      <c r="L32" s="38" t="n">
        <f aca="false">K32*100/H32</f>
        <v>34.625322997416</v>
      </c>
      <c r="M32" s="38" t="n">
        <v>135</v>
      </c>
      <c r="N32" s="38" t="n">
        <f aca="false">M32*100/H32</f>
        <v>34.8837209302326</v>
      </c>
      <c r="O32" s="38" t="n">
        <v>0</v>
      </c>
      <c r="P32" s="38" t="n">
        <v>2</v>
      </c>
      <c r="Q32" s="15"/>
      <c r="R32" s="18" t="s">
        <v>267</v>
      </c>
      <c r="S32" s="38"/>
      <c r="T32" s="38"/>
      <c r="U32" s="38"/>
      <c r="V32" s="38"/>
      <c r="W32" s="38"/>
      <c r="X32" s="38"/>
      <c r="Y32" s="38"/>
      <c r="Z32" s="38"/>
      <c r="AA32" s="16" t="s">
        <v>45</v>
      </c>
      <c r="AB32" s="16" t="n">
        <v>5</v>
      </c>
      <c r="AC32" s="10"/>
      <c r="AD32" s="54"/>
      <c r="AE32" s="54"/>
    </row>
    <row r="33" s="55" customFormat="true" ht="16.15" hidden="false" customHeight="true" outlineLevel="0" collapsed="false">
      <c r="A33" s="50" t="s">
        <v>39</v>
      </c>
      <c r="B33" s="11" t="s">
        <v>227</v>
      </c>
      <c r="C33" s="11" t="s">
        <v>263</v>
      </c>
      <c r="D33" s="50" t="s">
        <v>268</v>
      </c>
      <c r="E33" s="11" t="n">
        <v>104017</v>
      </c>
      <c r="F33" s="50" t="n">
        <v>1082.86</v>
      </c>
      <c r="G33" s="50" t="n">
        <v>471</v>
      </c>
      <c r="H33" s="50" t="n">
        <v>2270</v>
      </c>
      <c r="I33" s="50" t="n">
        <v>1167</v>
      </c>
      <c r="J33" s="50" t="n">
        <v>1103</v>
      </c>
      <c r="K33" s="50" t="n">
        <v>670</v>
      </c>
      <c r="L33" s="38" t="n">
        <f aca="false">K33*100/H33</f>
        <v>29.5154185022026</v>
      </c>
      <c r="M33" s="50" t="n">
        <v>697</v>
      </c>
      <c r="N33" s="38" t="n">
        <f aca="false">M33*100/H33</f>
        <v>30.704845814978</v>
      </c>
      <c r="O33" s="50" t="n">
        <v>22.16</v>
      </c>
      <c r="P33" s="50" t="n">
        <v>257.31</v>
      </c>
      <c r="Q33" s="15" t="s">
        <v>45</v>
      </c>
      <c r="R33" s="18" t="s">
        <v>267</v>
      </c>
      <c r="S33" s="50"/>
      <c r="T33" s="50" t="n">
        <v>15.9</v>
      </c>
      <c r="U33" s="50"/>
      <c r="V33" s="50" t="s">
        <v>49</v>
      </c>
      <c r="W33" s="50"/>
      <c r="X33" s="50"/>
      <c r="Y33" s="50"/>
      <c r="Z33" s="50"/>
      <c r="AA33" s="16" t="s">
        <v>43</v>
      </c>
      <c r="AB33" s="16" t="n">
        <v>20.2909</v>
      </c>
      <c r="AC33" s="16" t="s">
        <v>269</v>
      </c>
      <c r="AD33" s="15" t="n">
        <v>24.631277</v>
      </c>
      <c r="AE33" s="15" t="n">
        <v>76.129308</v>
      </c>
    </row>
    <row r="34" customFormat="false" ht="15" hidden="false" customHeight="false" outlineLevel="0" collapsed="false">
      <c r="A34" s="38" t="s">
        <v>39</v>
      </c>
      <c r="B34" s="10" t="s">
        <v>227</v>
      </c>
      <c r="C34" s="10" t="s">
        <v>263</v>
      </c>
      <c r="D34" s="38" t="s">
        <v>270</v>
      </c>
      <c r="E34" s="10" t="n">
        <v>104018</v>
      </c>
      <c r="F34" s="38" t="n">
        <v>122.21</v>
      </c>
      <c r="G34" s="38" t="n">
        <v>139</v>
      </c>
      <c r="H34" s="38" t="n">
        <v>617</v>
      </c>
      <c r="I34" s="38" t="n">
        <v>303</v>
      </c>
      <c r="J34" s="38" t="n">
        <v>314</v>
      </c>
      <c r="K34" s="38" t="n">
        <v>47</v>
      </c>
      <c r="L34" s="38" t="n">
        <f aca="false">K34*100/H34</f>
        <v>7.61750405186386</v>
      </c>
      <c r="M34" s="38" t="n">
        <v>568</v>
      </c>
      <c r="N34" s="38" t="n">
        <f aca="false">M34*100/H34</f>
        <v>92.0583468395462</v>
      </c>
      <c r="O34" s="38" t="n">
        <v>7.06</v>
      </c>
      <c r="P34" s="38" t="n">
        <v>29.85</v>
      </c>
      <c r="Q34" s="12" t="s">
        <v>43</v>
      </c>
      <c r="R34" s="12" t="s">
        <v>271</v>
      </c>
      <c r="S34" s="38"/>
      <c r="T34" s="46" t="n">
        <v>8.0043</v>
      </c>
      <c r="U34" s="38"/>
      <c r="V34" s="38"/>
      <c r="W34" s="38"/>
      <c r="X34" s="38"/>
      <c r="Y34" s="38"/>
      <c r="Z34" s="38"/>
      <c r="AA34" s="12" t="s">
        <v>272</v>
      </c>
      <c r="AB34" s="12" t="n">
        <v>0</v>
      </c>
      <c r="AC34" s="10"/>
      <c r="AD34" s="38"/>
      <c r="AE34" s="38"/>
    </row>
    <row r="35" customFormat="false" ht="15" hidden="false" customHeight="false" outlineLevel="0" collapsed="false">
      <c r="A35" s="38" t="s">
        <v>39</v>
      </c>
      <c r="B35" s="10" t="s">
        <v>227</v>
      </c>
      <c r="C35" s="10" t="s">
        <v>273</v>
      </c>
      <c r="D35" s="38" t="s">
        <v>274</v>
      </c>
      <c r="E35" s="10" t="n">
        <v>104111</v>
      </c>
      <c r="F35" s="38" t="n">
        <v>244.75</v>
      </c>
      <c r="G35" s="38" t="n">
        <v>35</v>
      </c>
      <c r="H35" s="38" t="n">
        <v>155</v>
      </c>
      <c r="I35" s="38" t="n">
        <v>87</v>
      </c>
      <c r="J35" s="38" t="n">
        <v>68</v>
      </c>
      <c r="K35" s="38" t="n">
        <v>0</v>
      </c>
      <c r="L35" s="38" t="n">
        <f aca="false">K35*100/H35</f>
        <v>0</v>
      </c>
      <c r="M35" s="38" t="n">
        <v>126</v>
      </c>
      <c r="N35" s="38" t="n">
        <f aca="false">M35*100/H35</f>
        <v>81.2903225806452</v>
      </c>
      <c r="O35" s="38" t="n">
        <v>8.72</v>
      </c>
      <c r="P35" s="38" t="n">
        <v>80.32</v>
      </c>
      <c r="Q35" s="12" t="s">
        <v>43</v>
      </c>
      <c r="R35" s="12" t="s">
        <v>275</v>
      </c>
      <c r="S35" s="38"/>
      <c r="T35" s="51"/>
      <c r="U35" s="38"/>
      <c r="V35" s="38"/>
      <c r="W35" s="38"/>
      <c r="X35" s="38"/>
      <c r="Y35" s="38"/>
      <c r="Z35" s="38"/>
      <c r="AA35" s="12" t="s">
        <v>47</v>
      </c>
      <c r="AB35" s="12" t="n">
        <v>0</v>
      </c>
      <c r="AC35" s="51"/>
      <c r="AD35" s="51"/>
      <c r="AE35" s="51"/>
    </row>
    <row r="36" customFormat="false" ht="15" hidden="false" customHeight="false" outlineLevel="0" collapsed="false">
      <c r="A36" s="38" t="s">
        <v>39</v>
      </c>
      <c r="B36" s="10" t="s">
        <v>227</v>
      </c>
      <c r="C36" s="10" t="s">
        <v>273</v>
      </c>
      <c r="D36" s="38" t="s">
        <v>276</v>
      </c>
      <c r="E36" s="10" t="n">
        <v>104075</v>
      </c>
      <c r="F36" s="38" t="n">
        <v>280</v>
      </c>
      <c r="G36" s="38" t="n">
        <v>133</v>
      </c>
      <c r="H36" s="38" t="n">
        <v>676</v>
      </c>
      <c r="I36" s="38" t="n">
        <v>344</v>
      </c>
      <c r="J36" s="38" t="n">
        <v>332</v>
      </c>
      <c r="K36" s="38" t="n">
        <v>42</v>
      </c>
      <c r="L36" s="38" t="n">
        <f aca="false">K36*100/H36</f>
        <v>6.21301775147929</v>
      </c>
      <c r="M36" s="38" t="n">
        <v>499</v>
      </c>
      <c r="N36" s="38" t="n">
        <f aca="false">M36*100/H36</f>
        <v>73.8165680473373</v>
      </c>
      <c r="O36" s="38" t="n">
        <v>18</v>
      </c>
      <c r="P36" s="38" t="n">
        <v>84</v>
      </c>
      <c r="Q36" s="12" t="s">
        <v>43</v>
      </c>
      <c r="R36" s="12" t="s">
        <v>275</v>
      </c>
      <c r="S36" s="38"/>
      <c r="T36" s="51"/>
      <c r="U36" s="38"/>
      <c r="V36" s="38"/>
      <c r="W36" s="38"/>
      <c r="X36" s="38"/>
      <c r="Y36" s="38"/>
      <c r="Z36" s="38"/>
      <c r="AA36" s="12" t="s">
        <v>47</v>
      </c>
      <c r="AB36" s="12" t="n">
        <v>0</v>
      </c>
      <c r="AC36" s="46"/>
      <c r="AD36" s="46" t="n">
        <v>24.5141</v>
      </c>
      <c r="AE36" s="46" t="n">
        <v>76.1814</v>
      </c>
    </row>
    <row r="37" customFormat="false" ht="15" hidden="false" customHeight="false" outlineLevel="0" collapsed="false">
      <c r="A37" s="38" t="s">
        <v>39</v>
      </c>
      <c r="B37" s="10" t="s">
        <v>227</v>
      </c>
      <c r="C37" s="10" t="s">
        <v>273</v>
      </c>
      <c r="D37" s="38" t="s">
        <v>277</v>
      </c>
      <c r="E37" s="10" t="n">
        <v>104076</v>
      </c>
      <c r="F37" s="38" t="n">
        <v>336</v>
      </c>
      <c r="G37" s="38" t="n">
        <v>72</v>
      </c>
      <c r="H37" s="38" t="n">
        <v>356</v>
      </c>
      <c r="I37" s="38" t="n">
        <v>195</v>
      </c>
      <c r="J37" s="38" t="n">
        <v>161</v>
      </c>
      <c r="K37" s="38" t="n">
        <v>193</v>
      </c>
      <c r="L37" s="38" t="n">
        <f aca="false">K37*100/H37</f>
        <v>54.2134831460674</v>
      </c>
      <c r="M37" s="38" t="n">
        <v>50</v>
      </c>
      <c r="N37" s="38" t="n">
        <f aca="false">M37*100/H37</f>
        <v>14.0449438202247</v>
      </c>
      <c r="O37" s="38" t="n">
        <v>17</v>
      </c>
      <c r="P37" s="38" t="n">
        <v>89</v>
      </c>
      <c r="Q37" s="12" t="s">
        <v>43</v>
      </c>
      <c r="R37" s="12" t="s">
        <v>275</v>
      </c>
      <c r="S37" s="38"/>
      <c r="T37" s="46"/>
      <c r="U37" s="38"/>
      <c r="V37" s="38"/>
      <c r="W37" s="38"/>
      <c r="X37" s="38"/>
      <c r="Y37" s="38"/>
      <c r="Z37" s="38"/>
      <c r="AA37" s="10"/>
      <c r="AB37" s="10"/>
      <c r="AC37" s="46"/>
      <c r="AD37" s="46" t="n">
        <v>24.5232</v>
      </c>
      <c r="AE37" s="46" t="n">
        <v>76.1827</v>
      </c>
    </row>
    <row r="38" customFormat="false" ht="15" hidden="false" customHeight="false" outlineLevel="0" collapsed="false">
      <c r="A38" s="38" t="s">
        <v>39</v>
      </c>
      <c r="B38" s="10" t="s">
        <v>227</v>
      </c>
      <c r="C38" s="10" t="s">
        <v>273</v>
      </c>
      <c r="D38" s="38" t="s">
        <v>278</v>
      </c>
      <c r="E38" s="10" t="n">
        <v>104077</v>
      </c>
      <c r="F38" s="38" t="n">
        <v>248</v>
      </c>
      <c r="G38" s="38" t="n">
        <v>104</v>
      </c>
      <c r="H38" s="38" t="n">
        <v>491</v>
      </c>
      <c r="I38" s="38" t="n">
        <v>258</v>
      </c>
      <c r="J38" s="38" t="n">
        <v>233</v>
      </c>
      <c r="K38" s="38" t="n">
        <v>166</v>
      </c>
      <c r="L38" s="38" t="n">
        <f aca="false">K38*100/H38</f>
        <v>33.8085539714868</v>
      </c>
      <c r="M38" s="38" t="n">
        <v>126</v>
      </c>
      <c r="N38" s="38" t="n">
        <f aca="false">M38*100/H38</f>
        <v>25.6619144602851</v>
      </c>
      <c r="O38" s="38" t="n">
        <v>0</v>
      </c>
      <c r="P38" s="38" t="n">
        <v>76</v>
      </c>
      <c r="Q38" s="12" t="s">
        <v>43</v>
      </c>
      <c r="R38" s="12" t="s">
        <v>275</v>
      </c>
      <c r="S38" s="38"/>
      <c r="T38" s="46"/>
      <c r="U38" s="38"/>
      <c r="V38" s="38"/>
      <c r="W38" s="38"/>
      <c r="X38" s="38"/>
      <c r="Y38" s="38"/>
      <c r="Z38" s="38"/>
      <c r="AA38" s="12" t="s">
        <v>47</v>
      </c>
      <c r="AB38" s="12" t="n">
        <v>0</v>
      </c>
      <c r="AC38" s="51"/>
      <c r="AD38" s="51"/>
      <c r="AE38" s="51"/>
    </row>
    <row r="39" customFormat="false" ht="15" hidden="false" customHeight="false" outlineLevel="0" collapsed="false">
      <c r="A39" s="38" t="s">
        <v>39</v>
      </c>
      <c r="B39" s="10" t="s">
        <v>227</v>
      </c>
      <c r="C39" s="10" t="s">
        <v>273</v>
      </c>
      <c r="D39" s="38" t="s">
        <v>279</v>
      </c>
      <c r="E39" s="10" t="n">
        <v>104083</v>
      </c>
      <c r="F39" s="38" t="n">
        <v>92.62</v>
      </c>
      <c r="G39" s="38" t="n">
        <v>64</v>
      </c>
      <c r="H39" s="38" t="n">
        <v>253</v>
      </c>
      <c r="I39" s="38" t="n">
        <v>127</v>
      </c>
      <c r="J39" s="38" t="n">
        <v>126</v>
      </c>
      <c r="K39" s="38" t="n">
        <v>0</v>
      </c>
      <c r="L39" s="38" t="n">
        <f aca="false">K39*100/H39</f>
        <v>0</v>
      </c>
      <c r="M39" s="38" t="n">
        <v>0</v>
      </c>
      <c r="N39" s="38" t="n">
        <f aca="false">M39*100/H39</f>
        <v>0</v>
      </c>
      <c r="O39" s="38" t="n">
        <v>16.77</v>
      </c>
      <c r="P39" s="38" t="n">
        <v>2.54</v>
      </c>
      <c r="Q39" s="49"/>
      <c r="R39" s="10"/>
      <c r="S39" s="38"/>
      <c r="T39" s="51"/>
      <c r="U39" s="38"/>
      <c r="V39" s="38"/>
      <c r="W39" s="38"/>
      <c r="X39" s="38"/>
      <c r="Y39" s="38"/>
      <c r="Z39" s="38"/>
      <c r="AA39" s="10"/>
      <c r="AB39" s="10"/>
      <c r="AC39" s="46"/>
      <c r="AD39" s="46" t="n">
        <v>24.5273</v>
      </c>
      <c r="AE39" s="46" t="n">
        <v>76.2148</v>
      </c>
    </row>
    <row r="40" customFormat="false" ht="15" hidden="false" customHeight="false" outlineLevel="0" collapsed="false">
      <c r="A40" s="38" t="s">
        <v>39</v>
      </c>
      <c r="B40" s="10" t="s">
        <v>227</v>
      </c>
      <c r="C40" s="10" t="s">
        <v>280</v>
      </c>
      <c r="D40" s="38" t="s">
        <v>281</v>
      </c>
      <c r="E40" s="10" t="n">
        <v>104079</v>
      </c>
      <c r="F40" s="38" t="n">
        <v>352.81</v>
      </c>
      <c r="G40" s="38" t="n">
        <v>376</v>
      </c>
      <c r="H40" s="38" t="n">
        <v>2021</v>
      </c>
      <c r="I40" s="38" t="n">
        <v>1026</v>
      </c>
      <c r="J40" s="38" t="n">
        <v>995</v>
      </c>
      <c r="K40" s="38" t="n">
        <v>172</v>
      </c>
      <c r="L40" s="38" t="n">
        <f aca="false">K40*100/H40</f>
        <v>8.51063829787234</v>
      </c>
      <c r="M40" s="38" t="n">
        <v>57</v>
      </c>
      <c r="N40" s="38" t="n">
        <f aca="false">M40*100/H40</f>
        <v>2.82038594755072</v>
      </c>
      <c r="O40" s="38" t="n">
        <v>85.75</v>
      </c>
      <c r="P40" s="38" t="n">
        <v>0</v>
      </c>
      <c r="Q40" s="23" t="s">
        <v>45</v>
      </c>
      <c r="R40" s="23"/>
      <c r="S40" s="38"/>
      <c r="T40" s="48"/>
      <c r="U40" s="38"/>
      <c r="V40" s="38" t="s">
        <v>49</v>
      </c>
      <c r="W40" s="38"/>
      <c r="X40" s="38"/>
      <c r="Y40" s="38"/>
      <c r="Z40" s="38"/>
      <c r="AA40" s="12" t="s">
        <v>150</v>
      </c>
      <c r="AB40" s="12" t="n">
        <v>16</v>
      </c>
      <c r="AC40" s="16" t="s">
        <v>282</v>
      </c>
      <c r="AD40" s="17" t="n">
        <v>24.556302</v>
      </c>
      <c r="AE40" s="17" t="n">
        <v>76.205706</v>
      </c>
    </row>
    <row r="41" customFormat="false" ht="15" hidden="false" customHeight="false" outlineLevel="0" collapsed="false">
      <c r="A41" s="38" t="s">
        <v>39</v>
      </c>
      <c r="B41" s="10" t="s">
        <v>227</v>
      </c>
      <c r="C41" s="10" t="s">
        <v>280</v>
      </c>
      <c r="D41" s="38" t="s">
        <v>281</v>
      </c>
      <c r="E41" s="10"/>
      <c r="F41" s="38"/>
      <c r="G41" s="38"/>
      <c r="H41" s="38"/>
      <c r="I41" s="38"/>
      <c r="J41" s="38"/>
      <c r="K41" s="38"/>
      <c r="L41" s="38" t="e">
        <f aca="false">K41*100/H41</f>
        <v>#DIV/0!</v>
      </c>
      <c r="M41" s="38"/>
      <c r="N41" s="38" t="e">
        <f aca="false">M41*100/H41</f>
        <v>#DIV/0!</v>
      </c>
      <c r="O41" s="38"/>
      <c r="P41" s="38"/>
      <c r="Q41" s="23" t="s">
        <v>45</v>
      </c>
      <c r="R41" s="23"/>
      <c r="S41" s="38"/>
      <c r="T41" s="16"/>
      <c r="U41" s="38"/>
      <c r="V41" s="38"/>
      <c r="W41" s="38"/>
      <c r="X41" s="38"/>
      <c r="Y41" s="38"/>
      <c r="Z41" s="38"/>
      <c r="AA41" s="12" t="s">
        <v>150</v>
      </c>
      <c r="AB41" s="12" t="n">
        <v>10</v>
      </c>
      <c r="AC41" s="46"/>
      <c r="AD41" s="56" t="n">
        <v>24.556069</v>
      </c>
      <c r="AE41" s="56" t="n">
        <v>76.205796</v>
      </c>
    </row>
    <row r="42" customFormat="false" ht="15" hidden="false" customHeight="false" outlineLevel="0" collapsed="false">
      <c r="A42" s="38" t="s">
        <v>39</v>
      </c>
      <c r="B42" s="10" t="s">
        <v>227</v>
      </c>
      <c r="C42" s="10" t="s">
        <v>280</v>
      </c>
      <c r="D42" s="38" t="s">
        <v>281</v>
      </c>
      <c r="E42" s="10"/>
      <c r="F42" s="38"/>
      <c r="G42" s="38"/>
      <c r="H42" s="38"/>
      <c r="I42" s="38"/>
      <c r="J42" s="38"/>
      <c r="K42" s="38"/>
      <c r="L42" s="38" t="e">
        <f aca="false">K42*100/H42</f>
        <v>#DIV/0!</v>
      </c>
      <c r="M42" s="38"/>
      <c r="N42" s="38" t="e">
        <f aca="false">M42*100/H42</f>
        <v>#DIV/0!</v>
      </c>
      <c r="O42" s="38"/>
      <c r="P42" s="38"/>
      <c r="Q42" s="23" t="s">
        <v>45</v>
      </c>
      <c r="R42" s="23"/>
      <c r="S42" s="38"/>
      <c r="T42" s="46"/>
      <c r="U42" s="38"/>
      <c r="V42" s="38"/>
      <c r="W42" s="38"/>
      <c r="X42" s="38"/>
      <c r="Y42" s="38"/>
      <c r="Z42" s="38"/>
      <c r="AA42" s="12" t="s">
        <v>150</v>
      </c>
      <c r="AB42" s="12" t="n">
        <v>15</v>
      </c>
      <c r="AC42" s="46"/>
      <c r="AD42" s="56" t="n">
        <v>24.560777</v>
      </c>
      <c r="AE42" s="56" t="n">
        <v>76.205884</v>
      </c>
    </row>
    <row r="43" customFormat="false" ht="15" hidden="false" customHeight="false" outlineLevel="0" collapsed="false">
      <c r="A43" s="38" t="s">
        <v>39</v>
      </c>
      <c r="B43" s="10" t="s">
        <v>227</v>
      </c>
      <c r="C43" s="10" t="s">
        <v>280</v>
      </c>
      <c r="D43" s="38" t="s">
        <v>281</v>
      </c>
      <c r="E43" s="10"/>
      <c r="F43" s="38"/>
      <c r="G43" s="38"/>
      <c r="H43" s="38"/>
      <c r="I43" s="38"/>
      <c r="J43" s="38"/>
      <c r="K43" s="38"/>
      <c r="L43" s="38" t="e">
        <f aca="false">K43*100/H43</f>
        <v>#DIV/0!</v>
      </c>
      <c r="M43" s="38"/>
      <c r="N43" s="38" t="e">
        <f aca="false">M43*100/H43</f>
        <v>#DIV/0!</v>
      </c>
      <c r="O43" s="38"/>
      <c r="P43" s="38"/>
      <c r="Q43" s="23" t="s">
        <v>45</v>
      </c>
      <c r="R43" s="23"/>
      <c r="S43" s="38"/>
      <c r="T43" s="46"/>
      <c r="U43" s="38"/>
      <c r="V43" s="38"/>
      <c r="W43" s="38"/>
      <c r="X43" s="38"/>
      <c r="Y43" s="38"/>
      <c r="Z43" s="38"/>
      <c r="AA43" s="12" t="s">
        <v>43</v>
      </c>
      <c r="AB43" s="12" t="n">
        <v>6</v>
      </c>
      <c r="AC43" s="46"/>
      <c r="AD43" s="56" t="n">
        <v>24.556636</v>
      </c>
      <c r="AE43" s="56" t="n">
        <v>76.203836</v>
      </c>
    </row>
    <row r="44" customFormat="false" ht="15" hidden="false" customHeight="false" outlineLevel="0" collapsed="false">
      <c r="A44" s="38" t="s">
        <v>39</v>
      </c>
      <c r="B44" s="10" t="s">
        <v>227</v>
      </c>
      <c r="C44" s="10" t="s">
        <v>280</v>
      </c>
      <c r="D44" s="38" t="s">
        <v>281</v>
      </c>
      <c r="E44" s="10"/>
      <c r="F44" s="38"/>
      <c r="G44" s="38"/>
      <c r="H44" s="38"/>
      <c r="I44" s="38"/>
      <c r="J44" s="38"/>
      <c r="K44" s="38"/>
      <c r="L44" s="38" t="e">
        <f aca="false">K44*100/H44</f>
        <v>#DIV/0!</v>
      </c>
      <c r="M44" s="38"/>
      <c r="N44" s="38" t="e">
        <f aca="false">M44*100/H44</f>
        <v>#DIV/0!</v>
      </c>
      <c r="O44" s="38"/>
      <c r="P44" s="38"/>
      <c r="Q44" s="49"/>
      <c r="R44" s="10"/>
      <c r="S44" s="38"/>
      <c r="T44" s="46"/>
      <c r="U44" s="38"/>
      <c r="V44" s="38"/>
      <c r="W44" s="38"/>
      <c r="X44" s="38"/>
      <c r="Y44" s="38"/>
      <c r="Z44" s="38"/>
      <c r="AA44" s="49"/>
      <c r="AB44" s="49"/>
      <c r="AC44" s="46"/>
      <c r="AD44" s="56" t="n">
        <v>24.556447</v>
      </c>
      <c r="AE44" s="56" t="n">
        <v>76.205543</v>
      </c>
    </row>
    <row r="45" customFormat="false" ht="15" hidden="false" customHeight="false" outlineLevel="0" collapsed="false">
      <c r="A45" s="38" t="s">
        <v>39</v>
      </c>
      <c r="B45" s="10" t="s">
        <v>227</v>
      </c>
      <c r="C45" s="10" t="s">
        <v>283</v>
      </c>
      <c r="D45" s="38" t="s">
        <v>284</v>
      </c>
      <c r="E45" s="10" t="n">
        <v>104157</v>
      </c>
      <c r="F45" s="38" t="n">
        <v>582.2</v>
      </c>
      <c r="G45" s="38" t="n">
        <v>422</v>
      </c>
      <c r="H45" s="38" t="n">
        <v>2297</v>
      </c>
      <c r="I45" s="38" t="n">
        <v>1204</v>
      </c>
      <c r="J45" s="38" t="n">
        <v>1093</v>
      </c>
      <c r="K45" s="38" t="n">
        <v>372</v>
      </c>
      <c r="L45" s="38" t="n">
        <f aca="false">K45*100/H45</f>
        <v>16.1950370047889</v>
      </c>
      <c r="M45" s="38" t="n">
        <v>536</v>
      </c>
      <c r="N45" s="38" t="n">
        <f aca="false">M45*100/H45</f>
        <v>23.3347845015237</v>
      </c>
      <c r="O45" s="38" t="n">
        <v>52.11</v>
      </c>
      <c r="P45" s="38" t="n">
        <v>13.67</v>
      </c>
      <c r="Q45" s="12" t="s">
        <v>43</v>
      </c>
      <c r="R45" s="12" t="s">
        <v>285</v>
      </c>
      <c r="S45" s="38"/>
      <c r="T45" s="38"/>
      <c r="U45" s="38"/>
      <c r="V45" s="38"/>
      <c r="W45" s="38"/>
      <c r="X45" s="38"/>
      <c r="Y45" s="38"/>
      <c r="Z45" s="38"/>
      <c r="AA45" s="49"/>
      <c r="AB45" s="49"/>
      <c r="AC45" s="10"/>
      <c r="AD45" s="38"/>
      <c r="AE45" s="38"/>
    </row>
    <row r="46" customFormat="false" ht="15" hidden="false" customHeight="false" outlineLevel="0" collapsed="false">
      <c r="A46" s="38" t="s">
        <v>39</v>
      </c>
      <c r="B46" s="10" t="s">
        <v>227</v>
      </c>
      <c r="C46" s="10" t="s">
        <v>286</v>
      </c>
      <c r="D46" s="38" t="s">
        <v>287</v>
      </c>
      <c r="E46" s="10" t="n">
        <v>104130</v>
      </c>
      <c r="F46" s="38" t="n">
        <v>454.65</v>
      </c>
      <c r="G46" s="38" t="n">
        <v>201</v>
      </c>
      <c r="H46" s="38" t="n">
        <v>890</v>
      </c>
      <c r="I46" s="38" t="n">
        <v>464</v>
      </c>
      <c r="J46" s="38" t="n">
        <v>426</v>
      </c>
      <c r="K46" s="38" t="n">
        <v>256</v>
      </c>
      <c r="L46" s="38" t="n">
        <f aca="false">K46*100/H46</f>
        <v>28.7640449438202</v>
      </c>
      <c r="M46" s="38" t="n">
        <v>47</v>
      </c>
      <c r="N46" s="38" t="n">
        <f aca="false">M46*100/H46</f>
        <v>5.28089887640449</v>
      </c>
      <c r="O46" s="38" t="n">
        <v>9.12</v>
      </c>
      <c r="P46" s="38" t="n">
        <v>69.34</v>
      </c>
      <c r="Q46" s="15" t="s">
        <v>45</v>
      </c>
      <c r="R46" s="15"/>
      <c r="S46" s="38"/>
      <c r="T46" s="38"/>
      <c r="U46" s="38"/>
      <c r="V46" s="38"/>
      <c r="W46" s="38"/>
      <c r="X46" s="38"/>
      <c r="Y46" s="38"/>
      <c r="Z46" s="38"/>
      <c r="AA46" s="16" t="s">
        <v>45</v>
      </c>
      <c r="AB46" s="16" t="n">
        <v>5</v>
      </c>
      <c r="AC46" s="10"/>
      <c r="AD46" s="46" t="n">
        <v>24.443962</v>
      </c>
      <c r="AE46" s="46" t="n">
        <v>76.096303</v>
      </c>
    </row>
    <row r="47" customFormat="false" ht="15" hidden="false" customHeight="false" outlineLevel="0" collapsed="false">
      <c r="A47" s="38" t="s">
        <v>39</v>
      </c>
      <c r="B47" s="10" t="s">
        <v>227</v>
      </c>
      <c r="C47" s="10" t="s">
        <v>288</v>
      </c>
      <c r="D47" s="38" t="s">
        <v>289</v>
      </c>
      <c r="E47" s="10" t="n">
        <v>104131</v>
      </c>
      <c r="F47" s="38" t="n">
        <v>182.9</v>
      </c>
      <c r="G47" s="38" t="n">
        <v>88</v>
      </c>
      <c r="H47" s="38" t="n">
        <v>406</v>
      </c>
      <c r="I47" s="38" t="n">
        <v>212</v>
      </c>
      <c r="J47" s="38" t="n">
        <v>194</v>
      </c>
      <c r="K47" s="38" t="n">
        <v>125</v>
      </c>
      <c r="L47" s="38" t="n">
        <f aca="false">K47*100/H47</f>
        <v>30.7881773399015</v>
      </c>
      <c r="M47" s="38" t="n">
        <v>50</v>
      </c>
      <c r="N47" s="38" t="n">
        <f aca="false">M47*100/H47</f>
        <v>12.3152709359606</v>
      </c>
      <c r="O47" s="38" t="n">
        <v>10.96</v>
      </c>
      <c r="P47" s="38" t="n">
        <v>0</v>
      </c>
      <c r="Q47" s="12" t="s">
        <v>43</v>
      </c>
      <c r="R47" s="12" t="s">
        <v>285</v>
      </c>
      <c r="S47" s="38"/>
      <c r="T47" s="38"/>
      <c r="U47" s="38" t="s">
        <v>49</v>
      </c>
      <c r="V47" s="38"/>
      <c r="W47" s="38"/>
      <c r="X47" s="38"/>
      <c r="Y47" s="38"/>
      <c r="Z47" s="38"/>
      <c r="AA47" s="12"/>
      <c r="AB47" s="12"/>
      <c r="AC47" s="16"/>
      <c r="AD47" s="17" t="n">
        <v>24.450136</v>
      </c>
      <c r="AE47" s="17" t="n">
        <v>76.096363</v>
      </c>
    </row>
    <row r="48" customFormat="false" ht="21" hidden="false" customHeight="false" outlineLevel="0" collapsed="false">
      <c r="A48" s="38" t="s">
        <v>39</v>
      </c>
      <c r="B48" s="10" t="s">
        <v>227</v>
      </c>
      <c r="C48" s="10" t="s">
        <v>286</v>
      </c>
      <c r="D48" s="38" t="s">
        <v>290</v>
      </c>
      <c r="E48" s="10" t="n">
        <v>104133</v>
      </c>
      <c r="F48" s="38" t="n">
        <v>438.57</v>
      </c>
      <c r="G48" s="38" t="n">
        <v>196</v>
      </c>
      <c r="H48" s="38" t="n">
        <v>905</v>
      </c>
      <c r="I48" s="38" t="n">
        <v>491</v>
      </c>
      <c r="J48" s="38" t="n">
        <v>414</v>
      </c>
      <c r="K48" s="38" t="n">
        <v>116</v>
      </c>
      <c r="L48" s="38" t="n">
        <f aca="false">K48*100/H48</f>
        <v>12.817679558011</v>
      </c>
      <c r="M48" s="38" t="n">
        <v>121</v>
      </c>
      <c r="N48" s="38" t="n">
        <f aca="false">M48*100/H48</f>
        <v>13.3701657458564</v>
      </c>
      <c r="O48" s="38" t="n">
        <v>27.61</v>
      </c>
      <c r="P48" s="38" t="n">
        <v>0</v>
      </c>
      <c r="Q48" s="12" t="s">
        <v>43</v>
      </c>
      <c r="R48" s="12" t="s">
        <v>285</v>
      </c>
      <c r="S48" s="38"/>
      <c r="T48" s="16"/>
      <c r="U48" s="38"/>
      <c r="V48" s="38"/>
      <c r="W48" s="38"/>
      <c r="X48" s="38"/>
      <c r="Y48" s="38"/>
      <c r="Z48" s="38"/>
      <c r="AA48" s="44"/>
      <c r="AB48" s="44"/>
      <c r="AC48" s="46"/>
      <c r="AD48" s="46" t="n">
        <v>24.439013</v>
      </c>
      <c r="AE48" s="46" t="n">
        <v>76.096884</v>
      </c>
    </row>
    <row r="49" customFormat="false" ht="21" hidden="false" customHeight="false" outlineLevel="0" collapsed="false">
      <c r="A49" s="38" t="s">
        <v>39</v>
      </c>
      <c r="B49" s="10" t="s">
        <v>227</v>
      </c>
      <c r="C49" s="10" t="s">
        <v>286</v>
      </c>
      <c r="D49" s="38" t="s">
        <v>291</v>
      </c>
      <c r="E49" s="10" t="n">
        <v>104134</v>
      </c>
      <c r="F49" s="38" t="n">
        <v>339.88</v>
      </c>
      <c r="G49" s="38" t="n">
        <v>81</v>
      </c>
      <c r="H49" s="38" t="n">
        <v>381</v>
      </c>
      <c r="I49" s="38" t="n">
        <v>188</v>
      </c>
      <c r="J49" s="38" t="n">
        <v>193</v>
      </c>
      <c r="K49" s="38" t="n">
        <v>17</v>
      </c>
      <c r="L49" s="38" t="n">
        <f aca="false">K49*100/H49</f>
        <v>4.46194225721785</v>
      </c>
      <c r="M49" s="38" t="n">
        <v>0</v>
      </c>
      <c r="N49" s="38" t="n">
        <f aca="false">M49*100/H49</f>
        <v>0</v>
      </c>
      <c r="O49" s="38" t="n">
        <v>23.13</v>
      </c>
      <c r="P49" s="38" t="n">
        <v>42.29</v>
      </c>
      <c r="Q49" s="12" t="s">
        <v>43</v>
      </c>
      <c r="R49" s="12" t="s">
        <v>285</v>
      </c>
      <c r="S49" s="38"/>
      <c r="T49" s="46"/>
      <c r="U49" s="38"/>
      <c r="V49" s="38"/>
      <c r="W49" s="38"/>
      <c r="X49" s="38"/>
      <c r="Y49" s="38"/>
      <c r="Z49" s="38"/>
      <c r="AA49" s="44"/>
      <c r="AB49" s="44"/>
      <c r="AC49" s="45"/>
      <c r="AD49" s="46" t="n">
        <v>24.421451</v>
      </c>
      <c r="AE49" s="46" t="n">
        <v>76.111835</v>
      </c>
    </row>
    <row r="50" customFormat="false" ht="21" hidden="false" customHeight="false" outlineLevel="0" collapsed="false">
      <c r="A50" s="38" t="s">
        <v>39</v>
      </c>
      <c r="B50" s="10" t="s">
        <v>227</v>
      </c>
      <c r="C50" s="10" t="s">
        <v>286</v>
      </c>
      <c r="D50" s="38" t="s">
        <v>292</v>
      </c>
      <c r="E50" s="10" t="n">
        <v>104136</v>
      </c>
      <c r="F50" s="38" t="n">
        <v>257.18</v>
      </c>
      <c r="G50" s="38" t="n">
        <v>126</v>
      </c>
      <c r="H50" s="38" t="n">
        <v>674</v>
      </c>
      <c r="I50" s="38" t="n">
        <v>337</v>
      </c>
      <c r="J50" s="38" t="n">
        <v>337</v>
      </c>
      <c r="K50" s="38" t="n">
        <v>234</v>
      </c>
      <c r="L50" s="38" t="n">
        <f aca="false">K50*100/H50</f>
        <v>34.7181008902077</v>
      </c>
      <c r="M50" s="38" t="n">
        <v>113</v>
      </c>
      <c r="N50" s="38" t="n">
        <f aca="false">M50*100/H50</f>
        <v>16.7655786350148</v>
      </c>
      <c r="O50" s="38" t="n">
        <v>22.15</v>
      </c>
      <c r="P50" s="38" t="n">
        <v>7.11</v>
      </c>
      <c r="Q50" s="12" t="s">
        <v>43</v>
      </c>
      <c r="R50" s="12" t="s">
        <v>285</v>
      </c>
      <c r="S50" s="38"/>
      <c r="T50" s="45"/>
      <c r="U50" s="38"/>
      <c r="V50" s="38"/>
      <c r="W50" s="38"/>
      <c r="X50" s="38"/>
      <c r="Y50" s="38"/>
      <c r="Z50" s="38"/>
      <c r="AA50" s="44"/>
      <c r="AB50" s="44"/>
      <c r="AC50" s="45"/>
      <c r="AD50" s="46" t="n">
        <v>24.443878</v>
      </c>
      <c r="AE50" s="46" t="n">
        <v>76.133666</v>
      </c>
    </row>
    <row r="51" customFormat="false" ht="18.75" hidden="false" customHeight="false" outlineLevel="0" collapsed="false">
      <c r="A51" s="38" t="s">
        <v>39</v>
      </c>
      <c r="B51" s="10" t="s">
        <v>227</v>
      </c>
      <c r="C51" s="10" t="s">
        <v>286</v>
      </c>
      <c r="D51" s="38" t="s">
        <v>293</v>
      </c>
      <c r="E51" s="10" t="n">
        <v>104135</v>
      </c>
      <c r="F51" s="38" t="n">
        <v>106.96</v>
      </c>
      <c r="G51" s="38" t="n">
        <v>53</v>
      </c>
      <c r="H51" s="38" t="n">
        <v>261</v>
      </c>
      <c r="I51" s="38" t="n">
        <v>134</v>
      </c>
      <c r="J51" s="38" t="n">
        <v>127</v>
      </c>
      <c r="K51" s="38" t="n">
        <v>19</v>
      </c>
      <c r="L51" s="38" t="n">
        <f aca="false">K51*100/H51</f>
        <v>7.27969348659004</v>
      </c>
      <c r="M51" s="38" t="n">
        <v>0</v>
      </c>
      <c r="N51" s="38" t="n">
        <f aca="false">M51*100/H51</f>
        <v>0</v>
      </c>
      <c r="O51" s="38" t="n">
        <v>10.44</v>
      </c>
      <c r="P51" s="38" t="n">
        <v>27.2</v>
      </c>
      <c r="Q51" s="12" t="s">
        <v>45</v>
      </c>
      <c r="R51" s="12" t="s">
        <v>294</v>
      </c>
      <c r="S51" s="38"/>
      <c r="T51" s="45"/>
      <c r="U51" s="38"/>
      <c r="V51" s="38"/>
      <c r="W51" s="38"/>
      <c r="X51" s="38"/>
      <c r="Y51" s="38"/>
      <c r="Z51" s="38"/>
      <c r="AA51" s="12" t="s">
        <v>45</v>
      </c>
      <c r="AB51" s="12" t="n">
        <v>1</v>
      </c>
      <c r="AC51" s="45"/>
      <c r="AD51" s="46" t="n">
        <v>24.3473</v>
      </c>
      <c r="AE51" s="46" t="n">
        <v>76.1722</v>
      </c>
    </row>
    <row r="52" customFormat="false" ht="18.75" hidden="false" customHeight="false" outlineLevel="0" collapsed="false">
      <c r="A52" s="38" t="s">
        <v>39</v>
      </c>
      <c r="B52" s="10" t="s">
        <v>227</v>
      </c>
      <c r="C52" s="10" t="s">
        <v>295</v>
      </c>
      <c r="D52" s="38" t="s">
        <v>296</v>
      </c>
      <c r="E52" s="10" t="n">
        <v>104155</v>
      </c>
      <c r="F52" s="38" t="n">
        <v>402</v>
      </c>
      <c r="G52" s="38" t="n">
        <v>173</v>
      </c>
      <c r="H52" s="38" t="n">
        <v>913</v>
      </c>
      <c r="I52" s="38" t="n">
        <v>478</v>
      </c>
      <c r="J52" s="38" t="n">
        <v>435</v>
      </c>
      <c r="K52" s="38" t="n">
        <v>63</v>
      </c>
      <c r="L52" s="38" t="n">
        <f aca="false">K52*100/H52</f>
        <v>6.90032858707558</v>
      </c>
      <c r="M52" s="38" t="n">
        <v>168</v>
      </c>
      <c r="N52" s="38" t="n">
        <f aca="false">M52*100/H52</f>
        <v>18.4008762322015</v>
      </c>
      <c r="O52" s="38" t="n">
        <v>11</v>
      </c>
      <c r="P52" s="38" t="n">
        <v>323</v>
      </c>
      <c r="Q52" s="12" t="s">
        <v>45</v>
      </c>
      <c r="R52" s="12" t="s">
        <v>294</v>
      </c>
      <c r="S52" s="38"/>
      <c r="T52" s="45"/>
      <c r="U52" s="38"/>
      <c r="V52" s="38"/>
      <c r="W52" s="38"/>
      <c r="X52" s="38"/>
      <c r="Y52" s="38"/>
      <c r="Z52" s="38"/>
      <c r="AA52" s="12"/>
      <c r="AB52" s="12"/>
      <c r="AC52" s="46"/>
      <c r="AD52" s="46" t="n">
        <v>24.453329</v>
      </c>
      <c r="AE52" s="46" t="n">
        <v>76.287153</v>
      </c>
    </row>
    <row r="53" customFormat="false" ht="15" hidden="false" customHeight="false" outlineLevel="0" collapsed="false">
      <c r="A53" s="38" t="s">
        <v>39</v>
      </c>
      <c r="B53" s="10" t="s">
        <v>227</v>
      </c>
      <c r="C53" s="10" t="s">
        <v>295</v>
      </c>
      <c r="D53" s="38" t="s">
        <v>297</v>
      </c>
      <c r="E53" s="10" t="n">
        <v>103995</v>
      </c>
      <c r="F53" s="38" t="n">
        <v>1055.85</v>
      </c>
      <c r="G53" s="38"/>
      <c r="H53" s="38" t="n">
        <v>0</v>
      </c>
      <c r="I53" s="38"/>
      <c r="J53" s="38"/>
      <c r="K53" s="38"/>
      <c r="L53" s="38" t="e">
        <f aca="false">K53*100/H53</f>
        <v>#DIV/0!</v>
      </c>
      <c r="M53" s="38"/>
      <c r="N53" s="38" t="e">
        <f aca="false">M53*100/H53</f>
        <v>#DIV/0!</v>
      </c>
      <c r="O53" s="38" t="n">
        <v>18.05</v>
      </c>
      <c r="P53" s="38" t="n">
        <v>1025.95</v>
      </c>
      <c r="Q53" s="12" t="s">
        <v>45</v>
      </c>
      <c r="R53" s="12" t="s">
        <v>294</v>
      </c>
      <c r="S53" s="38"/>
      <c r="T53" s="46" t="n">
        <v>6.6639</v>
      </c>
      <c r="U53" s="38"/>
      <c r="V53" s="38"/>
      <c r="W53" s="38"/>
      <c r="X53" s="38"/>
      <c r="Y53" s="38"/>
      <c r="Z53" s="38"/>
      <c r="AA53" s="12" t="s">
        <v>45</v>
      </c>
      <c r="AB53" s="12" t="n">
        <v>0.5</v>
      </c>
      <c r="AC53" s="46"/>
      <c r="AD53" s="46"/>
      <c r="AE53" s="46"/>
    </row>
    <row r="54" customFormat="false" ht="15" hidden="false" customHeight="false" outlineLevel="0" collapsed="false">
      <c r="A54" s="38" t="s">
        <v>39</v>
      </c>
      <c r="B54" s="10" t="s">
        <v>227</v>
      </c>
      <c r="C54" s="10" t="s">
        <v>295</v>
      </c>
      <c r="D54" s="38" t="s">
        <v>298</v>
      </c>
      <c r="E54" s="10" t="n">
        <v>104154</v>
      </c>
      <c r="F54" s="38" t="n">
        <v>201.4</v>
      </c>
      <c r="G54" s="38" t="n">
        <v>59</v>
      </c>
      <c r="H54" s="38" t="n">
        <v>295</v>
      </c>
      <c r="I54" s="38" t="n">
        <v>133</v>
      </c>
      <c r="J54" s="38" t="n">
        <v>162</v>
      </c>
      <c r="K54" s="38" t="n">
        <v>0</v>
      </c>
      <c r="L54" s="38" t="n">
        <f aca="false">K54*100/H54</f>
        <v>0</v>
      </c>
      <c r="M54" s="38" t="n">
        <v>295</v>
      </c>
      <c r="N54" s="38" t="n">
        <f aca="false">M54*100/H54</f>
        <v>100</v>
      </c>
      <c r="O54" s="38" t="n">
        <v>1.63</v>
      </c>
      <c r="P54" s="38" t="n">
        <v>131.02</v>
      </c>
      <c r="Q54" s="12" t="s">
        <v>45</v>
      </c>
      <c r="R54" s="12" t="s">
        <v>294</v>
      </c>
      <c r="S54" s="38"/>
      <c r="T54" s="46"/>
      <c r="U54" s="38"/>
      <c r="V54" s="38"/>
      <c r="W54" s="38"/>
      <c r="X54" s="38"/>
      <c r="Y54" s="38"/>
      <c r="Z54" s="38"/>
      <c r="AA54" s="12"/>
      <c r="AB54" s="12"/>
      <c r="AC54" s="46"/>
      <c r="AD54" s="46" t="n">
        <v>24.452174</v>
      </c>
      <c r="AE54" s="46" t="n">
        <v>76.27589</v>
      </c>
    </row>
    <row r="55" customFormat="false" ht="18.75" hidden="false" customHeight="false" outlineLevel="0" collapsed="false">
      <c r="A55" s="38" t="s">
        <v>39</v>
      </c>
      <c r="B55" s="10" t="s">
        <v>227</v>
      </c>
      <c r="C55" s="10" t="s">
        <v>295</v>
      </c>
      <c r="D55" s="38" t="s">
        <v>299</v>
      </c>
      <c r="E55" s="10" t="n">
        <v>104156</v>
      </c>
      <c r="F55" s="38" t="n">
        <v>235.17</v>
      </c>
      <c r="G55" s="38" t="n">
        <v>412</v>
      </c>
      <c r="H55" s="38" t="n">
        <v>2002</v>
      </c>
      <c r="I55" s="38" t="n">
        <v>1043</v>
      </c>
      <c r="J55" s="38" t="n">
        <v>959</v>
      </c>
      <c r="K55" s="38" t="n">
        <v>524</v>
      </c>
      <c r="L55" s="38" t="n">
        <f aca="false">K55*100/H55</f>
        <v>26.1738261738262</v>
      </c>
      <c r="M55" s="38" t="n">
        <v>241</v>
      </c>
      <c r="N55" s="38" t="n">
        <f aca="false">M55*100/H55</f>
        <v>12.037962037962</v>
      </c>
      <c r="O55" s="38" t="n">
        <v>8.81</v>
      </c>
      <c r="P55" s="38" t="n">
        <v>14.3</v>
      </c>
      <c r="Q55" s="43"/>
      <c r="R55" s="10"/>
      <c r="S55" s="38"/>
      <c r="T55" s="46" t="n">
        <v>1.6312</v>
      </c>
      <c r="U55" s="38"/>
      <c r="V55" s="38"/>
      <c r="W55" s="38"/>
      <c r="X55" s="38"/>
      <c r="Y55" s="38"/>
      <c r="Z55" s="38"/>
      <c r="AA55" s="12"/>
      <c r="AB55" s="12"/>
      <c r="AC55" s="46"/>
      <c r="AD55" s="46"/>
      <c r="AE55" s="46"/>
    </row>
    <row r="56" customFormat="false" ht="18.75" hidden="false" customHeight="false" outlineLevel="0" collapsed="false">
      <c r="A56" s="38" t="s">
        <v>39</v>
      </c>
      <c r="B56" s="10" t="s">
        <v>227</v>
      </c>
      <c r="C56" s="10" t="s">
        <v>295</v>
      </c>
      <c r="D56" s="38" t="s">
        <v>300</v>
      </c>
      <c r="E56" s="10" t="n">
        <v>104162</v>
      </c>
      <c r="F56" s="38" t="n">
        <v>107.31</v>
      </c>
      <c r="G56" s="38"/>
      <c r="H56" s="38" t="n">
        <v>0</v>
      </c>
      <c r="I56" s="38"/>
      <c r="J56" s="38"/>
      <c r="K56" s="38"/>
      <c r="L56" s="38" t="e">
        <f aca="false">K56*100/H56</f>
        <v>#DIV/0!</v>
      </c>
      <c r="M56" s="38"/>
      <c r="N56" s="38" t="e">
        <f aca="false">M56*100/H56</f>
        <v>#DIV/0!</v>
      </c>
      <c r="O56" s="38" t="n">
        <v>0</v>
      </c>
      <c r="P56" s="38" t="n">
        <v>0</v>
      </c>
      <c r="Q56" s="12" t="s">
        <v>45</v>
      </c>
      <c r="R56" s="12" t="s">
        <v>294</v>
      </c>
      <c r="S56" s="38"/>
      <c r="T56" s="46"/>
      <c r="U56" s="38"/>
      <c r="V56" s="38"/>
      <c r="W56" s="38"/>
      <c r="X56" s="38"/>
      <c r="Y56" s="38"/>
      <c r="Z56" s="38"/>
      <c r="AA56" s="12" t="s">
        <v>45</v>
      </c>
      <c r="AB56" s="12" t="n">
        <v>1</v>
      </c>
      <c r="AC56" s="45"/>
      <c r="AD56" s="45"/>
      <c r="AE56" s="45"/>
    </row>
    <row r="57" customFormat="false" ht="15" hidden="false" customHeight="false" outlineLevel="0" collapsed="false">
      <c r="A57" s="38" t="s">
        <v>39</v>
      </c>
      <c r="B57" s="10" t="s">
        <v>227</v>
      </c>
      <c r="C57" s="10" t="s">
        <v>295</v>
      </c>
      <c r="D57" s="38" t="s">
        <v>301</v>
      </c>
      <c r="E57" s="10" t="n">
        <v>104164</v>
      </c>
      <c r="F57" s="38" t="n">
        <v>352.5</v>
      </c>
      <c r="G57" s="38" t="n">
        <v>131</v>
      </c>
      <c r="H57" s="38" t="n">
        <v>652</v>
      </c>
      <c r="I57" s="38" t="n">
        <v>341</v>
      </c>
      <c r="J57" s="38" t="n">
        <v>311</v>
      </c>
      <c r="K57" s="38" t="n">
        <v>0</v>
      </c>
      <c r="L57" s="38" t="n">
        <f aca="false">K57*100/H57</f>
        <v>0</v>
      </c>
      <c r="M57" s="38" t="n">
        <v>510</v>
      </c>
      <c r="N57" s="38" t="n">
        <f aca="false">M57*100/H57</f>
        <v>78.2208588957055</v>
      </c>
      <c r="O57" s="38" t="n">
        <v>4.02</v>
      </c>
      <c r="P57" s="38" t="n">
        <v>135.25</v>
      </c>
      <c r="Q57" s="12" t="s">
        <v>45</v>
      </c>
      <c r="R57" s="12" t="s">
        <v>294</v>
      </c>
      <c r="S57" s="38"/>
      <c r="T57" s="46"/>
      <c r="U57" s="38"/>
      <c r="V57" s="38"/>
      <c r="W57" s="38"/>
      <c r="X57" s="38"/>
      <c r="Y57" s="38"/>
      <c r="Z57" s="38"/>
      <c r="AA57" s="12" t="s">
        <v>45</v>
      </c>
      <c r="AB57" s="12" t="n">
        <v>0.5</v>
      </c>
      <c r="AC57" s="46"/>
      <c r="AD57" s="46" t="n">
        <v>24.4385</v>
      </c>
      <c r="AE57" s="46" t="n">
        <v>76.30299</v>
      </c>
    </row>
    <row r="58" customFormat="false" ht="15" hidden="false" customHeight="false" outlineLevel="0" collapsed="false">
      <c r="A58" s="38" t="s">
        <v>39</v>
      </c>
      <c r="B58" s="10" t="s">
        <v>227</v>
      </c>
      <c r="C58" s="10" t="s">
        <v>295</v>
      </c>
      <c r="D58" s="38" t="s">
        <v>302</v>
      </c>
      <c r="E58" s="10" t="n">
        <v>104153</v>
      </c>
      <c r="F58" s="38" t="n">
        <v>138.25</v>
      </c>
      <c r="G58" s="38" t="n">
        <v>132</v>
      </c>
      <c r="H58" s="38" t="n">
        <v>665</v>
      </c>
      <c r="I58" s="38" t="n">
        <v>343</v>
      </c>
      <c r="J58" s="38" t="n">
        <v>322</v>
      </c>
      <c r="K58" s="38" t="n">
        <v>46</v>
      </c>
      <c r="L58" s="38" t="n">
        <f aca="false">K58*100/H58</f>
        <v>6.91729323308271</v>
      </c>
      <c r="M58" s="38" t="n">
        <v>0</v>
      </c>
      <c r="N58" s="38" t="n">
        <f aca="false">M58*100/H58</f>
        <v>0</v>
      </c>
      <c r="O58" s="38" t="n">
        <v>8.89</v>
      </c>
      <c r="P58" s="38" t="n">
        <v>0</v>
      </c>
      <c r="Q58" s="15" t="s">
        <v>45</v>
      </c>
      <c r="R58" s="15"/>
      <c r="S58" s="38"/>
      <c r="T58" s="46" t="n">
        <v>4.7925</v>
      </c>
      <c r="U58" s="38"/>
      <c r="V58" s="38"/>
      <c r="W58" s="38"/>
      <c r="X58" s="38"/>
      <c r="Y58" s="38"/>
      <c r="Z58" s="38"/>
      <c r="AA58" s="16" t="s">
        <v>45</v>
      </c>
      <c r="AB58" s="16" t="n">
        <v>5</v>
      </c>
      <c r="AC58" s="46"/>
      <c r="AD58" s="46" t="n">
        <v>24.970873</v>
      </c>
      <c r="AE58" s="46" t="n">
        <v>76.303048</v>
      </c>
    </row>
    <row r="59" customFormat="false" ht="21" hidden="false" customHeight="false" outlineLevel="0" collapsed="false">
      <c r="A59" s="38" t="s">
        <v>39</v>
      </c>
      <c r="B59" s="10" t="s">
        <v>227</v>
      </c>
      <c r="C59" s="10" t="s">
        <v>303</v>
      </c>
      <c r="D59" s="38" t="s">
        <v>304</v>
      </c>
      <c r="E59" s="10" t="n">
        <v>104007</v>
      </c>
      <c r="F59" s="38" t="n">
        <v>291.69</v>
      </c>
      <c r="G59" s="38" t="n">
        <v>143</v>
      </c>
      <c r="H59" s="38" t="n">
        <v>814</v>
      </c>
      <c r="I59" s="38" t="n">
        <v>425</v>
      </c>
      <c r="J59" s="38" t="n">
        <v>389</v>
      </c>
      <c r="K59" s="38" t="n">
        <v>14</v>
      </c>
      <c r="L59" s="38" t="n">
        <f aca="false">K59*100/H59</f>
        <v>1.71990171990172</v>
      </c>
      <c r="M59" s="38" t="n">
        <v>0</v>
      </c>
      <c r="N59" s="38" t="n">
        <f aca="false">M59*100/H59</f>
        <v>0</v>
      </c>
      <c r="O59" s="38" t="n">
        <v>18.19</v>
      </c>
      <c r="P59" s="38" t="n">
        <v>205.69</v>
      </c>
      <c r="Q59" s="43"/>
      <c r="R59" s="10"/>
      <c r="S59" s="38"/>
      <c r="T59" s="46" t="n">
        <v>11.3614</v>
      </c>
      <c r="U59" s="38"/>
      <c r="V59" s="38"/>
      <c r="W59" s="38"/>
      <c r="X59" s="38"/>
      <c r="Y59" s="38"/>
      <c r="Z59" s="38"/>
      <c r="AA59" s="44"/>
      <c r="AB59" s="10"/>
      <c r="AC59" s="16"/>
      <c r="AD59" s="17" t="n">
        <v>24.60733</v>
      </c>
      <c r="AE59" s="17" t="n">
        <v>76.066733</v>
      </c>
    </row>
    <row r="60" customFormat="false" ht="18.75" hidden="false" customHeight="false" outlineLevel="0" collapsed="false">
      <c r="A60" s="38" t="s">
        <v>39</v>
      </c>
      <c r="B60" s="10" t="s">
        <v>227</v>
      </c>
      <c r="C60" s="10" t="s">
        <v>303</v>
      </c>
      <c r="D60" s="38" t="s">
        <v>305</v>
      </c>
      <c r="E60" s="10" t="n">
        <v>104008</v>
      </c>
      <c r="F60" s="38" t="n">
        <v>199.14</v>
      </c>
      <c r="G60" s="38" t="n">
        <v>114</v>
      </c>
      <c r="H60" s="38" t="n">
        <v>616</v>
      </c>
      <c r="I60" s="38" t="n">
        <v>306</v>
      </c>
      <c r="J60" s="38" t="n">
        <v>310</v>
      </c>
      <c r="K60" s="38" t="n">
        <v>8</v>
      </c>
      <c r="L60" s="38" t="n">
        <f aca="false">K60*100/H60</f>
        <v>1.2987012987013</v>
      </c>
      <c r="M60" s="38" t="n">
        <v>0</v>
      </c>
      <c r="N60" s="38" t="n">
        <f aca="false">M60*100/H60</f>
        <v>0</v>
      </c>
      <c r="O60" s="38" t="n">
        <v>0</v>
      </c>
      <c r="P60" s="38" t="n">
        <v>73.81</v>
      </c>
      <c r="Q60" s="15" t="s">
        <v>45</v>
      </c>
      <c r="R60" s="15"/>
      <c r="S60" s="38"/>
      <c r="T60" s="16"/>
      <c r="U60" s="38"/>
      <c r="V60" s="38"/>
      <c r="W60" s="38"/>
      <c r="X60" s="38"/>
      <c r="Y60" s="38"/>
      <c r="Z60" s="38"/>
      <c r="AA60" s="16" t="s">
        <v>45</v>
      </c>
      <c r="AB60" s="16" t="n">
        <v>2</v>
      </c>
      <c r="AC60" s="45"/>
      <c r="AD60" s="45"/>
      <c r="AE60" s="45"/>
    </row>
    <row r="61" customFormat="false" ht="18.75" hidden="false" customHeight="false" outlineLevel="0" collapsed="false">
      <c r="A61" s="38" t="s">
        <v>39</v>
      </c>
      <c r="B61" s="10" t="s">
        <v>227</v>
      </c>
      <c r="C61" s="10" t="s">
        <v>303</v>
      </c>
      <c r="D61" s="38" t="s">
        <v>306</v>
      </c>
      <c r="E61" s="10" t="n">
        <v>104009</v>
      </c>
      <c r="F61" s="38" t="n">
        <v>617.92</v>
      </c>
      <c r="G61" s="38" t="n">
        <v>308</v>
      </c>
      <c r="H61" s="38" t="n">
        <v>1571</v>
      </c>
      <c r="I61" s="38" t="n">
        <v>833</v>
      </c>
      <c r="J61" s="38" t="n">
        <v>738</v>
      </c>
      <c r="K61" s="38" t="n">
        <v>76</v>
      </c>
      <c r="L61" s="38" t="n">
        <f aca="false">K61*100/H61</f>
        <v>4.83768300445576</v>
      </c>
      <c r="M61" s="38" t="n">
        <v>179</v>
      </c>
      <c r="N61" s="38" t="n">
        <f aca="false">M61*100/H61</f>
        <v>11.3940165499682</v>
      </c>
      <c r="O61" s="38" t="n">
        <v>9.63</v>
      </c>
      <c r="P61" s="38" t="n">
        <v>358.57</v>
      </c>
      <c r="Q61" s="43"/>
      <c r="R61" s="10"/>
      <c r="S61" s="38"/>
      <c r="T61" s="45"/>
      <c r="U61" s="38"/>
      <c r="V61" s="38"/>
      <c r="W61" s="38"/>
      <c r="X61" s="38"/>
      <c r="Y61" s="38"/>
      <c r="Z61" s="38"/>
      <c r="AA61" s="49" t="s">
        <v>45</v>
      </c>
      <c r="AB61" s="10"/>
      <c r="AC61" s="16"/>
      <c r="AD61" s="17" t="n">
        <v>24.58546</v>
      </c>
      <c r="AE61" s="17" t="n">
        <v>76.091989</v>
      </c>
    </row>
    <row r="62" customFormat="false" ht="18.75" hidden="false" customHeight="false" outlineLevel="0" collapsed="false">
      <c r="A62" s="38" t="s">
        <v>39</v>
      </c>
      <c r="B62" s="10" t="s">
        <v>227</v>
      </c>
      <c r="C62" s="10" t="s">
        <v>303</v>
      </c>
      <c r="D62" s="38" t="s">
        <v>307</v>
      </c>
      <c r="E62" s="10" t="n">
        <v>104010</v>
      </c>
      <c r="F62" s="38" t="n">
        <v>245.49</v>
      </c>
      <c r="G62" s="38" t="n">
        <v>147</v>
      </c>
      <c r="H62" s="38" t="n">
        <v>704</v>
      </c>
      <c r="I62" s="38" t="n">
        <v>351</v>
      </c>
      <c r="J62" s="38" t="n">
        <v>353</v>
      </c>
      <c r="K62" s="38" t="n">
        <v>0</v>
      </c>
      <c r="L62" s="38" t="n">
        <f aca="false">K62*100/H62</f>
        <v>0</v>
      </c>
      <c r="M62" s="38" t="n">
        <v>0</v>
      </c>
      <c r="N62" s="38" t="n">
        <f aca="false">M62*100/H62</f>
        <v>0</v>
      </c>
      <c r="O62" s="38" t="n">
        <v>0</v>
      </c>
      <c r="P62" s="38" t="n">
        <v>19.63</v>
      </c>
      <c r="Q62" s="15" t="s">
        <v>45</v>
      </c>
      <c r="R62" s="15"/>
      <c r="S62" s="38"/>
      <c r="T62" s="16"/>
      <c r="U62" s="38"/>
      <c r="V62" s="38"/>
      <c r="W62" s="38"/>
      <c r="X62" s="38"/>
      <c r="Y62" s="38"/>
      <c r="Z62" s="38"/>
      <c r="AA62" s="16" t="s">
        <v>45</v>
      </c>
      <c r="AB62" s="16" t="n">
        <v>8</v>
      </c>
      <c r="AC62" s="45"/>
      <c r="AD62" s="45"/>
      <c r="AE62" s="45"/>
    </row>
    <row r="63" customFormat="false" ht="18.75" hidden="false" customHeight="false" outlineLevel="0" collapsed="false">
      <c r="A63" s="38" t="s">
        <v>39</v>
      </c>
      <c r="B63" s="10" t="s">
        <v>227</v>
      </c>
      <c r="C63" s="10" t="s">
        <v>303</v>
      </c>
      <c r="D63" s="38" t="s">
        <v>308</v>
      </c>
      <c r="E63" s="10" t="n">
        <v>104042</v>
      </c>
      <c r="F63" s="38" t="n">
        <v>627.36</v>
      </c>
      <c r="G63" s="38" t="n">
        <v>251</v>
      </c>
      <c r="H63" s="38" t="n">
        <v>1155</v>
      </c>
      <c r="I63" s="38" t="n">
        <v>603</v>
      </c>
      <c r="J63" s="38" t="n">
        <v>552</v>
      </c>
      <c r="K63" s="38" t="n">
        <v>105</v>
      </c>
      <c r="L63" s="38" t="n">
        <f aca="false">K63*100/H63</f>
        <v>9.09090909090909</v>
      </c>
      <c r="M63" s="38" t="n">
        <v>233</v>
      </c>
      <c r="N63" s="38" t="n">
        <f aca="false">M63*100/H63</f>
        <v>20.1731601731602</v>
      </c>
      <c r="O63" s="38" t="n">
        <v>8.13</v>
      </c>
      <c r="P63" s="38" t="n">
        <v>320.35</v>
      </c>
      <c r="Q63" s="15" t="s">
        <v>45</v>
      </c>
      <c r="R63" s="15"/>
      <c r="S63" s="38"/>
      <c r="T63" s="45"/>
      <c r="U63" s="38"/>
      <c r="V63" s="38"/>
      <c r="W63" s="38"/>
      <c r="X63" s="38"/>
      <c r="Y63" s="38"/>
      <c r="Z63" s="38"/>
      <c r="AA63" s="16" t="s">
        <v>45</v>
      </c>
      <c r="AB63" s="16" t="n">
        <v>15</v>
      </c>
      <c r="AC63" s="16"/>
      <c r="AD63" s="17" t="n">
        <v>24.571759</v>
      </c>
      <c r="AE63" s="17" t="n">
        <v>76.104831</v>
      </c>
    </row>
    <row r="64" customFormat="false" ht="15" hidden="false" customHeight="false" outlineLevel="0" collapsed="false">
      <c r="A64" s="38" t="s">
        <v>39</v>
      </c>
      <c r="B64" s="10" t="s">
        <v>227</v>
      </c>
      <c r="C64" s="10" t="s">
        <v>303</v>
      </c>
      <c r="D64" s="38" t="s">
        <v>309</v>
      </c>
      <c r="E64" s="10" t="n">
        <v>104043</v>
      </c>
      <c r="F64" s="38" t="n">
        <v>458.2</v>
      </c>
      <c r="G64" s="38" t="n">
        <v>137</v>
      </c>
      <c r="H64" s="38" t="n">
        <v>731</v>
      </c>
      <c r="I64" s="38" t="n">
        <v>393</v>
      </c>
      <c r="J64" s="38" t="n">
        <v>338</v>
      </c>
      <c r="K64" s="38" t="n">
        <v>69</v>
      </c>
      <c r="L64" s="38" t="n">
        <f aca="false">K64*100/H64</f>
        <v>9.4391244870041</v>
      </c>
      <c r="M64" s="38" t="n">
        <v>0</v>
      </c>
      <c r="N64" s="38" t="n">
        <f aca="false">M64*100/H64</f>
        <v>0</v>
      </c>
      <c r="O64" s="38" t="n">
        <v>20.01</v>
      </c>
      <c r="P64" s="38" t="n">
        <v>0</v>
      </c>
      <c r="Q64" s="15" t="s">
        <v>45</v>
      </c>
      <c r="R64" s="15"/>
      <c r="S64" s="38"/>
      <c r="T64" s="16"/>
      <c r="U64" s="38"/>
      <c r="V64" s="38"/>
      <c r="W64" s="38"/>
      <c r="X64" s="38"/>
      <c r="Y64" s="38"/>
      <c r="Z64" s="38"/>
      <c r="AA64" s="16" t="s">
        <v>45</v>
      </c>
      <c r="AB64" s="16" t="n">
        <v>2</v>
      </c>
      <c r="AC64" s="16"/>
      <c r="AD64" s="17" t="n">
        <v>24.572727</v>
      </c>
      <c r="AE64" s="17" t="n">
        <v>76.086145</v>
      </c>
    </row>
    <row r="65" customFormat="false" ht="15" hidden="false" customHeight="false" outlineLevel="0" collapsed="false">
      <c r="A65" s="38" t="s">
        <v>39</v>
      </c>
      <c r="B65" s="10" t="s">
        <v>227</v>
      </c>
      <c r="C65" s="10" t="s">
        <v>303</v>
      </c>
      <c r="D65" s="38" t="s">
        <v>310</v>
      </c>
      <c r="E65" s="10" t="n">
        <v>104044</v>
      </c>
      <c r="F65" s="38" t="n">
        <v>258.96</v>
      </c>
      <c r="G65" s="38" t="n">
        <v>255</v>
      </c>
      <c r="H65" s="38" t="n">
        <v>1194</v>
      </c>
      <c r="I65" s="38" t="n">
        <v>609</v>
      </c>
      <c r="J65" s="38" t="n">
        <v>585</v>
      </c>
      <c r="K65" s="38" t="n">
        <v>27</v>
      </c>
      <c r="L65" s="38" t="n">
        <f aca="false">K65*100/H65</f>
        <v>2.26130653266332</v>
      </c>
      <c r="M65" s="38" t="n">
        <v>330</v>
      </c>
      <c r="N65" s="38" t="n">
        <f aca="false">M65*100/H65</f>
        <v>27.6381909547739</v>
      </c>
      <c r="O65" s="38" t="n">
        <v>2.76</v>
      </c>
      <c r="P65" s="38" t="n">
        <v>0</v>
      </c>
      <c r="Q65" s="15" t="s">
        <v>45</v>
      </c>
      <c r="R65" s="15"/>
      <c r="S65" s="38"/>
      <c r="T65" s="16"/>
      <c r="U65" s="38"/>
      <c r="V65" s="38"/>
      <c r="W65" s="38"/>
      <c r="X65" s="38"/>
      <c r="Y65" s="38"/>
      <c r="Z65" s="38"/>
      <c r="AA65" s="16" t="s">
        <v>45</v>
      </c>
      <c r="AB65" s="16" t="n">
        <v>5</v>
      </c>
      <c r="AC65" s="16"/>
      <c r="AD65" s="17" t="n">
        <v>24.565297</v>
      </c>
      <c r="AE65" s="17" t="n">
        <v>76.075405</v>
      </c>
    </row>
    <row r="66" customFormat="false" ht="15" hidden="false" customHeight="false" outlineLevel="0" collapsed="false">
      <c r="A66" s="38" t="s">
        <v>39</v>
      </c>
      <c r="B66" s="10" t="s">
        <v>227</v>
      </c>
      <c r="C66" s="10" t="s">
        <v>303</v>
      </c>
      <c r="D66" s="38" t="s">
        <v>311</v>
      </c>
      <c r="E66" s="10" t="n">
        <v>104045</v>
      </c>
      <c r="F66" s="38" t="n">
        <v>329.62</v>
      </c>
      <c r="G66" s="38" t="n">
        <v>73</v>
      </c>
      <c r="H66" s="38" t="n">
        <v>385</v>
      </c>
      <c r="I66" s="38" t="n">
        <v>200</v>
      </c>
      <c r="J66" s="38" t="n">
        <v>185</v>
      </c>
      <c r="K66" s="38" t="n">
        <v>29</v>
      </c>
      <c r="L66" s="38" t="n">
        <f aca="false">K66*100/H66</f>
        <v>7.53246753246753</v>
      </c>
      <c r="M66" s="38" t="n">
        <v>271</v>
      </c>
      <c r="N66" s="38" t="n">
        <f aca="false">M66*100/H66</f>
        <v>70.3896103896104</v>
      </c>
      <c r="O66" s="38" t="n">
        <v>38.88</v>
      </c>
      <c r="P66" s="38" t="n">
        <v>0</v>
      </c>
      <c r="Q66" s="10"/>
      <c r="R66" s="10"/>
      <c r="S66" s="38"/>
      <c r="T66" s="16"/>
      <c r="U66" s="38"/>
      <c r="V66" s="38"/>
      <c r="W66" s="38"/>
      <c r="X66" s="38"/>
      <c r="Y66" s="38"/>
      <c r="Z66" s="38"/>
      <c r="AA66" s="10"/>
      <c r="AB66" s="10"/>
      <c r="AC66" s="16" t="s">
        <v>312</v>
      </c>
      <c r="AD66" s="17" t="n">
        <v>24.56455</v>
      </c>
      <c r="AE66" s="17" t="n">
        <v>76.068012</v>
      </c>
    </row>
    <row r="67" customFormat="false" ht="18.75" hidden="false" customHeight="false" outlineLevel="0" collapsed="false">
      <c r="A67" s="38" t="s">
        <v>39</v>
      </c>
      <c r="B67" s="10" t="s">
        <v>227</v>
      </c>
      <c r="C67" s="10" t="s">
        <v>313</v>
      </c>
      <c r="D67" s="38" t="s">
        <v>314</v>
      </c>
      <c r="E67" s="10" t="n">
        <v>104125</v>
      </c>
      <c r="F67" s="38" t="n">
        <v>165.84</v>
      </c>
      <c r="G67" s="38"/>
      <c r="H67" s="38" t="n">
        <v>0</v>
      </c>
      <c r="I67" s="38"/>
      <c r="J67" s="38"/>
      <c r="K67" s="38"/>
      <c r="L67" s="38" t="e">
        <f aca="false">K67*100/H67</f>
        <v>#DIV/0!</v>
      </c>
      <c r="M67" s="38"/>
      <c r="N67" s="38" t="e">
        <f aca="false">M67*100/H67</f>
        <v>#DIV/0!</v>
      </c>
      <c r="O67" s="38" t="n">
        <v>0</v>
      </c>
      <c r="P67" s="38" t="n">
        <v>0</v>
      </c>
      <c r="Q67" s="15" t="s">
        <v>45</v>
      </c>
      <c r="R67" s="15"/>
      <c r="S67" s="38"/>
      <c r="T67" s="45"/>
      <c r="U67" s="38"/>
      <c r="V67" s="38"/>
      <c r="W67" s="38"/>
      <c r="X67" s="38"/>
      <c r="Y67" s="38"/>
      <c r="Z67" s="38"/>
      <c r="AA67" s="16" t="s">
        <v>45</v>
      </c>
      <c r="AB67" s="16" t="n">
        <v>3</v>
      </c>
      <c r="AC67" s="45"/>
      <c r="AD67" s="45"/>
      <c r="AE67" s="45"/>
    </row>
    <row r="68" customFormat="false" ht="21" hidden="false" customHeight="false" outlineLevel="0" collapsed="false">
      <c r="A68" s="38" t="s">
        <v>39</v>
      </c>
      <c r="B68" s="10" t="s">
        <v>227</v>
      </c>
      <c r="C68" s="10" t="s">
        <v>288</v>
      </c>
      <c r="D68" s="38" t="s">
        <v>315</v>
      </c>
      <c r="E68" s="10" t="n">
        <v>104126</v>
      </c>
      <c r="F68" s="38" t="n">
        <v>274.02</v>
      </c>
      <c r="G68" s="38" t="n">
        <v>102</v>
      </c>
      <c r="H68" s="38" t="n">
        <v>529</v>
      </c>
      <c r="I68" s="38" t="n">
        <v>262</v>
      </c>
      <c r="J68" s="38" t="n">
        <v>267</v>
      </c>
      <c r="K68" s="38" t="n">
        <v>231</v>
      </c>
      <c r="L68" s="38" t="n">
        <f aca="false">K68*100/H68</f>
        <v>43.6672967863894</v>
      </c>
      <c r="M68" s="38" t="n">
        <v>0</v>
      </c>
      <c r="N68" s="38" t="n">
        <f aca="false">M68*100/H68</f>
        <v>0</v>
      </c>
      <c r="O68" s="38" t="n">
        <v>30.42</v>
      </c>
      <c r="P68" s="38" t="n">
        <v>0</v>
      </c>
      <c r="Q68" s="43"/>
      <c r="R68" s="10"/>
      <c r="S68" s="38"/>
      <c r="T68" s="45"/>
      <c r="U68" s="38" t="s">
        <v>49</v>
      </c>
      <c r="V68" s="38"/>
      <c r="W68" s="38"/>
      <c r="X68" s="38"/>
      <c r="Y68" s="38"/>
      <c r="Z68" s="38"/>
      <c r="AA68" s="44"/>
      <c r="AB68" s="10"/>
      <c r="AC68" s="16"/>
      <c r="AD68" s="17" t="n">
        <v>24.459922</v>
      </c>
      <c r="AE68" s="17" t="n">
        <v>76.037957</v>
      </c>
    </row>
    <row r="69" customFormat="false" ht="18.75" hidden="false" customHeight="false" outlineLevel="0" collapsed="false">
      <c r="A69" s="38" t="s">
        <v>39</v>
      </c>
      <c r="B69" s="10" t="s">
        <v>227</v>
      </c>
      <c r="C69" s="10" t="s">
        <v>313</v>
      </c>
      <c r="D69" s="38" t="s">
        <v>316</v>
      </c>
      <c r="E69" s="10" t="n">
        <v>104127</v>
      </c>
      <c r="F69" s="38" t="n">
        <v>251.41</v>
      </c>
      <c r="G69" s="38" t="n">
        <v>94</v>
      </c>
      <c r="H69" s="38" t="n">
        <v>492</v>
      </c>
      <c r="I69" s="38" t="n">
        <v>249</v>
      </c>
      <c r="J69" s="38" t="n">
        <v>243</v>
      </c>
      <c r="K69" s="38" t="n">
        <v>105</v>
      </c>
      <c r="L69" s="38" t="n">
        <f aca="false">K69*100/H69</f>
        <v>21.3414634146341</v>
      </c>
      <c r="M69" s="38" t="n">
        <v>12</v>
      </c>
      <c r="N69" s="38" t="n">
        <f aca="false">M69*100/H69</f>
        <v>2.4390243902439</v>
      </c>
      <c r="O69" s="38" t="n">
        <v>0</v>
      </c>
      <c r="P69" s="38" t="n">
        <v>0</v>
      </c>
      <c r="Q69" s="15" t="s">
        <v>45</v>
      </c>
      <c r="R69" s="15"/>
      <c r="S69" s="38"/>
      <c r="T69" s="16"/>
      <c r="U69" s="38"/>
      <c r="V69" s="38"/>
      <c r="W69" s="38"/>
      <c r="X69" s="38"/>
      <c r="Y69" s="38"/>
      <c r="Z69" s="38"/>
      <c r="AA69" s="16" t="s">
        <v>45</v>
      </c>
      <c r="AB69" s="16" t="n">
        <v>2</v>
      </c>
      <c r="AC69" s="45"/>
      <c r="AD69" s="45"/>
      <c r="AE69" s="45"/>
    </row>
    <row r="70" customFormat="false" ht="18.75" hidden="false" customHeight="false" outlineLevel="0" collapsed="false">
      <c r="A70" s="38" t="s">
        <v>39</v>
      </c>
      <c r="B70" s="10" t="s">
        <v>227</v>
      </c>
      <c r="C70" s="10" t="s">
        <v>288</v>
      </c>
      <c r="D70" s="38" t="s">
        <v>317</v>
      </c>
      <c r="E70" s="10" t="n">
        <v>104129</v>
      </c>
      <c r="F70" s="38" t="n">
        <v>346.35</v>
      </c>
      <c r="G70" s="38" t="n">
        <v>89</v>
      </c>
      <c r="H70" s="38" t="n">
        <v>448</v>
      </c>
      <c r="I70" s="38" t="n">
        <v>239</v>
      </c>
      <c r="J70" s="38" t="n">
        <v>209</v>
      </c>
      <c r="K70" s="38" t="n">
        <v>37</v>
      </c>
      <c r="L70" s="38" t="n">
        <f aca="false">K70*100/H70</f>
        <v>8.25892857142857</v>
      </c>
      <c r="M70" s="38" t="n">
        <v>57</v>
      </c>
      <c r="N70" s="38" t="n">
        <f aca="false">M70*100/H70</f>
        <v>12.7232142857143</v>
      </c>
      <c r="O70" s="38" t="n">
        <v>16.3</v>
      </c>
      <c r="P70" s="38" t="n">
        <v>0</v>
      </c>
      <c r="Q70" s="15" t="s">
        <v>45</v>
      </c>
      <c r="R70" s="15"/>
      <c r="S70" s="38"/>
      <c r="T70" s="45"/>
      <c r="U70" s="38" t="s">
        <v>49</v>
      </c>
      <c r="V70" s="38"/>
      <c r="W70" s="38"/>
      <c r="X70" s="38"/>
      <c r="Y70" s="38"/>
      <c r="Z70" s="38"/>
      <c r="AA70" s="16" t="s">
        <v>45</v>
      </c>
      <c r="AB70" s="16" t="n">
        <v>1</v>
      </c>
      <c r="AC70" s="16"/>
      <c r="AD70" s="17" t="n">
        <v>24.443869</v>
      </c>
      <c r="AE70" s="17" t="n">
        <v>76.078536</v>
      </c>
    </row>
    <row r="71" customFormat="false" ht="21" hidden="false" customHeight="false" outlineLevel="0" collapsed="false">
      <c r="A71" s="38" t="s">
        <v>39</v>
      </c>
      <c r="B71" s="10" t="s">
        <v>227</v>
      </c>
      <c r="C71" s="10" t="s">
        <v>288</v>
      </c>
      <c r="D71" s="38" t="s">
        <v>318</v>
      </c>
      <c r="E71" s="10" t="n">
        <v>104128</v>
      </c>
      <c r="F71" s="38" t="n">
        <v>183.11</v>
      </c>
      <c r="G71" s="38" t="n">
        <v>44</v>
      </c>
      <c r="H71" s="38" t="n">
        <v>238</v>
      </c>
      <c r="I71" s="38" t="n">
        <v>122</v>
      </c>
      <c r="J71" s="38" t="n">
        <v>116</v>
      </c>
      <c r="K71" s="38" t="n">
        <v>214</v>
      </c>
      <c r="L71" s="38" t="n">
        <f aca="false">K71*100/H71</f>
        <v>89.9159663865546</v>
      </c>
      <c r="M71" s="38" t="n">
        <v>0</v>
      </c>
      <c r="N71" s="38" t="n">
        <f aca="false">M71*100/H71</f>
        <v>0</v>
      </c>
      <c r="O71" s="38" t="n">
        <v>7.13</v>
      </c>
      <c r="P71" s="38" t="n">
        <v>0</v>
      </c>
      <c r="Q71" s="43"/>
      <c r="R71" s="10"/>
      <c r="S71" s="38"/>
      <c r="T71" s="16"/>
      <c r="U71" s="38" t="s">
        <v>49</v>
      </c>
      <c r="V71" s="38"/>
      <c r="W71" s="38"/>
      <c r="X71" s="38"/>
      <c r="Y71" s="38"/>
      <c r="Z71" s="38"/>
      <c r="AA71" s="44"/>
      <c r="AB71" s="44"/>
      <c r="AC71" s="16"/>
      <c r="AD71" s="17" t="n">
        <v>24.430568</v>
      </c>
      <c r="AE71" s="17" t="n">
        <v>76.082445</v>
      </c>
    </row>
    <row r="72" customFormat="false" ht="21" hidden="false" customHeight="false" outlineLevel="0" collapsed="false">
      <c r="A72" s="38" t="s">
        <v>39</v>
      </c>
      <c r="B72" s="10" t="s">
        <v>227</v>
      </c>
      <c r="C72" s="10" t="s">
        <v>319</v>
      </c>
      <c r="D72" s="38" t="s">
        <v>320</v>
      </c>
      <c r="E72" s="10" t="n">
        <v>104049</v>
      </c>
      <c r="F72" s="38" t="n">
        <v>492.62</v>
      </c>
      <c r="G72" s="38" t="n">
        <v>257</v>
      </c>
      <c r="H72" s="38" t="n">
        <v>1034</v>
      </c>
      <c r="I72" s="38" t="n">
        <v>580</v>
      </c>
      <c r="J72" s="38" t="n">
        <v>454</v>
      </c>
      <c r="K72" s="38" t="n">
        <v>459</v>
      </c>
      <c r="L72" s="38" t="n">
        <f aca="false">K72*100/H72</f>
        <v>44.3907156673114</v>
      </c>
      <c r="M72" s="38" t="n">
        <v>81</v>
      </c>
      <c r="N72" s="38" t="n">
        <f aca="false">M72*100/H72</f>
        <v>7.83365570599613</v>
      </c>
      <c r="O72" s="38" t="n">
        <v>34.46</v>
      </c>
      <c r="P72" s="38" t="n">
        <v>0</v>
      </c>
      <c r="Q72" s="49"/>
      <c r="R72" s="10" t="s">
        <v>150</v>
      </c>
      <c r="S72" s="38"/>
      <c r="T72" s="45"/>
      <c r="U72" s="38"/>
      <c r="V72" s="38"/>
      <c r="W72" s="38"/>
      <c r="X72" s="38"/>
      <c r="Y72" s="38"/>
      <c r="Z72" s="38"/>
      <c r="AA72" s="49"/>
      <c r="AB72" s="44"/>
      <c r="AC72" s="45"/>
      <c r="AD72" s="45"/>
      <c r="AE72" s="45"/>
    </row>
    <row r="73" customFormat="false" ht="18.75" hidden="false" customHeight="false" outlineLevel="0" collapsed="false">
      <c r="A73" s="38" t="s">
        <v>39</v>
      </c>
      <c r="B73" s="10" t="s">
        <v>227</v>
      </c>
      <c r="C73" s="10" t="s">
        <v>319</v>
      </c>
      <c r="D73" s="38" t="s">
        <v>321</v>
      </c>
      <c r="E73" s="10" t="n">
        <v>104041</v>
      </c>
      <c r="F73" s="38" t="n">
        <v>196</v>
      </c>
      <c r="G73" s="38" t="n">
        <v>42</v>
      </c>
      <c r="H73" s="38" t="n">
        <v>186</v>
      </c>
      <c r="I73" s="38" t="n">
        <v>92</v>
      </c>
      <c r="J73" s="38" t="n">
        <v>94</v>
      </c>
      <c r="K73" s="38" t="n">
        <v>48</v>
      </c>
      <c r="L73" s="38" t="n">
        <f aca="false">K73*100/H73</f>
        <v>25.8064516129032</v>
      </c>
      <c r="M73" s="38" t="n">
        <v>0</v>
      </c>
      <c r="N73" s="38" t="n">
        <f aca="false">M73*100/H73</f>
        <v>0</v>
      </c>
      <c r="O73" s="38" t="n">
        <v>14</v>
      </c>
      <c r="P73" s="38" t="n">
        <v>0</v>
      </c>
      <c r="Q73" s="39" t="s">
        <v>45</v>
      </c>
      <c r="R73" s="39" t="s">
        <v>322</v>
      </c>
      <c r="S73" s="38"/>
      <c r="T73" s="45"/>
      <c r="U73" s="38"/>
      <c r="V73" s="38"/>
      <c r="W73" s="38"/>
      <c r="X73" s="38"/>
      <c r="Y73" s="38"/>
      <c r="Z73" s="38"/>
      <c r="AA73" s="41" t="s">
        <v>45</v>
      </c>
      <c r="AB73" s="41" t="n">
        <v>1</v>
      </c>
      <c r="AC73" s="45"/>
      <c r="AD73" s="45"/>
      <c r="AE73" s="45"/>
    </row>
    <row r="74" customFormat="false" ht="18.75" hidden="false" customHeight="false" outlineLevel="0" collapsed="false">
      <c r="A74" s="38" t="s">
        <v>39</v>
      </c>
      <c r="B74" s="10" t="s">
        <v>227</v>
      </c>
      <c r="C74" s="10" t="s">
        <v>323</v>
      </c>
      <c r="D74" s="38" t="s">
        <v>324</v>
      </c>
      <c r="E74" s="10" t="n">
        <v>104170</v>
      </c>
      <c r="F74" s="38" t="n">
        <v>251.57</v>
      </c>
      <c r="G74" s="38" t="n">
        <v>97</v>
      </c>
      <c r="H74" s="38" t="n">
        <v>449</v>
      </c>
      <c r="I74" s="38" t="n">
        <v>221</v>
      </c>
      <c r="J74" s="38" t="n">
        <v>228</v>
      </c>
      <c r="K74" s="38" t="n">
        <v>4</v>
      </c>
      <c r="L74" s="38" t="n">
        <f aca="false">K74*100/H74</f>
        <v>0.89086859688196</v>
      </c>
      <c r="M74" s="38" t="n">
        <v>2</v>
      </c>
      <c r="N74" s="38" t="n">
        <f aca="false">M74*100/H74</f>
        <v>0.44543429844098</v>
      </c>
      <c r="O74" s="38" t="n">
        <v>29.76</v>
      </c>
      <c r="P74" s="38" t="n">
        <v>73.46</v>
      </c>
      <c r="Q74" s="23" t="s">
        <v>45</v>
      </c>
      <c r="R74" s="23" t="s">
        <v>322</v>
      </c>
      <c r="S74" s="38"/>
      <c r="T74" s="45"/>
      <c r="U74" s="38"/>
      <c r="V74" s="38"/>
      <c r="W74" s="38"/>
      <c r="X74" s="38"/>
      <c r="Y74" s="38"/>
      <c r="Z74" s="38"/>
      <c r="AA74" s="12" t="s">
        <v>150</v>
      </c>
      <c r="AB74" s="12" t="n">
        <v>6.2</v>
      </c>
      <c r="AC74" s="38"/>
      <c r="AD74" s="42" t="n">
        <v>24.4637083</v>
      </c>
      <c r="AE74" s="42" t="n">
        <v>76.355595</v>
      </c>
    </row>
    <row r="75" customFormat="false" ht="15" hidden="false" customHeight="false" outlineLevel="0" collapsed="false">
      <c r="A75" s="38" t="s">
        <v>39</v>
      </c>
      <c r="B75" s="10" t="s">
        <v>227</v>
      </c>
      <c r="C75" s="10" t="s">
        <v>323</v>
      </c>
      <c r="D75" s="38" t="s">
        <v>324</v>
      </c>
      <c r="E75" s="10"/>
      <c r="F75" s="38"/>
      <c r="G75" s="38"/>
      <c r="H75" s="38"/>
      <c r="I75" s="38"/>
      <c r="J75" s="38"/>
      <c r="K75" s="38"/>
      <c r="L75" s="38" t="e">
        <f aca="false">K75*100/H75</f>
        <v>#DIV/0!</v>
      </c>
      <c r="M75" s="38"/>
      <c r="N75" s="38" t="e">
        <f aca="false">M75*100/H75</f>
        <v>#DIV/0!</v>
      </c>
      <c r="O75" s="38"/>
      <c r="P75" s="38"/>
      <c r="Q75" s="12" t="s">
        <v>43</v>
      </c>
      <c r="R75" s="39" t="s">
        <v>322</v>
      </c>
      <c r="S75" s="38"/>
      <c r="T75" s="39" t="n">
        <v>21.0401</v>
      </c>
      <c r="U75" s="38"/>
      <c r="V75" s="38"/>
      <c r="W75" s="38"/>
      <c r="X75" s="38"/>
      <c r="Y75" s="38"/>
      <c r="Z75" s="38"/>
      <c r="AA75" s="12" t="s">
        <v>82</v>
      </c>
      <c r="AB75" s="10" t="n">
        <v>4.7812</v>
      </c>
      <c r="AC75" s="46"/>
      <c r="AD75" s="46" t="n">
        <v>24.47651</v>
      </c>
      <c r="AE75" s="46" t="n">
        <v>76.3283</v>
      </c>
    </row>
    <row r="76" customFormat="false" ht="15" hidden="false" customHeight="false" outlineLevel="0" collapsed="false">
      <c r="A76" s="38" t="s">
        <v>39</v>
      </c>
      <c r="B76" s="10" t="s">
        <v>227</v>
      </c>
      <c r="C76" s="10" t="s">
        <v>323</v>
      </c>
      <c r="D76" s="38" t="s">
        <v>324</v>
      </c>
      <c r="E76" s="10"/>
      <c r="F76" s="38"/>
      <c r="G76" s="38"/>
      <c r="H76" s="38"/>
      <c r="I76" s="38"/>
      <c r="J76" s="38"/>
      <c r="K76" s="38"/>
      <c r="L76" s="38" t="e">
        <f aca="false">K76*100/H76</f>
        <v>#DIV/0!</v>
      </c>
      <c r="M76" s="38"/>
      <c r="N76" s="38" t="e">
        <f aca="false">M76*100/H76</f>
        <v>#DIV/0!</v>
      </c>
      <c r="O76" s="38"/>
      <c r="P76" s="38"/>
      <c r="Q76" s="12" t="s">
        <v>43</v>
      </c>
      <c r="R76" s="39" t="s">
        <v>322</v>
      </c>
      <c r="S76" s="38"/>
      <c r="T76" s="46"/>
      <c r="U76" s="38"/>
      <c r="V76" s="38"/>
      <c r="W76" s="38"/>
      <c r="X76" s="38"/>
      <c r="Y76" s="38"/>
      <c r="Z76" s="38"/>
      <c r="AA76" s="12" t="s">
        <v>82</v>
      </c>
      <c r="AB76" s="10" t="n">
        <v>1.42252</v>
      </c>
      <c r="AC76" s="38"/>
      <c r="AD76" s="38" t="n">
        <v>24.47651</v>
      </c>
      <c r="AE76" s="38" t="n">
        <v>76.3283</v>
      </c>
    </row>
    <row r="77" customFormat="false" ht="15" hidden="false" customHeight="false" outlineLevel="0" collapsed="false">
      <c r="A77" s="38" t="s">
        <v>39</v>
      </c>
      <c r="B77" s="10" t="s">
        <v>227</v>
      </c>
      <c r="C77" s="10" t="s">
        <v>323</v>
      </c>
      <c r="D77" s="38" t="s">
        <v>324</v>
      </c>
      <c r="E77" s="10"/>
      <c r="F77" s="38"/>
      <c r="G77" s="38"/>
      <c r="H77" s="38"/>
      <c r="I77" s="38"/>
      <c r="J77" s="38"/>
      <c r="K77" s="38"/>
      <c r="L77" s="38" t="e">
        <f aca="false">K77*100/H77</f>
        <v>#DIV/0!</v>
      </c>
      <c r="M77" s="38"/>
      <c r="N77" s="38" t="e">
        <f aca="false">M77*100/H77</f>
        <v>#DIV/0!</v>
      </c>
      <c r="O77" s="38"/>
      <c r="P77" s="38"/>
      <c r="Q77" s="39" t="s">
        <v>45</v>
      </c>
      <c r="R77" s="39" t="s">
        <v>325</v>
      </c>
      <c r="S77" s="38"/>
      <c r="T77" s="41"/>
      <c r="U77" s="38"/>
      <c r="V77" s="38"/>
      <c r="W77" s="38"/>
      <c r="X77" s="38"/>
      <c r="Y77" s="38"/>
      <c r="Z77" s="38"/>
      <c r="AA77" s="41" t="s">
        <v>45</v>
      </c>
      <c r="AB77" s="10" t="n">
        <v>4</v>
      </c>
      <c r="AC77" s="38"/>
      <c r="AD77" s="38" t="n">
        <v>24.47177</v>
      </c>
      <c r="AE77" s="38" t="n">
        <v>76.34403</v>
      </c>
    </row>
    <row r="78" customFormat="false" ht="15" hidden="false" customHeight="false" outlineLevel="0" collapsed="false">
      <c r="A78" s="38" t="s">
        <v>39</v>
      </c>
      <c r="B78" s="10" t="s">
        <v>227</v>
      </c>
      <c r="C78" s="10" t="s">
        <v>323</v>
      </c>
      <c r="D78" s="38" t="s">
        <v>326</v>
      </c>
      <c r="E78" s="10" t="n">
        <v>104171</v>
      </c>
      <c r="F78" s="38" t="n">
        <v>141.8</v>
      </c>
      <c r="G78" s="38" t="n">
        <v>122</v>
      </c>
      <c r="H78" s="38" t="n">
        <v>531</v>
      </c>
      <c r="I78" s="38" t="n">
        <v>268</v>
      </c>
      <c r="J78" s="38" t="n">
        <v>263</v>
      </c>
      <c r="K78" s="38" t="n">
        <v>79</v>
      </c>
      <c r="L78" s="38" t="n">
        <f aca="false">K78*100/H78</f>
        <v>14.8775894538606</v>
      </c>
      <c r="M78" s="38" t="n">
        <v>0</v>
      </c>
      <c r="N78" s="38" t="n">
        <f aca="false">M78*100/H78</f>
        <v>0</v>
      </c>
      <c r="O78" s="38" t="n">
        <v>32.18</v>
      </c>
      <c r="P78" s="38" t="n">
        <v>0</v>
      </c>
      <c r="Q78" s="12" t="s">
        <v>43</v>
      </c>
      <c r="R78" s="12" t="s">
        <v>327</v>
      </c>
      <c r="S78" s="38"/>
      <c r="T78" s="41"/>
      <c r="U78" s="38"/>
      <c r="V78" s="38"/>
      <c r="W78" s="38"/>
      <c r="X78" s="38"/>
      <c r="Y78" s="38"/>
      <c r="Z78" s="38"/>
      <c r="AA78" s="12" t="s">
        <v>82</v>
      </c>
      <c r="AB78" s="12" t="n">
        <v>10</v>
      </c>
      <c r="AC78" s="38"/>
      <c r="AD78" s="42" t="n">
        <v>24.46428</v>
      </c>
      <c r="AE78" s="42" t="n">
        <v>76.369945</v>
      </c>
    </row>
    <row r="79" customFormat="false" ht="21" hidden="false" customHeight="false" outlineLevel="0" collapsed="false">
      <c r="A79" s="38" t="s">
        <v>39</v>
      </c>
      <c r="B79" s="10" t="s">
        <v>227</v>
      </c>
      <c r="C79" s="10" t="s">
        <v>323</v>
      </c>
      <c r="D79" s="38" t="s">
        <v>326</v>
      </c>
      <c r="E79" s="10"/>
      <c r="F79" s="38"/>
      <c r="G79" s="38"/>
      <c r="H79" s="38"/>
      <c r="I79" s="38"/>
      <c r="J79" s="38"/>
      <c r="K79" s="38"/>
      <c r="L79" s="38" t="e">
        <f aca="false">K79*100/H79</f>
        <v>#DIV/0!</v>
      </c>
      <c r="M79" s="38"/>
      <c r="N79" s="38" t="e">
        <f aca="false">M79*100/H79</f>
        <v>#DIV/0!</v>
      </c>
      <c r="O79" s="38"/>
      <c r="P79" s="38"/>
      <c r="Q79" s="43"/>
      <c r="R79" s="10"/>
      <c r="S79" s="38"/>
      <c r="T79" s="39" t="n">
        <v>29.55</v>
      </c>
      <c r="U79" s="38"/>
      <c r="V79" s="38"/>
      <c r="W79" s="38"/>
      <c r="X79" s="38"/>
      <c r="Y79" s="38"/>
      <c r="Z79" s="38"/>
      <c r="AA79" s="44"/>
      <c r="AB79" s="44"/>
      <c r="AC79" s="46"/>
      <c r="AD79" s="46" t="n">
        <v>24.462669</v>
      </c>
      <c r="AE79" s="46" t="n">
        <v>76.363715</v>
      </c>
    </row>
    <row r="80" customFormat="false" ht="18.75" hidden="false" customHeight="false" outlineLevel="0" collapsed="false">
      <c r="A80" s="38" t="s">
        <v>39</v>
      </c>
      <c r="B80" s="10" t="s">
        <v>227</v>
      </c>
      <c r="C80" s="10" t="s">
        <v>323</v>
      </c>
      <c r="D80" s="38" t="s">
        <v>328</v>
      </c>
      <c r="E80" s="10" t="n">
        <v>104172</v>
      </c>
      <c r="F80" s="38" t="n">
        <v>303.53</v>
      </c>
      <c r="G80" s="38" t="n">
        <v>90</v>
      </c>
      <c r="H80" s="38" t="n">
        <v>506</v>
      </c>
      <c r="I80" s="38" t="n">
        <v>258</v>
      </c>
      <c r="J80" s="38" t="n">
        <v>248</v>
      </c>
      <c r="K80" s="38" t="n">
        <v>28</v>
      </c>
      <c r="L80" s="38" t="n">
        <f aca="false">K80*100/H80</f>
        <v>5.53359683794466</v>
      </c>
      <c r="M80" s="38" t="n">
        <v>37</v>
      </c>
      <c r="N80" s="38" t="n">
        <f aca="false">M80*100/H80</f>
        <v>7.31225296442688</v>
      </c>
      <c r="O80" s="38" t="n">
        <v>0</v>
      </c>
      <c r="P80" s="38" t="n">
        <v>11.43</v>
      </c>
      <c r="Q80" s="39" t="s">
        <v>45</v>
      </c>
      <c r="R80" s="40" t="n">
        <v>44595</v>
      </c>
      <c r="S80" s="38"/>
      <c r="T80" s="46"/>
      <c r="U80" s="38"/>
      <c r="V80" s="38"/>
      <c r="W80" s="38"/>
      <c r="X80" s="38"/>
      <c r="Y80" s="38"/>
      <c r="Z80" s="38"/>
      <c r="AA80" s="41" t="s">
        <v>45</v>
      </c>
      <c r="AB80" s="41" t="n">
        <v>2</v>
      </c>
      <c r="AC80" s="45"/>
      <c r="AD80" s="45"/>
      <c r="AE80" s="45"/>
    </row>
    <row r="81" customFormat="false" ht="18.75" hidden="false" customHeight="false" outlineLevel="0" collapsed="false">
      <c r="A81" s="38" t="s">
        <v>39</v>
      </c>
      <c r="B81" s="10" t="s">
        <v>227</v>
      </c>
      <c r="C81" s="10" t="s">
        <v>323</v>
      </c>
      <c r="D81" s="38" t="s">
        <v>329</v>
      </c>
      <c r="E81" s="10" t="n">
        <v>104189</v>
      </c>
      <c r="F81" s="38" t="n">
        <v>275.6</v>
      </c>
      <c r="G81" s="38" t="n">
        <v>87</v>
      </c>
      <c r="H81" s="38" t="n">
        <v>377</v>
      </c>
      <c r="I81" s="38" t="n">
        <v>187</v>
      </c>
      <c r="J81" s="38" t="n">
        <v>190</v>
      </c>
      <c r="K81" s="38" t="n">
        <v>114</v>
      </c>
      <c r="L81" s="38" t="n">
        <f aca="false">K81*100/H81</f>
        <v>30.2387267904509</v>
      </c>
      <c r="M81" s="38" t="n">
        <v>0</v>
      </c>
      <c r="N81" s="38" t="n">
        <f aca="false">M81*100/H81</f>
        <v>0</v>
      </c>
      <c r="O81" s="38" t="n">
        <v>40.07</v>
      </c>
      <c r="P81" s="38" t="n">
        <v>0</v>
      </c>
      <c r="Q81" s="23" t="s">
        <v>45</v>
      </c>
      <c r="R81" s="57" t="n">
        <v>44595</v>
      </c>
      <c r="S81" s="38"/>
      <c r="T81" s="45"/>
      <c r="U81" s="38"/>
      <c r="V81" s="38"/>
      <c r="W81" s="38"/>
      <c r="X81" s="38"/>
      <c r="Y81" s="38"/>
      <c r="Z81" s="38"/>
      <c r="AA81" s="12" t="s">
        <v>150</v>
      </c>
      <c r="AB81" s="12" t="n">
        <v>9.688</v>
      </c>
      <c r="AC81" s="38"/>
      <c r="AD81" s="42" t="n">
        <v>24.463724</v>
      </c>
      <c r="AE81" s="42" t="n">
        <v>76.3555595</v>
      </c>
    </row>
    <row r="82" customFormat="false" ht="15" hidden="false" customHeight="false" outlineLevel="0" collapsed="false">
      <c r="A82" s="38" t="s">
        <v>39</v>
      </c>
      <c r="B82" s="10" t="s">
        <v>227</v>
      </c>
      <c r="C82" s="10" t="s">
        <v>323</v>
      </c>
      <c r="D82" s="38" t="s">
        <v>329</v>
      </c>
      <c r="E82" s="10"/>
      <c r="F82" s="38"/>
      <c r="G82" s="38"/>
      <c r="H82" s="38"/>
      <c r="I82" s="38"/>
      <c r="J82" s="38"/>
      <c r="K82" s="38"/>
      <c r="L82" s="38" t="e">
        <f aca="false">K82*100/H82</f>
        <v>#DIV/0!</v>
      </c>
      <c r="M82" s="38"/>
      <c r="N82" s="38" t="e">
        <f aca="false">M82*100/H82</f>
        <v>#DIV/0!</v>
      </c>
      <c r="O82" s="38"/>
      <c r="P82" s="38"/>
      <c r="Q82" s="23" t="s">
        <v>45</v>
      </c>
      <c r="R82" s="23" t="s">
        <v>330</v>
      </c>
      <c r="S82" s="38"/>
      <c r="T82" s="39" t="n">
        <v>46.1521</v>
      </c>
      <c r="U82" s="38"/>
      <c r="V82" s="38"/>
      <c r="W82" s="38"/>
      <c r="X82" s="38"/>
      <c r="Y82" s="38"/>
      <c r="Z82" s="38"/>
      <c r="AA82" s="12" t="s">
        <v>150</v>
      </c>
      <c r="AB82" s="12" t="n">
        <v>7.0286</v>
      </c>
      <c r="AC82" s="46"/>
      <c r="AD82" s="46" t="n">
        <v>24.47316</v>
      </c>
      <c r="AE82" s="46" t="n">
        <v>76.38477</v>
      </c>
    </row>
    <row r="83" customFormat="false" ht="15" hidden="false" customHeight="false" outlineLevel="0" collapsed="false">
      <c r="A83" s="38" t="s">
        <v>39</v>
      </c>
      <c r="B83" s="10" t="s">
        <v>227</v>
      </c>
      <c r="C83" s="10" t="s">
        <v>323</v>
      </c>
      <c r="D83" s="38" t="s">
        <v>331</v>
      </c>
      <c r="E83" s="46"/>
      <c r="F83" s="46"/>
      <c r="G83" s="46"/>
      <c r="H83" s="46"/>
      <c r="I83" s="46"/>
      <c r="J83" s="46"/>
      <c r="K83" s="46"/>
      <c r="L83" s="38" t="e">
        <f aca="false">K83*100/H83</f>
        <v>#DIV/0!</v>
      </c>
      <c r="M83" s="46"/>
      <c r="N83" s="38" t="e">
        <f aca="false">M83*100/H83</f>
        <v>#DIV/0!</v>
      </c>
      <c r="O83" s="46"/>
      <c r="P83" s="46"/>
      <c r="Q83" s="39" t="s">
        <v>45</v>
      </c>
      <c r="R83" s="39" t="s">
        <v>330</v>
      </c>
      <c r="S83" s="38"/>
      <c r="T83" s="46"/>
      <c r="U83" s="38"/>
      <c r="V83" s="38"/>
      <c r="W83" s="38"/>
      <c r="X83" s="38"/>
      <c r="Y83" s="38"/>
      <c r="Z83" s="38"/>
      <c r="AA83" s="41" t="s">
        <v>45</v>
      </c>
      <c r="AB83" s="41" t="n">
        <v>1</v>
      </c>
      <c r="AC83" s="46"/>
      <c r="AD83" s="46" t="n">
        <v>24.46191</v>
      </c>
      <c r="AE83" s="46" t="n">
        <v>76.38858</v>
      </c>
    </row>
    <row r="84" customFormat="false" ht="15" hidden="false" customHeight="false" outlineLevel="0" collapsed="false">
      <c r="A84" s="38" t="s">
        <v>39</v>
      </c>
      <c r="B84" s="10" t="s">
        <v>227</v>
      </c>
      <c r="C84" s="10" t="s">
        <v>323</v>
      </c>
      <c r="D84" s="38" t="s">
        <v>331</v>
      </c>
      <c r="E84" s="10" t="n">
        <v>104190</v>
      </c>
      <c r="F84" s="38" t="n">
        <v>294.57</v>
      </c>
      <c r="G84" s="38" t="n">
        <v>137</v>
      </c>
      <c r="H84" s="38" t="n">
        <v>660</v>
      </c>
      <c r="I84" s="38" t="n">
        <v>324</v>
      </c>
      <c r="J84" s="38" t="n">
        <v>336</v>
      </c>
      <c r="K84" s="38" t="n">
        <v>65</v>
      </c>
      <c r="L84" s="38" t="n">
        <f aca="false">K84*100/H84</f>
        <v>9.84848484848485</v>
      </c>
      <c r="M84" s="38" t="n">
        <v>96</v>
      </c>
      <c r="N84" s="38" t="n">
        <f aca="false">M84*100/H84</f>
        <v>14.5454545454545</v>
      </c>
      <c r="O84" s="38" t="n">
        <v>35.17</v>
      </c>
      <c r="P84" s="38" t="n">
        <v>102.75</v>
      </c>
      <c r="Q84" s="12" t="s">
        <v>43</v>
      </c>
      <c r="R84" s="12" t="s">
        <v>327</v>
      </c>
      <c r="S84" s="38"/>
      <c r="T84" s="46"/>
      <c r="U84" s="38"/>
      <c r="V84" s="38"/>
      <c r="W84" s="38"/>
      <c r="X84" s="38"/>
      <c r="Y84" s="38"/>
      <c r="Z84" s="38"/>
      <c r="AA84" s="12" t="s">
        <v>82</v>
      </c>
      <c r="AB84" s="12" t="n">
        <v>11</v>
      </c>
      <c r="AC84" s="38"/>
      <c r="AD84" s="42" t="n">
        <v>24.467231</v>
      </c>
      <c r="AE84" s="42" t="n">
        <v>76.385101</v>
      </c>
    </row>
    <row r="85" customFormat="false" ht="15" hidden="false" customHeight="false" outlineLevel="0" collapsed="false">
      <c r="A85" s="38" t="s">
        <v>39</v>
      </c>
      <c r="B85" s="10" t="s">
        <v>227</v>
      </c>
      <c r="C85" s="10" t="s">
        <v>323</v>
      </c>
      <c r="D85" s="38" t="s">
        <v>331</v>
      </c>
      <c r="E85" s="10"/>
      <c r="F85" s="38"/>
      <c r="G85" s="38"/>
      <c r="H85" s="38"/>
      <c r="I85" s="38"/>
      <c r="J85" s="38"/>
      <c r="K85" s="38"/>
      <c r="L85" s="38" t="e">
        <f aca="false">K85*100/H85</f>
        <v>#DIV/0!</v>
      </c>
      <c r="M85" s="38"/>
      <c r="N85" s="38" t="e">
        <f aca="false">M85*100/H85</f>
        <v>#DIV/0!</v>
      </c>
      <c r="O85" s="38"/>
      <c r="P85" s="38"/>
      <c r="Q85" s="39" t="s">
        <v>45</v>
      </c>
      <c r="R85" s="39" t="s">
        <v>332</v>
      </c>
      <c r="S85" s="38"/>
      <c r="T85" s="39" t="n">
        <v>29</v>
      </c>
      <c r="U85" s="38"/>
      <c r="V85" s="38"/>
      <c r="W85" s="38"/>
      <c r="X85" s="38"/>
      <c r="Y85" s="38"/>
      <c r="Z85" s="38"/>
      <c r="AA85" s="41" t="s">
        <v>45</v>
      </c>
      <c r="AB85" s="41" t="n">
        <v>2</v>
      </c>
      <c r="AC85" s="46"/>
      <c r="AD85" s="46" t="n">
        <v>24.46723</v>
      </c>
      <c r="AE85" s="46" t="n">
        <v>76.3851</v>
      </c>
    </row>
    <row r="86" customFormat="false" ht="15" hidden="false" customHeight="false" outlineLevel="0" collapsed="false">
      <c r="A86" s="38" t="s">
        <v>39</v>
      </c>
      <c r="B86" s="10" t="s">
        <v>227</v>
      </c>
      <c r="C86" s="10" t="s">
        <v>323</v>
      </c>
      <c r="D86" s="38" t="s">
        <v>333</v>
      </c>
      <c r="E86" s="10" t="n">
        <v>104191</v>
      </c>
      <c r="F86" s="38" t="n">
        <v>424.47</v>
      </c>
      <c r="G86" s="38" t="n">
        <v>76</v>
      </c>
      <c r="H86" s="38" t="n">
        <v>418</v>
      </c>
      <c r="I86" s="38" t="n">
        <v>208</v>
      </c>
      <c r="J86" s="38" t="n">
        <v>210</v>
      </c>
      <c r="K86" s="38" t="n">
        <v>134</v>
      </c>
      <c r="L86" s="38" t="n">
        <f aca="false">K86*100/H86</f>
        <v>32.0574162679426</v>
      </c>
      <c r="M86" s="38" t="n">
        <v>0</v>
      </c>
      <c r="N86" s="38" t="n">
        <f aca="false">M86*100/H86</f>
        <v>0</v>
      </c>
      <c r="O86" s="38" t="n">
        <v>37.15</v>
      </c>
      <c r="P86" s="38" t="n">
        <v>258.01</v>
      </c>
      <c r="Q86" s="23" t="s">
        <v>45</v>
      </c>
      <c r="R86" s="23" t="s">
        <v>332</v>
      </c>
      <c r="S86" s="38"/>
      <c r="T86" s="46"/>
      <c r="U86" s="38"/>
      <c r="V86" s="38"/>
      <c r="W86" s="38"/>
      <c r="X86" s="38"/>
      <c r="Y86" s="38"/>
      <c r="Z86" s="38"/>
      <c r="AA86" s="12" t="s">
        <v>150</v>
      </c>
      <c r="AB86" s="12" t="n">
        <v>4.472</v>
      </c>
      <c r="AC86" s="38"/>
      <c r="AD86" s="42" t="n">
        <v>24.473082</v>
      </c>
      <c r="AE86" s="42" t="n">
        <v>76.389729</v>
      </c>
    </row>
    <row r="87" customFormat="false" ht="15" hidden="false" customHeight="false" outlineLevel="0" collapsed="false">
      <c r="A87" s="38" t="s">
        <v>39</v>
      </c>
      <c r="B87" s="10" t="s">
        <v>227</v>
      </c>
      <c r="C87" s="10" t="s">
        <v>323</v>
      </c>
      <c r="D87" s="38" t="s">
        <v>333</v>
      </c>
      <c r="E87" s="10"/>
      <c r="F87" s="38"/>
      <c r="G87" s="38"/>
      <c r="H87" s="38"/>
      <c r="I87" s="38"/>
      <c r="J87" s="38"/>
      <c r="K87" s="38"/>
      <c r="L87" s="38" t="e">
        <f aca="false">K87*100/H87</f>
        <v>#DIV/0!</v>
      </c>
      <c r="M87" s="38"/>
      <c r="N87" s="38" t="e">
        <f aca="false">M87*100/H87</f>
        <v>#DIV/0!</v>
      </c>
      <c r="O87" s="38"/>
      <c r="P87" s="38"/>
      <c r="Q87" s="12" t="s">
        <v>43</v>
      </c>
      <c r="R87" s="39" t="s">
        <v>332</v>
      </c>
      <c r="S87" s="38"/>
      <c r="T87" s="39" t="n">
        <v>37.718</v>
      </c>
      <c r="U87" s="38"/>
      <c r="V87" s="38"/>
      <c r="W87" s="38"/>
      <c r="X87" s="38"/>
      <c r="Y87" s="38"/>
      <c r="Z87" s="38"/>
      <c r="AA87" s="12" t="s">
        <v>82</v>
      </c>
      <c r="AB87" s="10" t="n">
        <v>1.428</v>
      </c>
      <c r="AC87" s="46"/>
      <c r="AD87" s="46" t="n">
        <v>24.46383</v>
      </c>
      <c r="AE87" s="46" t="n">
        <v>76.33492</v>
      </c>
    </row>
    <row r="88" customFormat="false" ht="15" hidden="false" customHeight="false" outlineLevel="0" collapsed="false">
      <c r="A88" s="38" t="s">
        <v>39</v>
      </c>
      <c r="B88" s="10" t="s">
        <v>227</v>
      </c>
      <c r="C88" s="10" t="s">
        <v>323</v>
      </c>
      <c r="D88" s="38" t="s">
        <v>333</v>
      </c>
      <c r="E88" s="10"/>
      <c r="F88" s="38"/>
      <c r="G88" s="38"/>
      <c r="H88" s="38"/>
      <c r="I88" s="38"/>
      <c r="J88" s="38"/>
      <c r="K88" s="38"/>
      <c r="L88" s="38" t="e">
        <f aca="false">K88*100/H88</f>
        <v>#DIV/0!</v>
      </c>
      <c r="M88" s="38"/>
      <c r="N88" s="38" t="e">
        <f aca="false">M88*100/H88</f>
        <v>#DIV/0!</v>
      </c>
      <c r="O88" s="38"/>
      <c r="P88" s="38"/>
      <c r="Q88" s="12" t="s">
        <v>43</v>
      </c>
      <c r="R88" s="39" t="s">
        <v>332</v>
      </c>
      <c r="S88" s="38"/>
      <c r="T88" s="46"/>
      <c r="U88" s="38"/>
      <c r="V88" s="38"/>
      <c r="W88" s="38"/>
      <c r="X88" s="38"/>
      <c r="Y88" s="38"/>
      <c r="Z88" s="38"/>
      <c r="AA88" s="12" t="s">
        <v>82</v>
      </c>
      <c r="AB88" s="10" t="n">
        <v>3.044</v>
      </c>
      <c r="AC88" s="38"/>
      <c r="AD88" s="38" t="n">
        <v>24.46383</v>
      </c>
      <c r="AE88" s="38" t="n">
        <v>76.33492</v>
      </c>
    </row>
    <row r="89" customFormat="false" ht="15" hidden="false" customHeight="false" outlineLevel="0" collapsed="false">
      <c r="A89" s="38" t="s">
        <v>39</v>
      </c>
      <c r="B89" s="10" t="s">
        <v>227</v>
      </c>
      <c r="C89" s="10" t="s">
        <v>323</v>
      </c>
      <c r="D89" s="38" t="s">
        <v>333</v>
      </c>
      <c r="E89" s="10"/>
      <c r="F89" s="38"/>
      <c r="G89" s="38"/>
      <c r="H89" s="38"/>
      <c r="I89" s="38"/>
      <c r="J89" s="38"/>
      <c r="K89" s="38"/>
      <c r="L89" s="38" t="e">
        <f aca="false">K89*100/H89</f>
        <v>#DIV/0!</v>
      </c>
      <c r="M89" s="38"/>
      <c r="N89" s="38" t="e">
        <f aca="false">M89*100/H89</f>
        <v>#DIV/0!</v>
      </c>
      <c r="O89" s="38"/>
      <c r="P89" s="38"/>
      <c r="Q89" s="39" t="s">
        <v>45</v>
      </c>
      <c r="R89" s="39" t="s">
        <v>334</v>
      </c>
      <c r="S89" s="38"/>
      <c r="T89" s="41"/>
      <c r="U89" s="38"/>
      <c r="V89" s="38"/>
      <c r="W89" s="38"/>
      <c r="X89" s="38"/>
      <c r="Y89" s="38"/>
      <c r="Z89" s="38"/>
      <c r="AA89" s="41" t="s">
        <v>45</v>
      </c>
      <c r="AB89" s="41" t="n">
        <v>5</v>
      </c>
      <c r="AC89" s="38"/>
      <c r="AD89" s="38" t="n">
        <v>24.4745</v>
      </c>
      <c r="AE89" s="38" t="n">
        <v>76.38936</v>
      </c>
    </row>
    <row r="90" customFormat="false" ht="15" hidden="false" customHeight="false" outlineLevel="0" collapsed="false">
      <c r="A90" s="38" t="s">
        <v>39</v>
      </c>
      <c r="B90" s="10" t="s">
        <v>227</v>
      </c>
      <c r="C90" s="10" t="s">
        <v>335</v>
      </c>
      <c r="D90" s="38" t="s">
        <v>336</v>
      </c>
      <c r="E90" s="10" t="n">
        <v>104023</v>
      </c>
      <c r="F90" s="38" t="n">
        <v>54.79</v>
      </c>
      <c r="G90" s="38" t="n">
        <v>56</v>
      </c>
      <c r="H90" s="38" t="n">
        <v>301</v>
      </c>
      <c r="I90" s="38" t="n">
        <v>152</v>
      </c>
      <c r="J90" s="38" t="n">
        <v>149</v>
      </c>
      <c r="K90" s="38" t="n">
        <v>6</v>
      </c>
      <c r="L90" s="38" t="n">
        <f aca="false">K90*100/H90</f>
        <v>1.99335548172757</v>
      </c>
      <c r="M90" s="38" t="n">
        <v>0</v>
      </c>
      <c r="N90" s="38" t="n">
        <f aca="false">M90*100/H90</f>
        <v>0</v>
      </c>
      <c r="O90" s="38" t="n">
        <v>0</v>
      </c>
      <c r="P90" s="38" t="n">
        <v>0</v>
      </c>
      <c r="Q90" s="15" t="s">
        <v>45</v>
      </c>
      <c r="R90" s="15" t="s">
        <v>337</v>
      </c>
      <c r="S90" s="38"/>
      <c r="T90" s="39" t="n">
        <v>19.07</v>
      </c>
      <c r="U90" s="38"/>
      <c r="V90" s="38"/>
      <c r="W90" s="38"/>
      <c r="X90" s="38"/>
      <c r="Y90" s="38"/>
      <c r="Z90" s="38"/>
      <c r="AA90" s="16" t="s">
        <v>45</v>
      </c>
      <c r="AB90" s="16" t="n">
        <v>3</v>
      </c>
      <c r="AC90" s="48"/>
      <c r="AD90" s="48"/>
      <c r="AE90" s="48"/>
    </row>
    <row r="91" customFormat="false" ht="18.75" hidden="false" customHeight="false" outlineLevel="0" collapsed="false">
      <c r="A91" s="38" t="s">
        <v>39</v>
      </c>
      <c r="B91" s="10" t="s">
        <v>227</v>
      </c>
      <c r="C91" s="10" t="s">
        <v>335</v>
      </c>
      <c r="D91" s="38" t="s">
        <v>338</v>
      </c>
      <c r="E91" s="10" t="n">
        <v>104025</v>
      </c>
      <c r="F91" s="38" t="n">
        <v>851.77</v>
      </c>
      <c r="G91" s="38" t="n">
        <v>100</v>
      </c>
      <c r="H91" s="38" t="n">
        <v>590</v>
      </c>
      <c r="I91" s="38" t="n">
        <v>290</v>
      </c>
      <c r="J91" s="38" t="n">
        <v>300</v>
      </c>
      <c r="K91" s="38" t="n">
        <v>0</v>
      </c>
      <c r="L91" s="38" t="n">
        <f aca="false">K91*100/H91</f>
        <v>0</v>
      </c>
      <c r="M91" s="38" t="n">
        <v>590</v>
      </c>
      <c r="N91" s="38" t="n">
        <f aca="false">M91*100/H91</f>
        <v>100</v>
      </c>
      <c r="O91" s="38" t="n">
        <v>15.9</v>
      </c>
      <c r="P91" s="38" t="n">
        <v>651.93</v>
      </c>
      <c r="Q91" s="58"/>
      <c r="R91" s="10"/>
      <c r="S91" s="38"/>
      <c r="T91" s="16" t="n">
        <v>17.3</v>
      </c>
      <c r="U91" s="38"/>
      <c r="V91" s="38"/>
      <c r="W91" s="38"/>
      <c r="X91" s="38"/>
      <c r="Y91" s="38"/>
      <c r="Z91" s="38"/>
      <c r="AA91" s="59"/>
      <c r="AB91" s="59"/>
      <c r="AC91" s="60"/>
      <c r="AD91" s="60"/>
      <c r="AE91" s="60"/>
    </row>
    <row r="92" customFormat="false" ht="18.75" hidden="false" customHeight="false" outlineLevel="0" collapsed="false">
      <c r="A92" s="38" t="s">
        <v>39</v>
      </c>
      <c r="B92" s="10" t="s">
        <v>227</v>
      </c>
      <c r="C92" s="10" t="s">
        <v>335</v>
      </c>
      <c r="D92" s="38" t="s">
        <v>339</v>
      </c>
      <c r="E92" s="10" t="n">
        <v>104035</v>
      </c>
      <c r="F92" s="38" t="n">
        <v>91.88</v>
      </c>
      <c r="G92" s="38"/>
      <c r="H92" s="38" t="n">
        <v>0</v>
      </c>
      <c r="I92" s="38"/>
      <c r="J92" s="38"/>
      <c r="K92" s="38"/>
      <c r="L92" s="38" t="e">
        <f aca="false">K92*100/H92</f>
        <v>#DIV/0!</v>
      </c>
      <c r="M92" s="38"/>
      <c r="N92" s="38" t="e">
        <f aca="false">M92*100/H92</f>
        <v>#DIV/0!</v>
      </c>
      <c r="O92" s="38" t="n">
        <v>0</v>
      </c>
      <c r="P92" s="38" t="n">
        <v>16.95</v>
      </c>
      <c r="Q92" s="15" t="s">
        <v>45</v>
      </c>
      <c r="R92" s="15" t="s">
        <v>337</v>
      </c>
      <c r="S92" s="38"/>
      <c r="T92" s="16" t="n">
        <v>33.54</v>
      </c>
      <c r="U92" s="38"/>
      <c r="V92" s="38"/>
      <c r="W92" s="38"/>
      <c r="X92" s="38"/>
      <c r="Y92" s="38"/>
      <c r="Z92" s="38"/>
      <c r="AA92" s="16" t="s">
        <v>45</v>
      </c>
      <c r="AB92" s="16" t="n">
        <v>2</v>
      </c>
      <c r="AC92" s="60"/>
      <c r="AD92" s="60"/>
      <c r="AE92" s="60"/>
    </row>
    <row r="93" customFormat="false" ht="15" hidden="false" customHeight="false" outlineLevel="0" collapsed="false">
      <c r="A93" s="38" t="s">
        <v>39</v>
      </c>
      <c r="B93" s="10" t="s">
        <v>227</v>
      </c>
      <c r="C93" s="10" t="s">
        <v>335</v>
      </c>
      <c r="D93" s="38" t="s">
        <v>340</v>
      </c>
      <c r="E93" s="10" t="n">
        <v>104036</v>
      </c>
      <c r="F93" s="38" t="n">
        <v>341.45</v>
      </c>
      <c r="G93" s="38" t="n">
        <v>231</v>
      </c>
      <c r="H93" s="38" t="n">
        <v>1168</v>
      </c>
      <c r="I93" s="38" t="n">
        <v>590</v>
      </c>
      <c r="J93" s="38" t="n">
        <v>578</v>
      </c>
      <c r="K93" s="38" t="n">
        <v>0</v>
      </c>
      <c r="L93" s="38" t="n">
        <f aca="false">K93*100/H93</f>
        <v>0</v>
      </c>
      <c r="M93" s="38" t="n">
        <v>1166</v>
      </c>
      <c r="N93" s="38" t="n">
        <f aca="false">M93*100/H93</f>
        <v>99.8287671232877</v>
      </c>
      <c r="O93" s="38" t="n">
        <v>34.02</v>
      </c>
      <c r="P93" s="38" t="n">
        <v>125.5</v>
      </c>
      <c r="Q93" s="15" t="s">
        <v>45</v>
      </c>
      <c r="R93" s="15" t="s">
        <v>337</v>
      </c>
      <c r="S93" s="38"/>
      <c r="T93" s="16" t="n">
        <v>28.66</v>
      </c>
      <c r="U93" s="38"/>
      <c r="V93" s="38" t="s">
        <v>49</v>
      </c>
      <c r="W93" s="38"/>
      <c r="X93" s="38"/>
      <c r="Y93" s="38"/>
      <c r="Z93" s="38"/>
      <c r="AA93" s="16" t="s">
        <v>45</v>
      </c>
      <c r="AB93" s="16" t="n">
        <v>4</v>
      </c>
      <c r="AC93" s="16"/>
      <c r="AD93" s="17" t="n">
        <v>24.581888</v>
      </c>
      <c r="AE93" s="17" t="n">
        <v>76.180366</v>
      </c>
    </row>
    <row r="94" customFormat="false" ht="15" hidden="false" customHeight="false" outlineLevel="0" collapsed="false">
      <c r="A94" s="38" t="s">
        <v>39</v>
      </c>
      <c r="B94" s="10" t="s">
        <v>227</v>
      </c>
      <c r="C94" s="10" t="s">
        <v>335</v>
      </c>
      <c r="D94" s="38" t="s">
        <v>341</v>
      </c>
      <c r="E94" s="10" t="n">
        <v>104037</v>
      </c>
      <c r="F94" s="38" t="n">
        <v>136.47</v>
      </c>
      <c r="G94" s="38" t="n">
        <v>46</v>
      </c>
      <c r="H94" s="38" t="n">
        <v>257</v>
      </c>
      <c r="I94" s="38" t="n">
        <v>132</v>
      </c>
      <c r="J94" s="38" t="n">
        <v>125</v>
      </c>
      <c r="K94" s="38" t="n">
        <v>0</v>
      </c>
      <c r="L94" s="38" t="n">
        <f aca="false">K94*100/H94</f>
        <v>0</v>
      </c>
      <c r="M94" s="38" t="n">
        <v>0</v>
      </c>
      <c r="N94" s="38" t="n">
        <f aca="false">M94*100/H94</f>
        <v>0</v>
      </c>
      <c r="O94" s="38" t="n">
        <v>23.08</v>
      </c>
      <c r="P94" s="38" t="n">
        <v>26.68</v>
      </c>
      <c r="Q94" s="15"/>
      <c r="R94" s="15" t="s">
        <v>337</v>
      </c>
      <c r="S94" s="38"/>
      <c r="T94" s="16" t="n">
        <v>24.5</v>
      </c>
      <c r="U94" s="38"/>
      <c r="V94" s="38"/>
      <c r="W94" s="38"/>
      <c r="X94" s="38"/>
      <c r="Y94" s="38"/>
      <c r="Z94" s="38"/>
      <c r="AA94" s="16" t="s">
        <v>45</v>
      </c>
      <c r="AB94" s="16" t="n">
        <v>2</v>
      </c>
      <c r="AC94" s="16" t="s">
        <v>282</v>
      </c>
      <c r="AD94" s="17" t="n">
        <v>24.580377</v>
      </c>
      <c r="AE94" s="17" t="n">
        <v>76.200099</v>
      </c>
    </row>
    <row r="95" customFormat="false" ht="15" hidden="false" customHeight="false" outlineLevel="0" collapsed="false">
      <c r="A95" s="38" t="s">
        <v>39</v>
      </c>
      <c r="B95" s="10" t="s">
        <v>227</v>
      </c>
      <c r="C95" s="10" t="s">
        <v>335</v>
      </c>
      <c r="D95" s="38" t="s">
        <v>342</v>
      </c>
      <c r="E95" s="10" t="n">
        <v>915830</v>
      </c>
      <c r="F95" s="38" t="n">
        <v>219.55</v>
      </c>
      <c r="G95" s="38" t="n">
        <v>31</v>
      </c>
      <c r="H95" s="38" t="n">
        <v>153</v>
      </c>
      <c r="I95" s="38" t="n">
        <v>77</v>
      </c>
      <c r="J95" s="38" t="n">
        <v>76</v>
      </c>
      <c r="K95" s="38" t="n">
        <v>0</v>
      </c>
      <c r="L95" s="38" t="n">
        <f aca="false">K95*100/H95</f>
        <v>0</v>
      </c>
      <c r="M95" s="38" t="n">
        <v>0</v>
      </c>
      <c r="N95" s="38" t="n">
        <f aca="false">M95*100/H95</f>
        <v>0</v>
      </c>
      <c r="O95" s="38" t="n">
        <v>3.78</v>
      </c>
      <c r="P95" s="38" t="n">
        <v>74.36</v>
      </c>
      <c r="Q95" s="15" t="s">
        <v>45</v>
      </c>
      <c r="R95" s="15" t="s">
        <v>337</v>
      </c>
      <c r="S95" s="38"/>
      <c r="T95" s="16" t="n">
        <v>3.27</v>
      </c>
      <c r="U95" s="38"/>
      <c r="V95" s="38"/>
      <c r="W95" s="38"/>
      <c r="X95" s="38"/>
      <c r="Y95" s="38"/>
      <c r="Z95" s="38"/>
      <c r="AA95" s="16" t="s">
        <v>45</v>
      </c>
      <c r="AB95" s="16" t="n">
        <v>3</v>
      </c>
      <c r="AC95" s="50"/>
      <c r="AD95" s="17" t="n">
        <v>24.61851</v>
      </c>
      <c r="AE95" s="17" t="n">
        <v>76.197602</v>
      </c>
    </row>
    <row r="96" customFormat="false" ht="15" hidden="false" customHeight="false" outlineLevel="0" collapsed="false">
      <c r="A96" s="38" t="s">
        <v>39</v>
      </c>
      <c r="B96" s="10" t="s">
        <v>227</v>
      </c>
      <c r="C96" s="10" t="s">
        <v>335</v>
      </c>
      <c r="D96" s="38" t="s">
        <v>343</v>
      </c>
      <c r="E96" s="10" t="n">
        <v>915832</v>
      </c>
      <c r="F96" s="38" t="n">
        <v>277.32</v>
      </c>
      <c r="G96" s="38" t="n">
        <v>83</v>
      </c>
      <c r="H96" s="38" t="n">
        <v>502</v>
      </c>
      <c r="I96" s="38" t="n">
        <v>247</v>
      </c>
      <c r="J96" s="38" t="n">
        <v>255</v>
      </c>
      <c r="K96" s="38" t="n">
        <v>104</v>
      </c>
      <c r="L96" s="38" t="n">
        <f aca="false">K96*100/H96</f>
        <v>20.7171314741036</v>
      </c>
      <c r="M96" s="38" t="n">
        <v>0</v>
      </c>
      <c r="N96" s="38" t="n">
        <f aca="false">M96*100/H96</f>
        <v>0</v>
      </c>
      <c r="O96" s="38" t="n">
        <v>28.1</v>
      </c>
      <c r="P96" s="38" t="n">
        <v>0</v>
      </c>
      <c r="Q96" s="24" t="s">
        <v>45</v>
      </c>
      <c r="R96" s="12" t="s">
        <v>244</v>
      </c>
      <c r="S96" s="38"/>
      <c r="T96" s="50"/>
      <c r="U96" s="38"/>
      <c r="V96" s="38"/>
      <c r="W96" s="38"/>
      <c r="X96" s="38"/>
      <c r="Y96" s="38"/>
      <c r="Z96" s="38"/>
      <c r="AA96" s="12" t="s">
        <v>47</v>
      </c>
      <c r="AB96" s="12" t="n">
        <v>0</v>
      </c>
      <c r="AC96" s="48"/>
      <c r="AD96" s="46" t="n">
        <v>24.486066</v>
      </c>
      <c r="AE96" s="46" t="n">
        <v>76.369511</v>
      </c>
    </row>
    <row r="97" customFormat="false" ht="15" hidden="false" customHeight="false" outlineLevel="0" collapsed="false">
      <c r="A97" s="38" t="s">
        <v>39</v>
      </c>
      <c r="B97" s="10" t="s">
        <v>227</v>
      </c>
      <c r="C97" s="10" t="s">
        <v>344</v>
      </c>
      <c r="D97" s="38" t="s">
        <v>345</v>
      </c>
      <c r="E97" s="10" t="n">
        <v>104173</v>
      </c>
      <c r="F97" s="38" t="n">
        <v>116.13</v>
      </c>
      <c r="G97" s="38" t="n">
        <v>96</v>
      </c>
      <c r="H97" s="38" t="n">
        <v>432</v>
      </c>
      <c r="I97" s="38" t="n">
        <v>221</v>
      </c>
      <c r="J97" s="38" t="n">
        <v>211</v>
      </c>
      <c r="K97" s="38" t="n">
        <v>17</v>
      </c>
      <c r="L97" s="38" t="n">
        <f aca="false">K97*100/H97</f>
        <v>3.93518518518519</v>
      </c>
      <c r="M97" s="38" t="n">
        <v>5</v>
      </c>
      <c r="N97" s="38" t="n">
        <f aca="false">M97*100/H97</f>
        <v>1.15740740740741</v>
      </c>
      <c r="O97" s="38" t="n">
        <v>21.44</v>
      </c>
      <c r="P97" s="38" t="n">
        <v>0</v>
      </c>
      <c r="Q97" s="24" t="s">
        <v>45</v>
      </c>
      <c r="R97" s="12" t="s">
        <v>244</v>
      </c>
      <c r="S97" s="38"/>
      <c r="T97" s="46" t="n">
        <v>25.44</v>
      </c>
      <c r="U97" s="38"/>
      <c r="V97" s="38"/>
      <c r="W97" s="38"/>
      <c r="X97" s="38"/>
      <c r="Y97" s="38"/>
      <c r="Z97" s="38"/>
      <c r="AA97" s="12" t="s">
        <v>43</v>
      </c>
      <c r="AB97" s="12" t="n">
        <v>13.5</v>
      </c>
      <c r="AC97" s="46"/>
      <c r="AD97" s="46" t="n">
        <v>24.483588</v>
      </c>
      <c r="AE97" s="46" t="n">
        <v>76.354599</v>
      </c>
    </row>
    <row r="98" customFormat="false" ht="15" hidden="false" customHeight="false" outlineLevel="0" collapsed="false">
      <c r="A98" s="38" t="s">
        <v>39</v>
      </c>
      <c r="B98" s="10" t="s">
        <v>227</v>
      </c>
      <c r="C98" s="10" t="s">
        <v>344</v>
      </c>
      <c r="D98" s="38" t="s">
        <v>346</v>
      </c>
      <c r="E98" s="10" t="n">
        <v>104174</v>
      </c>
      <c r="F98" s="38" t="n">
        <v>297.19</v>
      </c>
      <c r="G98" s="38" t="n">
        <v>186</v>
      </c>
      <c r="H98" s="38" t="n">
        <v>976</v>
      </c>
      <c r="I98" s="38" t="n">
        <v>495</v>
      </c>
      <c r="J98" s="38" t="n">
        <v>481</v>
      </c>
      <c r="K98" s="38" t="n">
        <v>169</v>
      </c>
      <c r="L98" s="38" t="n">
        <f aca="false">K98*100/H98</f>
        <v>17.3155737704918</v>
      </c>
      <c r="M98" s="38" t="n">
        <v>34</v>
      </c>
      <c r="N98" s="38" t="n">
        <f aca="false">M98*100/H98</f>
        <v>3.48360655737705</v>
      </c>
      <c r="O98" s="38" t="n">
        <v>2.4</v>
      </c>
      <c r="P98" s="38" t="n">
        <v>75.9</v>
      </c>
      <c r="Q98" s="24" t="s">
        <v>45</v>
      </c>
      <c r="R98" s="12" t="s">
        <v>244</v>
      </c>
      <c r="S98" s="38"/>
      <c r="T98" s="61" t="n">
        <v>4.61</v>
      </c>
      <c r="U98" s="38"/>
      <c r="V98" s="38"/>
      <c r="W98" s="38"/>
      <c r="X98" s="38"/>
      <c r="Y98" s="38"/>
      <c r="Z98" s="38"/>
      <c r="AA98" s="12" t="s">
        <v>43</v>
      </c>
      <c r="AB98" s="11" t="n">
        <v>9</v>
      </c>
      <c r="AC98" s="24"/>
      <c r="AD98" s="61" t="n">
        <v>24.504237</v>
      </c>
      <c r="AE98" s="61" t="n">
        <v>76.370176</v>
      </c>
    </row>
    <row r="99" customFormat="false" ht="15" hidden="false" customHeight="false" outlineLevel="0" collapsed="false">
      <c r="A99" s="38" t="s">
        <v>39</v>
      </c>
      <c r="B99" s="10" t="s">
        <v>227</v>
      </c>
      <c r="C99" s="10" t="s">
        <v>344</v>
      </c>
      <c r="D99" s="38" t="s">
        <v>347</v>
      </c>
      <c r="E99" s="10" t="n">
        <v>104176</v>
      </c>
      <c r="F99" s="38"/>
      <c r="G99" s="38"/>
      <c r="H99" s="38"/>
      <c r="I99" s="38"/>
      <c r="J99" s="38"/>
      <c r="K99" s="38"/>
      <c r="L99" s="38" t="e">
        <f aca="false">K99*100/H99</f>
        <v>#DIV/0!</v>
      </c>
      <c r="M99" s="38"/>
      <c r="N99" s="38" t="e">
        <f aca="false">M99*100/H99</f>
        <v>#DIV/0!</v>
      </c>
      <c r="O99" s="38"/>
      <c r="P99" s="38"/>
      <c r="Q99" s="24" t="s">
        <v>45</v>
      </c>
      <c r="R99" s="12" t="s">
        <v>244</v>
      </c>
      <c r="S99" s="38"/>
      <c r="T99" s="61"/>
      <c r="U99" s="38"/>
      <c r="V99" s="38"/>
      <c r="W99" s="38"/>
      <c r="X99" s="38"/>
      <c r="Y99" s="38"/>
      <c r="Z99" s="38"/>
      <c r="AA99" s="12" t="s">
        <v>47</v>
      </c>
      <c r="AB99" s="11"/>
      <c r="AC99" s="50"/>
      <c r="AD99" s="50" t="n">
        <v>24.49583</v>
      </c>
      <c r="AE99" s="50" t="n">
        <v>76.333915</v>
      </c>
    </row>
    <row r="100" customFormat="false" ht="15" hidden="false" customHeight="false" outlineLevel="0" collapsed="false">
      <c r="A100" s="38" t="s">
        <v>39</v>
      </c>
      <c r="B100" s="10" t="s">
        <v>227</v>
      </c>
      <c r="C100" s="10" t="s">
        <v>344</v>
      </c>
      <c r="D100" s="38" t="s">
        <v>348</v>
      </c>
      <c r="E100" s="10" t="n">
        <v>104177</v>
      </c>
      <c r="F100" s="38" t="n">
        <v>189.42</v>
      </c>
      <c r="G100" s="38"/>
      <c r="H100" s="38" t="n">
        <v>0</v>
      </c>
      <c r="I100" s="38"/>
      <c r="J100" s="38"/>
      <c r="K100" s="38"/>
      <c r="L100" s="38" t="e">
        <f aca="false">K100*100/H100</f>
        <v>#DIV/0!</v>
      </c>
      <c r="M100" s="38"/>
      <c r="N100" s="38" t="e">
        <f aca="false">M100*100/H100</f>
        <v>#DIV/0!</v>
      </c>
      <c r="O100" s="38" t="n">
        <v>0</v>
      </c>
      <c r="P100" s="38" t="n">
        <v>170.39</v>
      </c>
      <c r="Q100" s="12" t="s">
        <v>45</v>
      </c>
      <c r="R100" s="12" t="s">
        <v>244</v>
      </c>
      <c r="S100" s="38"/>
      <c r="T100" s="50" t="n">
        <v>2.4</v>
      </c>
      <c r="U100" s="38"/>
      <c r="V100" s="38"/>
      <c r="W100" s="38"/>
      <c r="X100" s="38"/>
      <c r="Y100" s="38"/>
      <c r="Z100" s="38"/>
      <c r="AA100" s="12"/>
      <c r="AB100" s="12"/>
      <c r="AC100" s="50"/>
      <c r="AD100" s="46" t="n">
        <v>24.493614</v>
      </c>
      <c r="AE100" s="46" t="n">
        <v>76.322024</v>
      </c>
    </row>
    <row r="101" customFormat="false" ht="15" hidden="false" customHeight="false" outlineLevel="0" collapsed="false">
      <c r="A101" s="38" t="s">
        <v>39</v>
      </c>
      <c r="B101" s="10" t="s">
        <v>227</v>
      </c>
      <c r="C101" s="10" t="s">
        <v>344</v>
      </c>
      <c r="D101" s="38" t="s">
        <v>349</v>
      </c>
      <c r="E101" s="10" t="n">
        <v>104178</v>
      </c>
      <c r="F101" s="38" t="n">
        <v>690.15</v>
      </c>
      <c r="G101" s="38" t="n">
        <v>68</v>
      </c>
      <c r="H101" s="38" t="n">
        <v>366</v>
      </c>
      <c r="I101" s="38" t="n">
        <v>185</v>
      </c>
      <c r="J101" s="38" t="n">
        <v>181</v>
      </c>
      <c r="K101" s="38" t="n">
        <v>5</v>
      </c>
      <c r="L101" s="38" t="n">
        <f aca="false">K101*100/H101</f>
        <v>1.36612021857924</v>
      </c>
      <c r="M101" s="38" t="n">
        <v>0</v>
      </c>
      <c r="N101" s="38" t="n">
        <f aca="false">M101*100/H101</f>
        <v>0</v>
      </c>
      <c r="O101" s="38" t="n">
        <v>8.9</v>
      </c>
      <c r="P101" s="38" t="n">
        <v>626.83</v>
      </c>
      <c r="Q101" s="24" t="s">
        <v>45</v>
      </c>
      <c r="R101" s="12" t="s">
        <v>244</v>
      </c>
      <c r="S101" s="38"/>
      <c r="T101" s="50"/>
      <c r="U101" s="38"/>
      <c r="V101" s="38"/>
      <c r="W101" s="38"/>
      <c r="X101" s="38"/>
      <c r="Y101" s="38"/>
      <c r="Z101" s="38"/>
      <c r="AA101" s="11"/>
      <c r="AB101" s="11"/>
      <c r="AC101" s="46"/>
      <c r="AD101" s="46" t="n">
        <v>24.5402639</v>
      </c>
      <c r="AE101" s="46" t="n">
        <v>76.1725774</v>
      </c>
    </row>
    <row r="102" customFormat="false" ht="15" hidden="false" customHeight="false" outlineLevel="0" collapsed="false">
      <c r="A102" s="38" t="s">
        <v>39</v>
      </c>
      <c r="B102" s="10" t="s">
        <v>227</v>
      </c>
      <c r="C102" s="10" t="s">
        <v>344</v>
      </c>
      <c r="D102" s="38" t="s">
        <v>350</v>
      </c>
      <c r="E102" s="10" t="n">
        <v>104184</v>
      </c>
      <c r="F102" s="38" t="n">
        <v>643.93</v>
      </c>
      <c r="G102" s="38" t="n">
        <v>178</v>
      </c>
      <c r="H102" s="38" t="n">
        <v>871</v>
      </c>
      <c r="I102" s="38" t="n">
        <v>449</v>
      </c>
      <c r="J102" s="38" t="n">
        <v>422</v>
      </c>
      <c r="K102" s="38" t="n">
        <v>12</v>
      </c>
      <c r="L102" s="38" t="n">
        <f aca="false">K102*100/H102</f>
        <v>1.37772675086108</v>
      </c>
      <c r="M102" s="38" t="n">
        <v>805</v>
      </c>
      <c r="N102" s="38" t="n">
        <f aca="false">M102*100/H102</f>
        <v>92.4225028702641</v>
      </c>
      <c r="O102" s="38" t="n">
        <v>0</v>
      </c>
      <c r="P102" s="38" t="n">
        <v>401.82</v>
      </c>
      <c r="Q102" s="24" t="s">
        <v>45</v>
      </c>
      <c r="R102" s="12" t="s">
        <v>244</v>
      </c>
      <c r="S102" s="38"/>
      <c r="T102" s="12" t="n">
        <v>27.36</v>
      </c>
      <c r="U102" s="38"/>
      <c r="V102" s="38"/>
      <c r="W102" s="38"/>
      <c r="X102" s="38"/>
      <c r="Y102" s="38"/>
      <c r="Z102" s="38"/>
      <c r="AA102" s="12" t="s">
        <v>43</v>
      </c>
      <c r="AB102" s="12" t="n">
        <v>4.5</v>
      </c>
      <c r="AC102" s="46"/>
      <c r="AD102" s="46" t="n">
        <v>24.509829</v>
      </c>
      <c r="AE102" s="46" t="n">
        <v>76.368842</v>
      </c>
    </row>
    <row r="103" customFormat="false" ht="15" hidden="false" customHeight="false" outlineLevel="0" collapsed="false">
      <c r="A103" s="38" t="s">
        <v>39</v>
      </c>
      <c r="B103" s="10" t="s">
        <v>227</v>
      </c>
      <c r="C103" s="10" t="s">
        <v>344</v>
      </c>
      <c r="D103" s="38" t="s">
        <v>351</v>
      </c>
      <c r="E103" s="10" t="n">
        <v>104188</v>
      </c>
      <c r="F103" s="38" t="n">
        <v>184.94</v>
      </c>
      <c r="G103" s="38" t="n">
        <v>106</v>
      </c>
      <c r="H103" s="38" t="n">
        <v>562</v>
      </c>
      <c r="I103" s="38" t="n">
        <v>309</v>
      </c>
      <c r="J103" s="38" t="n">
        <v>253</v>
      </c>
      <c r="K103" s="38" t="n">
        <v>55</v>
      </c>
      <c r="L103" s="38" t="n">
        <f aca="false">K103*100/H103</f>
        <v>9.7864768683274</v>
      </c>
      <c r="M103" s="38" t="n">
        <v>0</v>
      </c>
      <c r="N103" s="38" t="n">
        <f aca="false">M103*100/H103</f>
        <v>0</v>
      </c>
      <c r="O103" s="38" t="n">
        <v>25.57</v>
      </c>
      <c r="P103" s="38" t="n">
        <v>0</v>
      </c>
      <c r="Q103" s="12" t="s">
        <v>43</v>
      </c>
      <c r="R103" s="12" t="s">
        <v>352</v>
      </c>
      <c r="S103" s="38"/>
      <c r="T103" s="46" t="n">
        <v>19.92</v>
      </c>
      <c r="U103" s="38"/>
      <c r="V103" s="38"/>
      <c r="W103" s="38"/>
      <c r="X103" s="38"/>
      <c r="Y103" s="38"/>
      <c r="Z103" s="38"/>
      <c r="AA103" s="12" t="s">
        <v>82</v>
      </c>
      <c r="AB103" s="12" t="n">
        <v>1.5</v>
      </c>
      <c r="AC103" s="12"/>
      <c r="AD103" s="46" t="n">
        <v>24.5893</v>
      </c>
      <c r="AE103" s="46" t="n">
        <v>76.2343</v>
      </c>
    </row>
    <row r="104" customFormat="false" ht="15" hidden="false" customHeight="false" outlineLevel="0" collapsed="false">
      <c r="A104" s="38" t="s">
        <v>39</v>
      </c>
      <c r="B104" s="10" t="s">
        <v>227</v>
      </c>
      <c r="C104" s="10" t="s">
        <v>353</v>
      </c>
      <c r="D104" s="38" t="s">
        <v>354</v>
      </c>
      <c r="E104" s="10" t="n">
        <v>104027</v>
      </c>
      <c r="F104" s="38" t="n">
        <v>843.59</v>
      </c>
      <c r="G104" s="38" t="n">
        <v>161</v>
      </c>
      <c r="H104" s="38" t="n">
        <v>713</v>
      </c>
      <c r="I104" s="38" t="n">
        <v>384</v>
      </c>
      <c r="J104" s="38" t="n">
        <v>329</v>
      </c>
      <c r="K104" s="38" t="n">
        <v>16</v>
      </c>
      <c r="L104" s="38" t="n">
        <f aca="false">K104*100/H104</f>
        <v>2.24403927068724</v>
      </c>
      <c r="M104" s="38" t="n">
        <v>485</v>
      </c>
      <c r="N104" s="38" t="n">
        <f aca="false">M104*100/H104</f>
        <v>68.0224403927069</v>
      </c>
      <c r="O104" s="38" t="n">
        <v>17.47</v>
      </c>
      <c r="P104" s="38" t="n">
        <v>525.33</v>
      </c>
      <c r="Q104" s="12" t="s">
        <v>43</v>
      </c>
      <c r="R104" s="12" t="s">
        <v>352</v>
      </c>
      <c r="S104" s="38"/>
      <c r="T104" s="46" t="n">
        <v>9.79</v>
      </c>
      <c r="U104" s="38" t="s">
        <v>49</v>
      </c>
      <c r="V104" s="38" t="s">
        <v>49</v>
      </c>
      <c r="W104" s="38" t="s">
        <v>43</v>
      </c>
      <c r="X104" s="38" t="s">
        <v>43</v>
      </c>
      <c r="Y104" s="38" t="s">
        <v>43</v>
      </c>
      <c r="Z104" s="38" t="s">
        <v>43</v>
      </c>
      <c r="AA104" s="12" t="s">
        <v>82</v>
      </c>
      <c r="AB104" s="12" t="n">
        <v>25</v>
      </c>
      <c r="AC104" s="46"/>
      <c r="AD104" s="46" t="n">
        <v>24.582459</v>
      </c>
      <c r="AE104" s="46" t="n">
        <v>76.242446</v>
      </c>
    </row>
    <row r="105" customFormat="false" ht="15" hidden="false" customHeight="false" outlineLevel="0" collapsed="false">
      <c r="A105" s="38" t="s">
        <v>39</v>
      </c>
      <c r="B105" s="10" t="s">
        <v>227</v>
      </c>
      <c r="C105" s="10" t="s">
        <v>355</v>
      </c>
      <c r="D105" s="38" t="s">
        <v>356</v>
      </c>
      <c r="E105" s="10" t="n">
        <v>104096</v>
      </c>
      <c r="F105" s="38" t="n">
        <v>179.6</v>
      </c>
      <c r="G105" s="38"/>
      <c r="H105" s="38" t="n">
        <v>0</v>
      </c>
      <c r="I105" s="38"/>
      <c r="J105" s="38"/>
      <c r="K105" s="38"/>
      <c r="L105" s="38" t="e">
        <f aca="false">K105*100/H105</f>
        <v>#DIV/0!</v>
      </c>
      <c r="M105" s="38"/>
      <c r="N105" s="38" t="e">
        <f aca="false">M105*100/H105</f>
        <v>#DIV/0!</v>
      </c>
      <c r="O105" s="38" t="n">
        <v>0</v>
      </c>
      <c r="P105" s="38" t="n">
        <v>176.15</v>
      </c>
      <c r="Q105" s="12" t="s">
        <v>43</v>
      </c>
      <c r="R105" s="12" t="s">
        <v>271</v>
      </c>
      <c r="S105" s="38"/>
      <c r="T105" s="46" t="n">
        <v>3.88</v>
      </c>
      <c r="U105" s="38"/>
      <c r="V105" s="38"/>
      <c r="W105" s="38"/>
      <c r="X105" s="38"/>
      <c r="Y105" s="38"/>
      <c r="Z105" s="38"/>
      <c r="AA105" s="12" t="s">
        <v>272</v>
      </c>
      <c r="AB105" s="12" t="n">
        <v>0</v>
      </c>
      <c r="AC105" s="48"/>
      <c r="AD105" s="46" t="n">
        <v>24.52428</v>
      </c>
      <c r="AE105" s="46" t="n">
        <v>76.32139</v>
      </c>
    </row>
    <row r="106" customFormat="false" ht="15" hidden="false" customHeight="false" outlineLevel="0" collapsed="false">
      <c r="A106" s="38" t="s">
        <v>39</v>
      </c>
      <c r="B106" s="10" t="s">
        <v>227</v>
      </c>
      <c r="C106" s="10" t="s">
        <v>355</v>
      </c>
      <c r="D106" s="38" t="s">
        <v>357</v>
      </c>
      <c r="E106" s="10" t="n">
        <v>104098</v>
      </c>
      <c r="F106" s="38" t="n">
        <v>129.77</v>
      </c>
      <c r="G106" s="38" t="n">
        <v>104</v>
      </c>
      <c r="H106" s="38" t="n">
        <v>524</v>
      </c>
      <c r="I106" s="38" t="n">
        <v>273</v>
      </c>
      <c r="J106" s="38" t="n">
        <v>251</v>
      </c>
      <c r="K106" s="38" t="n">
        <v>0</v>
      </c>
      <c r="L106" s="38" t="n">
        <f aca="false">K106*100/H106</f>
        <v>0</v>
      </c>
      <c r="M106" s="38" t="n">
        <v>524</v>
      </c>
      <c r="N106" s="38" t="n">
        <f aca="false">M106*100/H106</f>
        <v>100</v>
      </c>
      <c r="O106" s="38" t="n">
        <v>0</v>
      </c>
      <c r="P106" s="38" t="n">
        <v>39.39</v>
      </c>
      <c r="Q106" s="12" t="s">
        <v>43</v>
      </c>
      <c r="R106" s="12" t="s">
        <v>271</v>
      </c>
      <c r="S106" s="38"/>
      <c r="T106" s="46" t="n">
        <v>19.04</v>
      </c>
      <c r="U106" s="38"/>
      <c r="V106" s="38"/>
      <c r="W106" s="38"/>
      <c r="X106" s="38"/>
      <c r="Y106" s="38"/>
      <c r="Z106" s="38"/>
      <c r="AA106" s="12" t="s">
        <v>272</v>
      </c>
      <c r="AB106" s="12" t="n">
        <v>0</v>
      </c>
      <c r="AC106" s="48"/>
      <c r="AD106" s="46" t="n">
        <v>24.51819</v>
      </c>
      <c r="AE106" s="46" t="n">
        <v>76.30693</v>
      </c>
    </row>
    <row r="107" customFormat="false" ht="15" hidden="false" customHeight="false" outlineLevel="0" collapsed="false">
      <c r="A107" s="38" t="s">
        <v>39</v>
      </c>
      <c r="B107" s="10" t="s">
        <v>227</v>
      </c>
      <c r="C107" s="10" t="s">
        <v>355</v>
      </c>
      <c r="D107" s="38" t="s">
        <v>358</v>
      </c>
      <c r="E107" s="10" t="n">
        <v>104099</v>
      </c>
      <c r="F107" s="38" t="n">
        <v>106.98</v>
      </c>
      <c r="G107" s="38" t="n">
        <v>59</v>
      </c>
      <c r="H107" s="38" t="n">
        <v>279</v>
      </c>
      <c r="I107" s="38" t="n">
        <v>144</v>
      </c>
      <c r="J107" s="38" t="n">
        <v>135</v>
      </c>
      <c r="K107" s="38" t="n">
        <v>0</v>
      </c>
      <c r="L107" s="38" t="n">
        <f aca="false">K107*100/H107</f>
        <v>0</v>
      </c>
      <c r="M107" s="38" t="n">
        <v>279</v>
      </c>
      <c r="N107" s="38" t="n">
        <f aca="false">M107*100/H107</f>
        <v>100</v>
      </c>
      <c r="O107" s="38" t="n">
        <v>9.78</v>
      </c>
      <c r="P107" s="38" t="n">
        <v>18.52</v>
      </c>
      <c r="Q107" s="12" t="s">
        <v>43</v>
      </c>
      <c r="R107" s="12" t="s">
        <v>271</v>
      </c>
      <c r="S107" s="38"/>
      <c r="T107" s="51"/>
      <c r="U107" s="38"/>
      <c r="V107" s="38"/>
      <c r="W107" s="38"/>
      <c r="X107" s="38"/>
      <c r="Y107" s="38"/>
      <c r="Z107" s="38"/>
      <c r="AA107" s="12" t="s">
        <v>272</v>
      </c>
      <c r="AB107" s="12" t="n">
        <v>0</v>
      </c>
      <c r="AC107" s="46"/>
      <c r="AD107" s="46" t="n">
        <v>24.5251</v>
      </c>
      <c r="AE107" s="46" t="n">
        <v>76.29182</v>
      </c>
    </row>
    <row r="108" customFormat="false" ht="15" hidden="false" customHeight="false" outlineLevel="0" collapsed="false">
      <c r="A108" s="38" t="s">
        <v>39</v>
      </c>
      <c r="B108" s="10" t="s">
        <v>227</v>
      </c>
      <c r="C108" s="10" t="s">
        <v>355</v>
      </c>
      <c r="D108" s="38" t="s">
        <v>359</v>
      </c>
      <c r="E108" s="10" t="n">
        <v>104100</v>
      </c>
      <c r="F108" s="38" t="n">
        <v>269.35</v>
      </c>
      <c r="G108" s="38" t="n">
        <v>173</v>
      </c>
      <c r="H108" s="38" t="n">
        <v>850</v>
      </c>
      <c r="I108" s="38" t="n">
        <v>459</v>
      </c>
      <c r="J108" s="38" t="n">
        <v>391</v>
      </c>
      <c r="K108" s="38" t="n">
        <v>49</v>
      </c>
      <c r="L108" s="38" t="n">
        <f aca="false">K108*100/H108</f>
        <v>5.76470588235294</v>
      </c>
      <c r="M108" s="38" t="n">
        <v>759</v>
      </c>
      <c r="N108" s="38" t="n">
        <f aca="false">M108*100/H108</f>
        <v>89.2941176470588</v>
      </c>
      <c r="O108" s="38" t="n">
        <v>4.54</v>
      </c>
      <c r="P108" s="38" t="n">
        <v>63.85</v>
      </c>
      <c r="Q108" s="12" t="s">
        <v>43</v>
      </c>
      <c r="R108" s="12" t="s">
        <v>271</v>
      </c>
      <c r="S108" s="38"/>
      <c r="T108" s="51"/>
      <c r="U108" s="38"/>
      <c r="V108" s="38"/>
      <c r="W108" s="38"/>
      <c r="X108" s="38"/>
      <c r="Y108" s="38"/>
      <c r="Z108" s="38"/>
      <c r="AA108" s="12" t="s">
        <v>272</v>
      </c>
      <c r="AB108" s="12" t="n">
        <v>0</v>
      </c>
      <c r="AC108" s="46"/>
      <c r="AD108" s="46" t="n">
        <v>24.51272</v>
      </c>
      <c r="AE108" s="46" t="n">
        <v>76.30847</v>
      </c>
    </row>
    <row r="109" customFormat="false" ht="15" hidden="false" customHeight="false" outlineLevel="0" collapsed="false">
      <c r="A109" s="38" t="s">
        <v>39</v>
      </c>
      <c r="B109" s="10" t="s">
        <v>227</v>
      </c>
      <c r="C109" s="10" t="s">
        <v>355</v>
      </c>
      <c r="D109" s="38" t="s">
        <v>360</v>
      </c>
      <c r="E109" s="10" t="n">
        <v>104101</v>
      </c>
      <c r="F109" s="38" t="n">
        <v>392.91</v>
      </c>
      <c r="G109" s="38" t="n">
        <v>259</v>
      </c>
      <c r="H109" s="38" t="n">
        <v>1270</v>
      </c>
      <c r="I109" s="38" t="n">
        <v>669</v>
      </c>
      <c r="J109" s="38" t="n">
        <v>601</v>
      </c>
      <c r="K109" s="38" t="n">
        <v>152</v>
      </c>
      <c r="L109" s="38" t="n">
        <f aca="false">K109*100/H109</f>
        <v>11.9685039370079</v>
      </c>
      <c r="M109" s="38" t="n">
        <v>634</v>
      </c>
      <c r="N109" s="38" t="n">
        <f aca="false">M109*100/H109</f>
        <v>49.9212598425197</v>
      </c>
      <c r="O109" s="38" t="n">
        <v>19.41</v>
      </c>
      <c r="P109" s="38" t="n">
        <v>48.4</v>
      </c>
      <c r="Q109" s="49"/>
      <c r="R109" s="10"/>
      <c r="S109" s="38"/>
      <c r="T109" s="46" t="n">
        <v>12.93</v>
      </c>
      <c r="U109" s="38"/>
      <c r="V109" s="38"/>
      <c r="W109" s="38"/>
      <c r="X109" s="38"/>
      <c r="Y109" s="38"/>
      <c r="Z109" s="38"/>
      <c r="AA109" s="49"/>
      <c r="AB109" s="11"/>
      <c r="AC109" s="46"/>
      <c r="AD109" s="51"/>
      <c r="AE109" s="51"/>
    </row>
    <row r="110" customFormat="false" ht="15" hidden="false" customHeight="false" outlineLevel="0" collapsed="false">
      <c r="A110" s="38" t="s">
        <v>39</v>
      </c>
      <c r="B110" s="10" t="s">
        <v>227</v>
      </c>
      <c r="C110" s="10" t="s">
        <v>355</v>
      </c>
      <c r="D110" s="38" t="s">
        <v>361</v>
      </c>
      <c r="E110" s="10" t="n">
        <v>104102</v>
      </c>
      <c r="F110" s="38" t="n">
        <v>125.93</v>
      </c>
      <c r="G110" s="38"/>
      <c r="H110" s="38" t="n">
        <v>0</v>
      </c>
      <c r="I110" s="38"/>
      <c r="J110" s="38"/>
      <c r="K110" s="38"/>
      <c r="L110" s="38" t="e">
        <f aca="false">K110*100/H110</f>
        <v>#DIV/0!</v>
      </c>
      <c r="M110" s="38"/>
      <c r="N110" s="38" t="e">
        <f aca="false">M110*100/H110</f>
        <v>#DIV/0!</v>
      </c>
      <c r="O110" s="38" t="n">
        <v>0</v>
      </c>
      <c r="P110" s="38" t="n">
        <v>2.09</v>
      </c>
      <c r="Q110" s="49"/>
      <c r="R110" s="10"/>
      <c r="S110" s="38"/>
      <c r="T110" s="48"/>
      <c r="U110" s="38"/>
      <c r="V110" s="38"/>
      <c r="W110" s="38"/>
      <c r="X110" s="38"/>
      <c r="Y110" s="38"/>
      <c r="Z110" s="38"/>
      <c r="AA110" s="49"/>
      <c r="AB110" s="11"/>
      <c r="AC110" s="51"/>
      <c r="AD110" s="51"/>
      <c r="AE110" s="51"/>
    </row>
    <row r="111" customFormat="false" ht="15" hidden="false" customHeight="false" outlineLevel="0" collapsed="false">
      <c r="A111" s="38" t="s">
        <v>39</v>
      </c>
      <c r="B111" s="10" t="s">
        <v>227</v>
      </c>
      <c r="C111" s="10" t="s">
        <v>355</v>
      </c>
      <c r="D111" s="38" t="s">
        <v>362</v>
      </c>
      <c r="E111" s="10" t="n">
        <v>104158</v>
      </c>
      <c r="F111" s="38" t="n">
        <v>90.45</v>
      </c>
      <c r="G111" s="38"/>
      <c r="H111" s="38" t="n">
        <v>0</v>
      </c>
      <c r="I111" s="38"/>
      <c r="J111" s="38"/>
      <c r="K111" s="38"/>
      <c r="L111" s="38" t="e">
        <f aca="false">K111*100/H111</f>
        <v>#DIV/0!</v>
      </c>
      <c r="M111" s="38"/>
      <c r="N111" s="38" t="e">
        <f aca="false">M111*100/H111</f>
        <v>#DIV/0!</v>
      </c>
      <c r="O111" s="38" t="n">
        <v>3.89</v>
      </c>
      <c r="P111" s="38" t="n">
        <v>0</v>
      </c>
      <c r="Q111" s="12" t="s">
        <v>43</v>
      </c>
      <c r="R111" s="12" t="s">
        <v>271</v>
      </c>
      <c r="S111" s="38"/>
      <c r="T111" s="48"/>
      <c r="U111" s="38"/>
      <c r="V111" s="38"/>
      <c r="W111" s="38"/>
      <c r="X111" s="38"/>
      <c r="Y111" s="38"/>
      <c r="Z111" s="38"/>
      <c r="AA111" s="12" t="s">
        <v>272</v>
      </c>
      <c r="AB111" s="12" t="n">
        <v>0</v>
      </c>
      <c r="AC111" s="51"/>
      <c r="AD111" s="46" t="n">
        <v>24.49913</v>
      </c>
      <c r="AE111" s="46" t="n">
        <v>76.3104</v>
      </c>
    </row>
    <row r="112" customFormat="false" ht="15" hidden="false" customHeight="false" outlineLevel="0" collapsed="false">
      <c r="A112" s="38" t="s">
        <v>39</v>
      </c>
      <c r="B112" s="10" t="s">
        <v>227</v>
      </c>
      <c r="C112" s="10" t="s">
        <v>355</v>
      </c>
      <c r="D112" s="38" t="s">
        <v>363</v>
      </c>
      <c r="E112" s="10" t="n">
        <v>104159</v>
      </c>
      <c r="F112" s="38" t="n">
        <v>84.12</v>
      </c>
      <c r="G112" s="38" t="n">
        <v>40</v>
      </c>
      <c r="H112" s="38" t="n">
        <v>167</v>
      </c>
      <c r="I112" s="38" t="n">
        <v>85</v>
      </c>
      <c r="J112" s="38" t="n">
        <v>82</v>
      </c>
      <c r="K112" s="38" t="n">
        <v>0</v>
      </c>
      <c r="L112" s="38" t="n">
        <f aca="false">K112*100/H112</f>
        <v>0</v>
      </c>
      <c r="M112" s="38" t="n">
        <v>167</v>
      </c>
      <c r="N112" s="38" t="n">
        <f aca="false">M112*100/H112</f>
        <v>100</v>
      </c>
      <c r="O112" s="38" t="n">
        <v>12.94</v>
      </c>
      <c r="P112" s="38" t="n">
        <v>28.59</v>
      </c>
      <c r="Q112" s="10"/>
      <c r="R112" s="10"/>
      <c r="S112" s="38"/>
      <c r="T112" s="48"/>
      <c r="U112" s="38"/>
      <c r="V112" s="38"/>
      <c r="W112" s="38"/>
      <c r="X112" s="38"/>
      <c r="Y112" s="38"/>
      <c r="Z112" s="38"/>
      <c r="AA112" s="10"/>
      <c r="AB112" s="11"/>
      <c r="AC112" s="46"/>
      <c r="AD112" s="48"/>
      <c r="AE112" s="48"/>
    </row>
    <row r="113" customFormat="false" ht="15" hidden="false" customHeight="false" outlineLevel="0" collapsed="false">
      <c r="A113" s="38" t="s">
        <v>39</v>
      </c>
      <c r="B113" s="10" t="s">
        <v>227</v>
      </c>
      <c r="C113" s="10" t="s">
        <v>355</v>
      </c>
      <c r="D113" s="38" t="s">
        <v>364</v>
      </c>
      <c r="E113" s="10" t="n">
        <v>104160</v>
      </c>
      <c r="F113" s="38" t="n">
        <v>100.37</v>
      </c>
      <c r="G113" s="38"/>
      <c r="H113" s="38" t="n">
        <v>0</v>
      </c>
      <c r="I113" s="38"/>
      <c r="J113" s="38"/>
      <c r="K113" s="38"/>
      <c r="L113" s="38" t="e">
        <f aca="false">K113*100/H113</f>
        <v>#DIV/0!</v>
      </c>
      <c r="M113" s="38"/>
      <c r="N113" s="38" t="e">
        <f aca="false">M113*100/H113</f>
        <v>#DIV/0!</v>
      </c>
      <c r="O113" s="38" t="n">
        <v>11.48</v>
      </c>
      <c r="P113" s="38" t="n">
        <v>0</v>
      </c>
      <c r="Q113" s="10"/>
      <c r="R113" s="10"/>
      <c r="S113" s="38"/>
      <c r="T113" s="48"/>
      <c r="U113" s="38"/>
      <c r="V113" s="38"/>
      <c r="W113" s="38"/>
      <c r="X113" s="38"/>
      <c r="Y113" s="38"/>
      <c r="Z113" s="38"/>
      <c r="AA113" s="10"/>
      <c r="AB113" s="11"/>
      <c r="AC113" s="48"/>
      <c r="AD113" s="48"/>
      <c r="AE113" s="48"/>
    </row>
    <row r="114" customFormat="false" ht="15" hidden="false" customHeight="false" outlineLevel="0" collapsed="false">
      <c r="A114" s="38" t="s">
        <v>39</v>
      </c>
      <c r="B114" s="10" t="s">
        <v>227</v>
      </c>
      <c r="C114" s="10" t="s">
        <v>355</v>
      </c>
      <c r="D114" s="38" t="s">
        <v>365</v>
      </c>
      <c r="E114" s="10" t="n">
        <v>104175</v>
      </c>
      <c r="F114" s="38" t="n">
        <v>137.64</v>
      </c>
      <c r="G114" s="38"/>
      <c r="H114" s="38" t="n">
        <v>0</v>
      </c>
      <c r="I114" s="38"/>
      <c r="J114" s="38"/>
      <c r="K114" s="38"/>
      <c r="L114" s="38" t="e">
        <f aca="false">K114*100/H114</f>
        <v>#DIV/0!</v>
      </c>
      <c r="M114" s="38"/>
      <c r="N114" s="38" t="e">
        <f aca="false">M114*100/H114</f>
        <v>#DIV/0!</v>
      </c>
      <c r="O114" s="38" t="n">
        <v>6.58</v>
      </c>
      <c r="P114" s="38" t="n">
        <v>0</v>
      </c>
      <c r="Q114" s="12" t="s">
        <v>45</v>
      </c>
      <c r="R114" s="12" t="s">
        <v>366</v>
      </c>
      <c r="S114" s="38"/>
      <c r="T114" s="46"/>
      <c r="U114" s="38"/>
      <c r="V114" s="38"/>
      <c r="W114" s="38"/>
      <c r="X114" s="38"/>
      <c r="Y114" s="38"/>
      <c r="Z114" s="38"/>
      <c r="AA114" s="10"/>
      <c r="AB114" s="11"/>
      <c r="AC114" s="48"/>
      <c r="AD114" s="48"/>
      <c r="AE114" s="48"/>
    </row>
    <row r="115" customFormat="false" ht="15" hidden="false" customHeight="false" outlineLevel="0" collapsed="false">
      <c r="A115" s="38" t="s">
        <v>39</v>
      </c>
      <c r="B115" s="10" t="s">
        <v>227</v>
      </c>
      <c r="C115" s="10" t="s">
        <v>367</v>
      </c>
      <c r="D115" s="38" t="s">
        <v>368</v>
      </c>
      <c r="E115" s="10" t="n">
        <v>104070</v>
      </c>
      <c r="F115" s="38" t="n">
        <v>312.11</v>
      </c>
      <c r="G115" s="38" t="n">
        <v>107</v>
      </c>
      <c r="H115" s="38" t="n">
        <v>623</v>
      </c>
      <c r="I115" s="38" t="n">
        <v>330</v>
      </c>
      <c r="J115" s="38" t="n">
        <v>293</v>
      </c>
      <c r="K115" s="38" t="n">
        <v>27</v>
      </c>
      <c r="L115" s="38" t="n">
        <f aca="false">K115*100/H115</f>
        <v>4.3338683788122</v>
      </c>
      <c r="M115" s="38" t="n">
        <v>0</v>
      </c>
      <c r="N115" s="38" t="n">
        <f aca="false">M115*100/H115</f>
        <v>0</v>
      </c>
      <c r="O115" s="38" t="n">
        <v>13.99</v>
      </c>
      <c r="P115" s="38" t="n">
        <v>0</v>
      </c>
      <c r="Q115" s="12" t="s">
        <v>45</v>
      </c>
      <c r="R115" s="12" t="s">
        <v>366</v>
      </c>
      <c r="S115" s="38"/>
      <c r="T115" s="48"/>
      <c r="U115" s="38"/>
      <c r="V115" s="38"/>
      <c r="W115" s="38"/>
      <c r="X115" s="38"/>
      <c r="Y115" s="38"/>
      <c r="Z115" s="38"/>
      <c r="AA115" s="10"/>
      <c r="AB115" s="11"/>
      <c r="AC115" s="48"/>
      <c r="AD115" s="48"/>
      <c r="AE115" s="48"/>
    </row>
    <row r="116" customFormat="false" ht="15" hidden="false" customHeight="false" outlineLevel="0" collapsed="false">
      <c r="A116" s="38" t="s">
        <v>39</v>
      </c>
      <c r="B116" s="10" t="s">
        <v>227</v>
      </c>
      <c r="C116" s="10" t="s">
        <v>367</v>
      </c>
      <c r="D116" s="38" t="s">
        <v>369</v>
      </c>
      <c r="E116" s="10" t="n">
        <v>104071</v>
      </c>
      <c r="F116" s="38" t="n">
        <v>278.27</v>
      </c>
      <c r="G116" s="38" t="n">
        <v>107</v>
      </c>
      <c r="H116" s="38" t="n">
        <v>500</v>
      </c>
      <c r="I116" s="38" t="n">
        <v>268</v>
      </c>
      <c r="J116" s="38" t="n">
        <v>232</v>
      </c>
      <c r="K116" s="38" t="n">
        <v>270</v>
      </c>
      <c r="L116" s="38" t="n">
        <f aca="false">K116*100/H116</f>
        <v>54</v>
      </c>
      <c r="M116" s="38" t="n">
        <v>0</v>
      </c>
      <c r="N116" s="38" t="n">
        <f aca="false">M116*100/H116</f>
        <v>0</v>
      </c>
      <c r="O116" s="38" t="n">
        <v>13.42</v>
      </c>
      <c r="P116" s="38" t="n">
        <v>0</v>
      </c>
      <c r="Q116" s="12" t="s">
        <v>45</v>
      </c>
      <c r="R116" s="12" t="s">
        <v>366</v>
      </c>
      <c r="S116" s="38"/>
      <c r="T116" s="48"/>
      <c r="U116" s="38"/>
      <c r="V116" s="38"/>
      <c r="W116" s="38"/>
      <c r="X116" s="38"/>
      <c r="Y116" s="38"/>
      <c r="Z116" s="38"/>
      <c r="AA116" s="12" t="s">
        <v>43</v>
      </c>
      <c r="AB116" s="12" t="n">
        <v>10</v>
      </c>
      <c r="AC116" s="48"/>
      <c r="AD116" s="47" t="n">
        <v>24.496567</v>
      </c>
      <c r="AE116" s="47" t="n">
        <v>76.183595</v>
      </c>
    </row>
    <row r="117" customFormat="false" ht="15" hidden="false" customHeight="false" outlineLevel="0" collapsed="false">
      <c r="A117" s="38" t="s">
        <v>39</v>
      </c>
      <c r="B117" s="10" t="s">
        <v>227</v>
      </c>
      <c r="C117" s="10" t="s">
        <v>367</v>
      </c>
      <c r="D117" s="38" t="s">
        <v>369</v>
      </c>
      <c r="E117" s="10"/>
      <c r="F117" s="38"/>
      <c r="G117" s="38"/>
      <c r="H117" s="38"/>
      <c r="I117" s="38"/>
      <c r="J117" s="38"/>
      <c r="K117" s="38"/>
      <c r="L117" s="38" t="e">
        <f aca="false">K117*100/H117</f>
        <v>#DIV/0!</v>
      </c>
      <c r="M117" s="38"/>
      <c r="N117" s="38" t="e">
        <f aca="false">M117*100/H117</f>
        <v>#DIV/0!</v>
      </c>
      <c r="O117" s="38"/>
      <c r="P117" s="38"/>
      <c r="Q117" s="12" t="s">
        <v>45</v>
      </c>
      <c r="R117" s="12" t="s">
        <v>366</v>
      </c>
      <c r="S117" s="38"/>
      <c r="T117" s="46"/>
      <c r="U117" s="38"/>
      <c r="V117" s="38"/>
      <c r="W117" s="38"/>
      <c r="X117" s="38"/>
      <c r="Y117" s="38"/>
      <c r="Z117" s="38"/>
      <c r="AA117" s="10"/>
      <c r="AB117" s="11"/>
      <c r="AC117" s="46"/>
      <c r="AD117" s="48"/>
      <c r="AE117" s="48"/>
    </row>
    <row r="118" customFormat="false" ht="15" hidden="false" customHeight="false" outlineLevel="0" collapsed="false">
      <c r="A118" s="38" t="s">
        <v>39</v>
      </c>
      <c r="B118" s="10" t="s">
        <v>227</v>
      </c>
      <c r="C118" s="10" t="s">
        <v>367</v>
      </c>
      <c r="D118" s="38" t="s">
        <v>370</v>
      </c>
      <c r="E118" s="10" t="n">
        <v>104072</v>
      </c>
      <c r="F118" s="38" t="n">
        <v>172.09</v>
      </c>
      <c r="G118" s="38" t="n">
        <v>25</v>
      </c>
      <c r="H118" s="38" t="n">
        <v>99</v>
      </c>
      <c r="I118" s="38" t="n">
        <v>48</v>
      </c>
      <c r="J118" s="38" t="n">
        <v>51</v>
      </c>
      <c r="K118" s="38" t="n">
        <v>0</v>
      </c>
      <c r="L118" s="38" t="n">
        <f aca="false">K118*100/H118</f>
        <v>0</v>
      </c>
      <c r="M118" s="38" t="n">
        <v>6</v>
      </c>
      <c r="N118" s="38" t="n">
        <f aca="false">M118*100/H118</f>
        <v>6.06060606060606</v>
      </c>
      <c r="O118" s="38" t="n">
        <v>2.78</v>
      </c>
      <c r="P118" s="38" t="n">
        <v>1.89</v>
      </c>
      <c r="Q118" s="12" t="s">
        <v>45</v>
      </c>
      <c r="R118" s="12" t="s">
        <v>366</v>
      </c>
      <c r="S118" s="38"/>
      <c r="T118" s="48"/>
      <c r="U118" s="38"/>
      <c r="V118" s="38"/>
      <c r="W118" s="38"/>
      <c r="X118" s="38"/>
      <c r="Y118" s="38"/>
      <c r="Z118" s="38"/>
      <c r="AA118" s="10"/>
      <c r="AB118" s="11"/>
      <c r="AC118" s="48"/>
      <c r="AD118" s="48"/>
      <c r="AE118" s="48"/>
    </row>
    <row r="119" customFormat="false" ht="15" hidden="false" customHeight="false" outlineLevel="0" collapsed="false">
      <c r="A119" s="38" t="s">
        <v>39</v>
      </c>
      <c r="B119" s="10" t="s">
        <v>227</v>
      </c>
      <c r="C119" s="10" t="s">
        <v>367</v>
      </c>
      <c r="D119" s="38" t="s">
        <v>371</v>
      </c>
      <c r="E119" s="10" t="n">
        <v>104073</v>
      </c>
      <c r="F119" s="38" t="n">
        <v>288.96</v>
      </c>
      <c r="G119" s="38" t="n">
        <v>106</v>
      </c>
      <c r="H119" s="38" t="n">
        <v>584</v>
      </c>
      <c r="I119" s="38" t="n">
        <v>308</v>
      </c>
      <c r="J119" s="38" t="n">
        <v>276</v>
      </c>
      <c r="K119" s="38" t="n">
        <v>305</v>
      </c>
      <c r="L119" s="38" t="n">
        <f aca="false">K119*100/H119</f>
        <v>52.2260273972603</v>
      </c>
      <c r="M119" s="38" t="n">
        <v>89</v>
      </c>
      <c r="N119" s="38" t="n">
        <f aca="false">M119*100/H119</f>
        <v>15.2397260273973</v>
      </c>
      <c r="O119" s="38" t="n">
        <v>0</v>
      </c>
      <c r="P119" s="38" t="n">
        <v>81</v>
      </c>
      <c r="Q119" s="12" t="s">
        <v>43</v>
      </c>
      <c r="R119" s="12" t="s">
        <v>275</v>
      </c>
      <c r="S119" s="38"/>
      <c r="T119" s="51"/>
      <c r="U119" s="38"/>
      <c r="V119" s="38"/>
      <c r="W119" s="38"/>
      <c r="X119" s="38"/>
      <c r="Y119" s="38"/>
      <c r="Z119" s="38"/>
      <c r="AA119" s="12" t="s">
        <v>47</v>
      </c>
      <c r="AB119" s="12" t="n">
        <v>0</v>
      </c>
      <c r="AC119" s="48"/>
      <c r="AD119" s="46" t="n">
        <v>24.498</v>
      </c>
      <c r="AE119" s="46" t="n">
        <v>76.2239</v>
      </c>
    </row>
    <row r="120" customFormat="false" ht="15" hidden="false" customHeight="false" outlineLevel="0" collapsed="false">
      <c r="A120" s="38" t="s">
        <v>39</v>
      </c>
      <c r="B120" s="10" t="s">
        <v>227</v>
      </c>
      <c r="C120" s="10" t="s">
        <v>367</v>
      </c>
      <c r="D120" s="38" t="s">
        <v>372</v>
      </c>
      <c r="E120" s="10" t="n">
        <v>104112</v>
      </c>
      <c r="F120" s="38" t="n">
        <v>859</v>
      </c>
      <c r="G120" s="38" t="n">
        <v>173</v>
      </c>
      <c r="H120" s="38" t="n">
        <v>964</v>
      </c>
      <c r="I120" s="38" t="n">
        <v>515</v>
      </c>
      <c r="J120" s="38" t="n">
        <v>449</v>
      </c>
      <c r="K120" s="38" t="n">
        <v>46</v>
      </c>
      <c r="L120" s="38" t="n">
        <f aca="false">K120*100/H120</f>
        <v>4.77178423236515</v>
      </c>
      <c r="M120" s="38" t="n">
        <v>422</v>
      </c>
      <c r="N120" s="38" t="n">
        <f aca="false">M120*100/H120</f>
        <v>43.7759336099585</v>
      </c>
      <c r="O120" s="38" t="n">
        <v>24</v>
      </c>
      <c r="P120" s="38" t="n">
        <v>157</v>
      </c>
      <c r="Q120" s="12" t="s">
        <v>45</v>
      </c>
      <c r="R120" s="12" t="s">
        <v>366</v>
      </c>
      <c r="S120" s="38"/>
      <c r="T120" s="38"/>
      <c r="U120" s="38"/>
      <c r="V120" s="38"/>
      <c r="W120" s="38"/>
      <c r="X120" s="38"/>
      <c r="Y120" s="38"/>
      <c r="Z120" s="38"/>
      <c r="AA120" s="10"/>
      <c r="AB120" s="11"/>
      <c r="AC120" s="46"/>
      <c r="AD120" s="46"/>
      <c r="AE120" s="46"/>
    </row>
    <row r="121" customFormat="false" ht="15" hidden="false" customHeight="false" outlineLevel="0" collapsed="false">
      <c r="A121" s="38" t="s">
        <v>39</v>
      </c>
      <c r="B121" s="10" t="s">
        <v>227</v>
      </c>
      <c r="C121" s="10" t="s">
        <v>367</v>
      </c>
      <c r="D121" s="38" t="s">
        <v>373</v>
      </c>
      <c r="E121" s="10" t="n">
        <v>104113</v>
      </c>
      <c r="F121" s="38" t="n">
        <v>236</v>
      </c>
      <c r="G121" s="38" t="n">
        <v>95</v>
      </c>
      <c r="H121" s="38" t="n">
        <v>456</v>
      </c>
      <c r="I121" s="38" t="n">
        <v>217</v>
      </c>
      <c r="J121" s="38" t="n">
        <v>239</v>
      </c>
      <c r="K121" s="38" t="n">
        <v>132</v>
      </c>
      <c r="L121" s="38" t="n">
        <f aca="false">K121*100/H121</f>
        <v>28.9473684210526</v>
      </c>
      <c r="M121" s="38" t="n">
        <v>0</v>
      </c>
      <c r="N121" s="38" t="n">
        <f aca="false">M121*100/H121</f>
        <v>0</v>
      </c>
      <c r="O121" s="38" t="n">
        <v>11</v>
      </c>
      <c r="P121" s="38" t="n">
        <v>0</v>
      </c>
      <c r="Q121" s="12" t="s">
        <v>45</v>
      </c>
      <c r="R121" s="12" t="s">
        <v>366</v>
      </c>
      <c r="S121" s="38"/>
      <c r="T121" s="46"/>
      <c r="U121" s="38"/>
      <c r="V121" s="38"/>
      <c r="W121" s="38"/>
      <c r="X121" s="38"/>
      <c r="Y121" s="38"/>
      <c r="Z121" s="38"/>
      <c r="AA121" s="49"/>
      <c r="AB121" s="11"/>
      <c r="AC121" s="48"/>
      <c r="AD121" s="51"/>
      <c r="AE121" s="51"/>
    </row>
    <row r="122" customFormat="false" ht="15" hidden="false" customHeight="false" outlineLevel="0" collapsed="false">
      <c r="A122" s="38" t="s">
        <v>39</v>
      </c>
      <c r="B122" s="10" t="s">
        <v>227</v>
      </c>
      <c r="C122" s="10" t="s">
        <v>367</v>
      </c>
      <c r="D122" s="38" t="s">
        <v>374</v>
      </c>
      <c r="E122" s="10" t="n">
        <v>104116</v>
      </c>
      <c r="F122" s="38" t="n">
        <v>455.03</v>
      </c>
      <c r="G122" s="38" t="n">
        <v>96</v>
      </c>
      <c r="H122" s="38" t="n">
        <v>510</v>
      </c>
      <c r="I122" s="38" t="n">
        <v>249</v>
      </c>
      <c r="J122" s="38" t="n">
        <v>261</v>
      </c>
      <c r="K122" s="38" t="n">
        <v>122</v>
      </c>
      <c r="L122" s="38" t="n">
        <f aca="false">K122*100/H122</f>
        <v>23.921568627451</v>
      </c>
      <c r="M122" s="38" t="n">
        <v>153</v>
      </c>
      <c r="N122" s="38" t="n">
        <f aca="false">M122*100/H122</f>
        <v>30</v>
      </c>
      <c r="O122" s="38" t="n">
        <v>38.32</v>
      </c>
      <c r="P122" s="38" t="n">
        <v>0</v>
      </c>
      <c r="Q122" s="12" t="s">
        <v>45</v>
      </c>
      <c r="R122" s="12" t="s">
        <v>366</v>
      </c>
      <c r="S122" s="38"/>
      <c r="T122" s="38"/>
      <c r="U122" s="38"/>
      <c r="V122" s="38"/>
      <c r="W122" s="38"/>
      <c r="X122" s="38"/>
      <c r="Y122" s="38"/>
      <c r="Z122" s="38"/>
      <c r="AA122" s="10"/>
      <c r="AB122" s="11"/>
      <c r="AC122" s="51"/>
      <c r="AD122" s="47"/>
      <c r="AE122" s="47"/>
    </row>
    <row r="123" customFormat="false" ht="15" hidden="false" customHeight="false" outlineLevel="0" collapsed="false">
      <c r="A123" s="38" t="s">
        <v>39</v>
      </c>
      <c r="B123" s="10" t="s">
        <v>227</v>
      </c>
      <c r="C123" s="10" t="s">
        <v>367</v>
      </c>
      <c r="D123" s="38" t="s">
        <v>375</v>
      </c>
      <c r="E123" s="10" t="n">
        <v>104145</v>
      </c>
      <c r="F123" s="38" t="n">
        <v>676.04</v>
      </c>
      <c r="G123" s="38" t="n">
        <v>297</v>
      </c>
      <c r="H123" s="38" t="n">
        <v>1676</v>
      </c>
      <c r="I123" s="38" t="n">
        <v>860</v>
      </c>
      <c r="J123" s="38" t="n">
        <v>816</v>
      </c>
      <c r="K123" s="38" t="n">
        <v>141</v>
      </c>
      <c r="L123" s="38" t="n">
        <f aca="false">K123*100/H123</f>
        <v>8.41288782816229</v>
      </c>
      <c r="M123" s="38" t="n">
        <v>252</v>
      </c>
      <c r="N123" s="38" t="n">
        <f aca="false">M123*100/H123</f>
        <v>15.035799522673</v>
      </c>
      <c r="O123" s="38" t="n">
        <v>41.01</v>
      </c>
      <c r="P123" s="38" t="n">
        <v>0</v>
      </c>
      <c r="Q123" s="12" t="s">
        <v>45</v>
      </c>
      <c r="R123" s="12" t="s">
        <v>366</v>
      </c>
      <c r="S123" s="38"/>
      <c r="T123" s="46"/>
      <c r="U123" s="38"/>
      <c r="V123" s="38"/>
      <c r="W123" s="38"/>
      <c r="X123" s="38"/>
      <c r="Y123" s="38"/>
      <c r="Z123" s="38"/>
      <c r="AA123" s="12" t="s">
        <v>43</v>
      </c>
      <c r="AB123" s="12" t="n">
        <v>35</v>
      </c>
      <c r="AC123" s="56"/>
      <c r="AD123" s="47" t="n">
        <v>24.473715</v>
      </c>
      <c r="AE123" s="47" t="n">
        <v>76.191833</v>
      </c>
    </row>
    <row r="124" customFormat="false" ht="15" hidden="false" customHeight="false" outlineLevel="0" collapsed="false">
      <c r="A124" s="38" t="s">
        <v>39</v>
      </c>
      <c r="B124" s="10" t="s">
        <v>227</v>
      </c>
      <c r="C124" s="10" t="s">
        <v>367</v>
      </c>
      <c r="D124" s="38" t="s">
        <v>375</v>
      </c>
      <c r="E124" s="10"/>
      <c r="F124" s="38"/>
      <c r="G124" s="38"/>
      <c r="H124" s="38"/>
      <c r="I124" s="38"/>
      <c r="J124" s="38"/>
      <c r="K124" s="38"/>
      <c r="L124" s="38" t="e">
        <f aca="false">K124*100/H124</f>
        <v>#DIV/0!</v>
      </c>
      <c r="M124" s="38"/>
      <c r="N124" s="38" t="e">
        <f aca="false">M124*100/H124</f>
        <v>#DIV/0!</v>
      </c>
      <c r="O124" s="38"/>
      <c r="P124" s="38"/>
      <c r="Q124" s="12" t="s">
        <v>45</v>
      </c>
      <c r="R124" s="12" t="s">
        <v>366</v>
      </c>
      <c r="S124" s="38"/>
      <c r="T124" s="46"/>
      <c r="U124" s="38"/>
      <c r="V124" s="38"/>
      <c r="W124" s="38"/>
      <c r="X124" s="38"/>
      <c r="Y124" s="38"/>
      <c r="Z124" s="38"/>
      <c r="AA124" s="10"/>
      <c r="AB124" s="11"/>
      <c r="AC124" s="46"/>
      <c r="AD124" s="38"/>
      <c r="AE124" s="38"/>
    </row>
    <row r="125" customFormat="false" ht="15" hidden="false" customHeight="false" outlineLevel="0" collapsed="false">
      <c r="A125" s="38" t="s">
        <v>39</v>
      </c>
      <c r="B125" s="10" t="s">
        <v>227</v>
      </c>
      <c r="C125" s="10" t="s">
        <v>367</v>
      </c>
      <c r="D125" s="38" t="s">
        <v>376</v>
      </c>
      <c r="E125" s="10" t="n">
        <v>104103</v>
      </c>
      <c r="F125" s="38" t="n">
        <v>139.99</v>
      </c>
      <c r="G125" s="38" t="n">
        <v>83</v>
      </c>
      <c r="H125" s="38" t="n">
        <v>366</v>
      </c>
      <c r="I125" s="38" t="n">
        <v>190</v>
      </c>
      <c r="J125" s="38" t="n">
        <v>176</v>
      </c>
      <c r="K125" s="38" t="n">
        <v>39</v>
      </c>
      <c r="L125" s="38" t="n">
        <f aca="false">K125*100/H125</f>
        <v>10.655737704918</v>
      </c>
      <c r="M125" s="38" t="n">
        <v>0</v>
      </c>
      <c r="N125" s="38" t="n">
        <f aca="false">M125*100/H125</f>
        <v>0</v>
      </c>
      <c r="O125" s="38" t="n">
        <v>42.66</v>
      </c>
      <c r="P125" s="38" t="n">
        <v>0</v>
      </c>
      <c r="Q125" s="12" t="s">
        <v>45</v>
      </c>
      <c r="R125" s="12" t="s">
        <v>377</v>
      </c>
      <c r="S125" s="38"/>
      <c r="T125" s="46"/>
      <c r="U125" s="38"/>
      <c r="V125" s="38"/>
      <c r="W125" s="38"/>
      <c r="X125" s="38"/>
      <c r="Y125" s="38"/>
      <c r="Z125" s="38"/>
      <c r="AA125" s="12"/>
      <c r="AB125" s="12"/>
      <c r="AC125" s="10"/>
      <c r="AD125" s="46" t="n">
        <v>24.3011</v>
      </c>
      <c r="AE125" s="46" t="n">
        <v>76.1608</v>
      </c>
    </row>
    <row r="126" customFormat="false" ht="15" hidden="false" customHeight="false" outlineLevel="0" collapsed="false">
      <c r="A126" s="38" t="s">
        <v>39</v>
      </c>
      <c r="B126" s="10" t="s">
        <v>227</v>
      </c>
      <c r="C126" s="10" t="s">
        <v>378</v>
      </c>
      <c r="D126" s="38" t="s">
        <v>379</v>
      </c>
      <c r="E126" s="10" t="n">
        <v>104106</v>
      </c>
      <c r="F126" s="38" t="n">
        <v>177.96</v>
      </c>
      <c r="G126" s="38" t="n">
        <v>65</v>
      </c>
      <c r="H126" s="38" t="n">
        <v>308</v>
      </c>
      <c r="I126" s="38" t="n">
        <v>156</v>
      </c>
      <c r="J126" s="38" t="n">
        <v>152</v>
      </c>
      <c r="K126" s="38" t="n">
        <v>2</v>
      </c>
      <c r="L126" s="38" t="n">
        <f aca="false">K126*100/H126</f>
        <v>0.649350649350649</v>
      </c>
      <c r="M126" s="38" t="n">
        <v>184</v>
      </c>
      <c r="N126" s="38" t="n">
        <f aca="false">M126*100/H126</f>
        <v>59.7402597402597</v>
      </c>
      <c r="O126" s="38" t="n">
        <v>18.38</v>
      </c>
      <c r="P126" s="38" t="n">
        <v>0</v>
      </c>
      <c r="Q126" s="12" t="s">
        <v>45</v>
      </c>
      <c r="R126" s="12" t="s">
        <v>377</v>
      </c>
      <c r="S126" s="38"/>
      <c r="T126" s="46"/>
      <c r="U126" s="38"/>
      <c r="V126" s="38"/>
      <c r="W126" s="38"/>
      <c r="X126" s="38"/>
      <c r="Y126" s="38"/>
      <c r="Z126" s="38"/>
      <c r="AA126" s="12"/>
      <c r="AB126" s="12"/>
      <c r="AC126" s="46"/>
      <c r="AD126" s="46" t="n">
        <v>24.3238</v>
      </c>
      <c r="AE126" s="46" t="n">
        <v>76.1444</v>
      </c>
    </row>
    <row r="127" customFormat="false" ht="15" hidden="false" customHeight="false" outlineLevel="0" collapsed="false">
      <c r="A127" s="38" t="s">
        <v>39</v>
      </c>
      <c r="B127" s="10" t="s">
        <v>227</v>
      </c>
      <c r="C127" s="10" t="s">
        <v>378</v>
      </c>
      <c r="D127" s="38" t="s">
        <v>380</v>
      </c>
      <c r="E127" s="10" t="n">
        <v>104084</v>
      </c>
      <c r="F127" s="38" t="n">
        <v>431.37</v>
      </c>
      <c r="G127" s="38" t="n">
        <v>154</v>
      </c>
      <c r="H127" s="38" t="n">
        <v>792</v>
      </c>
      <c r="I127" s="38" t="n">
        <v>414</v>
      </c>
      <c r="J127" s="38" t="n">
        <v>378</v>
      </c>
      <c r="K127" s="38" t="n">
        <v>42</v>
      </c>
      <c r="L127" s="38" t="n">
        <f aca="false">K127*100/H127</f>
        <v>5.3030303030303</v>
      </c>
      <c r="M127" s="38" t="n">
        <v>528</v>
      </c>
      <c r="N127" s="38" t="n">
        <f aca="false">M127*100/H127</f>
        <v>66.6666666666667</v>
      </c>
      <c r="O127" s="38" t="n">
        <v>0</v>
      </c>
      <c r="P127" s="38" t="n">
        <v>125.11</v>
      </c>
      <c r="Q127" s="12" t="s">
        <v>45</v>
      </c>
      <c r="R127" s="12" t="s">
        <v>377</v>
      </c>
      <c r="S127" s="38"/>
      <c r="T127" s="46"/>
      <c r="U127" s="38"/>
      <c r="V127" s="38"/>
      <c r="W127" s="38"/>
      <c r="X127" s="38"/>
      <c r="Y127" s="38"/>
      <c r="Z127" s="38"/>
      <c r="AA127" s="12"/>
      <c r="AB127" s="12"/>
      <c r="AC127" s="46"/>
      <c r="AD127" s="46" t="n">
        <v>24.3153</v>
      </c>
      <c r="AE127" s="46" t="n">
        <v>76.1529</v>
      </c>
    </row>
    <row r="128" customFormat="false" ht="15" hidden="false" customHeight="false" outlineLevel="0" collapsed="false">
      <c r="A128" s="38" t="s">
        <v>39</v>
      </c>
      <c r="B128" s="10" t="s">
        <v>227</v>
      </c>
      <c r="C128" s="10" t="s">
        <v>378</v>
      </c>
      <c r="D128" s="38" t="s">
        <v>381</v>
      </c>
      <c r="E128" s="10" t="n">
        <v>104086</v>
      </c>
      <c r="F128" s="38" t="n">
        <v>372.56</v>
      </c>
      <c r="G128" s="38" t="n">
        <v>95</v>
      </c>
      <c r="H128" s="38" t="n">
        <v>514</v>
      </c>
      <c r="I128" s="38" t="n">
        <v>279</v>
      </c>
      <c r="J128" s="38" t="n">
        <v>235</v>
      </c>
      <c r="K128" s="38" t="n">
        <v>175</v>
      </c>
      <c r="L128" s="38" t="n">
        <f aca="false">K128*100/H128</f>
        <v>34.0466926070039</v>
      </c>
      <c r="M128" s="38" t="n">
        <v>89</v>
      </c>
      <c r="N128" s="38" t="n">
        <f aca="false">M128*100/H128</f>
        <v>17.3151750972763</v>
      </c>
      <c r="O128" s="38" t="n">
        <v>2.34</v>
      </c>
      <c r="P128" s="38" t="n">
        <v>124.76</v>
      </c>
      <c r="Q128" s="12" t="s">
        <v>45</v>
      </c>
      <c r="R128" s="12" t="s">
        <v>377</v>
      </c>
      <c r="S128" s="38"/>
      <c r="T128" s="46"/>
      <c r="U128" s="38"/>
      <c r="V128" s="38"/>
      <c r="W128" s="38"/>
      <c r="X128" s="38"/>
      <c r="Y128" s="38"/>
      <c r="Z128" s="38"/>
      <c r="AA128" s="12"/>
      <c r="AB128" s="12"/>
      <c r="AC128" s="46"/>
      <c r="AD128" s="46" t="n">
        <v>24.3056</v>
      </c>
      <c r="AE128" s="46" t="n">
        <v>76.1611</v>
      </c>
    </row>
    <row r="129" customFormat="false" ht="15" hidden="false" customHeight="false" outlineLevel="0" collapsed="false">
      <c r="A129" s="38" t="s">
        <v>39</v>
      </c>
      <c r="B129" s="10" t="s">
        <v>227</v>
      </c>
      <c r="C129" s="10" t="s">
        <v>378</v>
      </c>
      <c r="D129" s="38" t="s">
        <v>382</v>
      </c>
      <c r="E129" s="10" t="n">
        <v>104107</v>
      </c>
      <c r="F129" s="38" t="n">
        <v>402.83</v>
      </c>
      <c r="G129" s="38" t="n">
        <v>127</v>
      </c>
      <c r="H129" s="38" t="n">
        <v>526</v>
      </c>
      <c r="I129" s="38" t="n">
        <v>279</v>
      </c>
      <c r="J129" s="38" t="n">
        <v>247</v>
      </c>
      <c r="K129" s="38" t="n">
        <v>32</v>
      </c>
      <c r="L129" s="38" t="n">
        <f aca="false">K129*100/H129</f>
        <v>6.08365019011407</v>
      </c>
      <c r="M129" s="38" t="n">
        <v>380</v>
      </c>
      <c r="N129" s="38" t="n">
        <f aca="false">M129*100/H129</f>
        <v>72.2433460076046</v>
      </c>
      <c r="O129" s="38" t="n">
        <v>2.68</v>
      </c>
      <c r="P129" s="38" t="n">
        <v>87.87</v>
      </c>
      <c r="Q129" s="12" t="s">
        <v>45</v>
      </c>
      <c r="R129" s="12" t="s">
        <v>377</v>
      </c>
      <c r="S129" s="38"/>
      <c r="T129" s="46" t="n">
        <v>21</v>
      </c>
      <c r="U129" s="38"/>
      <c r="V129" s="38"/>
      <c r="W129" s="38"/>
      <c r="X129" s="38"/>
      <c r="Y129" s="38"/>
      <c r="Z129" s="38"/>
      <c r="AA129" s="12"/>
      <c r="AB129" s="12"/>
      <c r="AC129" s="46"/>
      <c r="AD129" s="46" t="n">
        <v>24.3121</v>
      </c>
      <c r="AE129" s="46" t="n">
        <v>76.1541</v>
      </c>
    </row>
    <row r="130" customFormat="false" ht="15" hidden="false" customHeight="false" outlineLevel="0" collapsed="false">
      <c r="A130" s="38" t="s">
        <v>39</v>
      </c>
      <c r="B130" s="10" t="s">
        <v>227</v>
      </c>
      <c r="C130" s="10" t="s">
        <v>378</v>
      </c>
      <c r="D130" s="38" t="s">
        <v>383</v>
      </c>
      <c r="E130" s="10" t="n">
        <v>104108</v>
      </c>
      <c r="F130" s="38" t="n">
        <v>249.57</v>
      </c>
      <c r="G130" s="38" t="n">
        <v>39</v>
      </c>
      <c r="H130" s="38" t="n">
        <v>201</v>
      </c>
      <c r="I130" s="38" t="n">
        <v>104</v>
      </c>
      <c r="J130" s="38" t="n">
        <v>97</v>
      </c>
      <c r="K130" s="38" t="n">
        <v>0</v>
      </c>
      <c r="L130" s="38" t="n">
        <f aca="false">K130*100/H130</f>
        <v>0</v>
      </c>
      <c r="M130" s="38" t="n">
        <v>132</v>
      </c>
      <c r="N130" s="38" t="n">
        <f aca="false">M130*100/H130</f>
        <v>65.6716417910448</v>
      </c>
      <c r="O130" s="38" t="n">
        <v>0.2</v>
      </c>
      <c r="P130" s="38" t="n">
        <v>70.22</v>
      </c>
      <c r="Q130" s="12" t="s">
        <v>45</v>
      </c>
      <c r="R130" s="12" t="s">
        <v>377</v>
      </c>
      <c r="S130" s="38"/>
      <c r="T130" s="46"/>
      <c r="U130" s="38"/>
      <c r="V130" s="38"/>
      <c r="W130" s="38"/>
      <c r="X130" s="38"/>
      <c r="Y130" s="38"/>
      <c r="Z130" s="38"/>
      <c r="AA130" s="12"/>
      <c r="AB130" s="12"/>
      <c r="AC130" s="46"/>
      <c r="AD130" s="46" t="n">
        <v>24.7115</v>
      </c>
      <c r="AE130" s="46" t="n">
        <v>76.1504</v>
      </c>
    </row>
    <row r="131" customFormat="false" ht="15" hidden="false" customHeight="false" outlineLevel="0" collapsed="false">
      <c r="A131" s="38" t="s">
        <v>39</v>
      </c>
      <c r="B131" s="10" t="s">
        <v>227</v>
      </c>
      <c r="C131" s="10" t="s">
        <v>378</v>
      </c>
      <c r="D131" s="38" t="s">
        <v>384</v>
      </c>
      <c r="E131" s="10" t="n">
        <v>104109</v>
      </c>
      <c r="F131" s="38" t="n">
        <v>157.11</v>
      </c>
      <c r="G131" s="38" t="n">
        <v>44</v>
      </c>
      <c r="H131" s="38" t="n">
        <v>185</v>
      </c>
      <c r="I131" s="38" t="n">
        <v>100</v>
      </c>
      <c r="J131" s="38" t="n">
        <v>85</v>
      </c>
      <c r="K131" s="38" t="n">
        <v>35</v>
      </c>
      <c r="L131" s="38" t="n">
        <f aca="false">K131*100/H131</f>
        <v>18.9189189189189</v>
      </c>
      <c r="M131" s="38" t="n">
        <v>133</v>
      </c>
      <c r="N131" s="38" t="n">
        <f aca="false">M131*100/H131</f>
        <v>71.8918918918919</v>
      </c>
      <c r="O131" s="38" t="n">
        <v>8.19</v>
      </c>
      <c r="P131" s="38" t="n">
        <v>8.25</v>
      </c>
      <c r="Q131" s="12" t="s">
        <v>45</v>
      </c>
      <c r="R131" s="12" t="s">
        <v>377</v>
      </c>
      <c r="S131" s="38"/>
      <c r="T131" s="46"/>
      <c r="U131" s="38"/>
      <c r="V131" s="38"/>
      <c r="W131" s="38"/>
      <c r="X131" s="38"/>
      <c r="Y131" s="38"/>
      <c r="Z131" s="38"/>
      <c r="AA131" s="12" t="s">
        <v>45</v>
      </c>
      <c r="AB131" s="12" t="n">
        <v>0.15</v>
      </c>
      <c r="AC131" s="46"/>
      <c r="AD131" s="46" t="n">
        <v>24.5007</v>
      </c>
      <c r="AE131" s="46" t="n">
        <v>76.2506</v>
      </c>
    </row>
    <row r="132" customFormat="false" ht="15" hidden="false" customHeight="false" outlineLevel="0" collapsed="false">
      <c r="A132" s="38" t="s">
        <v>39</v>
      </c>
      <c r="B132" s="10" t="s">
        <v>227</v>
      </c>
      <c r="C132" s="10" t="s">
        <v>378</v>
      </c>
      <c r="D132" s="38" t="s">
        <v>385</v>
      </c>
      <c r="E132" s="10" t="n">
        <v>104110</v>
      </c>
      <c r="F132" s="38" t="n">
        <v>360.22</v>
      </c>
      <c r="G132" s="38" t="n">
        <v>152</v>
      </c>
      <c r="H132" s="38" t="n">
        <v>756</v>
      </c>
      <c r="I132" s="38" t="n">
        <v>388</v>
      </c>
      <c r="J132" s="38" t="n">
        <v>368</v>
      </c>
      <c r="K132" s="38" t="n">
        <v>209</v>
      </c>
      <c r="L132" s="38" t="n">
        <f aca="false">K132*100/H132</f>
        <v>27.6455026455026</v>
      </c>
      <c r="M132" s="38" t="n">
        <v>340</v>
      </c>
      <c r="N132" s="38" t="n">
        <f aca="false">M132*100/H132</f>
        <v>44.973544973545</v>
      </c>
      <c r="O132" s="38" t="n">
        <v>24.78</v>
      </c>
      <c r="P132" s="38" t="n">
        <v>84.18</v>
      </c>
      <c r="Q132" s="12" t="s">
        <v>45</v>
      </c>
      <c r="R132" s="12" t="s">
        <v>377</v>
      </c>
      <c r="S132" s="38"/>
      <c r="T132" s="46"/>
      <c r="U132" s="38"/>
      <c r="V132" s="38" t="s">
        <v>43</v>
      </c>
      <c r="W132" s="38"/>
      <c r="X132" s="38"/>
      <c r="Y132" s="38"/>
      <c r="Z132" s="38"/>
      <c r="AA132" s="12" t="s">
        <v>45</v>
      </c>
      <c r="AB132" s="12" t="n">
        <v>15</v>
      </c>
      <c r="AC132" s="46"/>
      <c r="AD132" s="46" t="n">
        <v>24.518206</v>
      </c>
      <c r="AE132" s="46" t="n">
        <v>76.251935</v>
      </c>
    </row>
    <row r="133" customFormat="false" ht="15" hidden="false" customHeight="false" outlineLevel="0" collapsed="false">
      <c r="A133" s="38" t="s">
        <v>39</v>
      </c>
      <c r="B133" s="10" t="s">
        <v>227</v>
      </c>
      <c r="C133" s="10" t="s">
        <v>378</v>
      </c>
      <c r="D133" s="38" t="s">
        <v>385</v>
      </c>
      <c r="E133" s="10"/>
      <c r="F133" s="38"/>
      <c r="G133" s="38"/>
      <c r="H133" s="38"/>
      <c r="I133" s="38"/>
      <c r="J133" s="38"/>
      <c r="K133" s="38"/>
      <c r="L133" s="38" t="e">
        <f aca="false">K133*100/H133</f>
        <v>#DIV/0!</v>
      </c>
      <c r="M133" s="38"/>
      <c r="N133" s="38" t="e">
        <f aca="false">M133*100/H133</f>
        <v>#DIV/0!</v>
      </c>
      <c r="O133" s="38"/>
      <c r="P133" s="38"/>
      <c r="Q133" s="12" t="s">
        <v>45</v>
      </c>
      <c r="R133" s="12" t="s">
        <v>377</v>
      </c>
      <c r="S133" s="38"/>
      <c r="T133" s="46"/>
      <c r="U133" s="38"/>
      <c r="V133" s="38"/>
      <c r="W133" s="38"/>
      <c r="X133" s="38"/>
      <c r="Y133" s="38"/>
      <c r="Z133" s="38"/>
      <c r="AA133" s="12"/>
      <c r="AB133" s="12"/>
      <c r="AC133" s="46"/>
      <c r="AD133" s="46" t="n">
        <v>24.2925</v>
      </c>
      <c r="AE133" s="46" t="n">
        <v>76.1355</v>
      </c>
    </row>
    <row r="134" customFormat="false" ht="15" hidden="false" customHeight="false" outlineLevel="0" collapsed="false">
      <c r="A134" s="38" t="s">
        <v>39</v>
      </c>
      <c r="B134" s="10" t="s">
        <v>227</v>
      </c>
      <c r="C134" s="10" t="s">
        <v>378</v>
      </c>
      <c r="D134" s="38" t="s">
        <v>386</v>
      </c>
      <c r="E134" s="10" t="n">
        <v>104146</v>
      </c>
      <c r="F134" s="38" t="n">
        <v>244.08</v>
      </c>
      <c r="G134" s="38" t="n">
        <v>145</v>
      </c>
      <c r="H134" s="38" t="n">
        <v>521</v>
      </c>
      <c r="I134" s="38" t="n">
        <v>265</v>
      </c>
      <c r="J134" s="38" t="n">
        <v>256</v>
      </c>
      <c r="K134" s="38" t="n">
        <v>0</v>
      </c>
      <c r="L134" s="38" t="n">
        <f aca="false">K134*100/H134</f>
        <v>0</v>
      </c>
      <c r="M134" s="38" t="n">
        <v>521</v>
      </c>
      <c r="N134" s="38" t="n">
        <f aca="false">M134*100/H134</f>
        <v>100</v>
      </c>
      <c r="O134" s="38" t="n">
        <v>0</v>
      </c>
      <c r="P134" s="38" t="n">
        <v>113.03</v>
      </c>
      <c r="Q134" s="12" t="s">
        <v>45</v>
      </c>
      <c r="R134" s="12" t="s">
        <v>377</v>
      </c>
      <c r="S134" s="38"/>
      <c r="T134" s="46"/>
      <c r="U134" s="38"/>
      <c r="V134" s="38"/>
      <c r="W134" s="38"/>
      <c r="X134" s="38"/>
      <c r="Y134" s="38"/>
      <c r="Z134" s="38"/>
      <c r="AA134" s="12"/>
      <c r="AB134" s="12"/>
      <c r="AC134" s="46"/>
      <c r="AD134" s="46" t="n">
        <v>24.2848</v>
      </c>
      <c r="AE134" s="46" t="n">
        <v>76.1454</v>
      </c>
    </row>
    <row r="135" customFormat="false" ht="15" hidden="false" customHeight="false" outlineLevel="0" collapsed="false">
      <c r="A135" s="38" t="s">
        <v>39</v>
      </c>
      <c r="B135" s="10" t="s">
        <v>227</v>
      </c>
      <c r="C135" s="10" t="s">
        <v>378</v>
      </c>
      <c r="D135" s="38" t="s">
        <v>387</v>
      </c>
      <c r="E135" s="10" t="n">
        <v>104147</v>
      </c>
      <c r="F135" s="38" t="n">
        <v>232.45</v>
      </c>
      <c r="G135" s="38" t="n">
        <v>85</v>
      </c>
      <c r="H135" s="38" t="n">
        <v>443</v>
      </c>
      <c r="I135" s="38" t="n">
        <v>234</v>
      </c>
      <c r="J135" s="38" t="n">
        <v>209</v>
      </c>
      <c r="K135" s="38" t="n">
        <v>161</v>
      </c>
      <c r="L135" s="38" t="n">
        <f aca="false">K135*100/H135</f>
        <v>36.3431151241535</v>
      </c>
      <c r="M135" s="38" t="n">
        <v>238</v>
      </c>
      <c r="N135" s="38" t="n">
        <f aca="false">M135*100/H135</f>
        <v>53.72460496614</v>
      </c>
      <c r="O135" s="38" t="n">
        <v>0</v>
      </c>
      <c r="P135" s="38" t="n">
        <v>109.08</v>
      </c>
      <c r="Q135" s="12" t="s">
        <v>45</v>
      </c>
      <c r="R135" s="12" t="s">
        <v>377</v>
      </c>
      <c r="S135" s="38"/>
      <c r="T135" s="46"/>
      <c r="U135" s="38"/>
      <c r="V135" s="38"/>
      <c r="W135" s="38"/>
      <c r="X135" s="38"/>
      <c r="Y135" s="38"/>
      <c r="Z135" s="38"/>
      <c r="AA135" s="12"/>
      <c r="AB135" s="12"/>
      <c r="AC135" s="46"/>
      <c r="AD135" s="46" t="n">
        <v>24.2845</v>
      </c>
      <c r="AE135" s="46" t="n">
        <v>76.1504</v>
      </c>
    </row>
    <row r="136" customFormat="false" ht="15" hidden="false" customHeight="false" outlineLevel="0" collapsed="false">
      <c r="A136" s="38" t="s">
        <v>39</v>
      </c>
      <c r="B136" s="10" t="s">
        <v>227</v>
      </c>
      <c r="C136" s="10" t="s">
        <v>378</v>
      </c>
      <c r="D136" s="38" t="s">
        <v>388</v>
      </c>
      <c r="E136" s="10" t="n">
        <v>104148</v>
      </c>
      <c r="F136" s="38" t="n">
        <v>124.9</v>
      </c>
      <c r="G136" s="38" t="n">
        <v>3</v>
      </c>
      <c r="H136" s="38" t="n">
        <v>17</v>
      </c>
      <c r="I136" s="38" t="n">
        <v>9</v>
      </c>
      <c r="J136" s="38" t="n">
        <v>8</v>
      </c>
      <c r="K136" s="38" t="n">
        <v>0</v>
      </c>
      <c r="L136" s="38" t="n">
        <f aca="false">K136*100/H136</f>
        <v>0</v>
      </c>
      <c r="M136" s="38" t="n">
        <v>17</v>
      </c>
      <c r="N136" s="38" t="n">
        <f aca="false">M136*100/H136</f>
        <v>100</v>
      </c>
      <c r="O136" s="38" t="n">
        <v>0</v>
      </c>
      <c r="P136" s="38" t="n">
        <v>57.95</v>
      </c>
      <c r="Q136" s="12" t="s">
        <v>45</v>
      </c>
      <c r="R136" s="12" t="s">
        <v>377</v>
      </c>
      <c r="S136" s="38"/>
      <c r="T136" s="38"/>
      <c r="U136" s="38"/>
      <c r="V136" s="38"/>
      <c r="W136" s="38"/>
      <c r="X136" s="38"/>
      <c r="Y136" s="38"/>
      <c r="Z136" s="38"/>
      <c r="AA136" s="12"/>
      <c r="AB136" s="12"/>
      <c r="AC136" s="46"/>
      <c r="AD136" s="46" t="n">
        <v>24.2813</v>
      </c>
      <c r="AE136" s="46" t="n">
        <v>76.1553</v>
      </c>
    </row>
    <row r="137" customFormat="false" ht="15" hidden="false" customHeight="false" outlineLevel="0" collapsed="false">
      <c r="A137" s="38" t="s">
        <v>39</v>
      </c>
      <c r="B137" s="10" t="s">
        <v>227</v>
      </c>
      <c r="C137" s="10" t="s">
        <v>378</v>
      </c>
      <c r="D137" s="38" t="s">
        <v>389</v>
      </c>
      <c r="E137" s="10" t="n">
        <v>104149</v>
      </c>
      <c r="F137" s="38" t="n">
        <v>167.45</v>
      </c>
      <c r="G137" s="38" t="n">
        <v>31</v>
      </c>
      <c r="H137" s="38" t="n">
        <v>161</v>
      </c>
      <c r="I137" s="38" t="n">
        <v>91</v>
      </c>
      <c r="J137" s="38" t="n">
        <v>70</v>
      </c>
      <c r="K137" s="38" t="n">
        <v>0</v>
      </c>
      <c r="L137" s="38" t="n">
        <f aca="false">K137*100/H137</f>
        <v>0</v>
      </c>
      <c r="M137" s="38" t="n">
        <v>161</v>
      </c>
      <c r="N137" s="38" t="n">
        <f aca="false">M137*100/H137</f>
        <v>100</v>
      </c>
      <c r="O137" s="38" t="n">
        <v>0</v>
      </c>
      <c r="P137" s="38" t="n">
        <v>98.76</v>
      </c>
      <c r="Q137" s="12" t="s">
        <v>45</v>
      </c>
      <c r="R137" s="12" t="s">
        <v>377</v>
      </c>
      <c r="S137" s="38"/>
      <c r="T137" s="38"/>
      <c r="U137" s="38"/>
      <c r="V137" s="38"/>
      <c r="W137" s="38"/>
      <c r="X137" s="38"/>
      <c r="Y137" s="38"/>
      <c r="Z137" s="38"/>
      <c r="AA137" s="12"/>
      <c r="AB137" s="12"/>
      <c r="AC137" s="46"/>
      <c r="AD137" s="46" t="n">
        <v>24.3002</v>
      </c>
      <c r="AE137" s="46" t="n">
        <v>76.1722</v>
      </c>
    </row>
    <row r="138" customFormat="false" ht="18.75" hidden="false" customHeight="false" outlineLevel="0" collapsed="false">
      <c r="A138" s="38" t="s">
        <v>39</v>
      </c>
      <c r="B138" s="10" t="s">
        <v>227</v>
      </c>
      <c r="C138" s="10" t="s">
        <v>390</v>
      </c>
      <c r="D138" s="38" t="s">
        <v>391</v>
      </c>
      <c r="E138" s="10" t="n">
        <v>104121</v>
      </c>
      <c r="F138" s="38" t="n">
        <v>726.45</v>
      </c>
      <c r="G138" s="38" t="n">
        <v>231</v>
      </c>
      <c r="H138" s="38" t="n">
        <v>1308</v>
      </c>
      <c r="I138" s="38" t="n">
        <v>669</v>
      </c>
      <c r="J138" s="38" t="n">
        <v>639</v>
      </c>
      <c r="K138" s="38" t="n">
        <v>50</v>
      </c>
      <c r="L138" s="38" t="n">
        <f aca="false">K138*100/H138</f>
        <v>3.82262996941896</v>
      </c>
      <c r="M138" s="38" t="n">
        <v>166</v>
      </c>
      <c r="N138" s="38" t="n">
        <f aca="false">M138*100/H138</f>
        <v>12.6911314984709</v>
      </c>
      <c r="O138" s="38" t="n">
        <v>55.84</v>
      </c>
      <c r="P138" s="38" t="n">
        <v>0</v>
      </c>
      <c r="Q138" s="15" t="s">
        <v>45</v>
      </c>
      <c r="R138" s="15"/>
      <c r="S138" s="38"/>
      <c r="T138" s="62"/>
      <c r="U138" s="38"/>
      <c r="V138" s="38"/>
      <c r="W138" s="38"/>
      <c r="X138" s="38"/>
      <c r="Y138" s="38"/>
      <c r="Z138" s="38"/>
      <c r="AA138" s="16" t="s">
        <v>45</v>
      </c>
      <c r="AB138" s="16" t="n">
        <v>5</v>
      </c>
      <c r="AC138" s="60"/>
      <c r="AD138" s="17" t="n">
        <v>24.458998</v>
      </c>
      <c r="AE138" s="17" t="n">
        <v>76.068433</v>
      </c>
    </row>
    <row r="139" customFormat="false" ht="18.75" hidden="false" customHeight="false" outlineLevel="0" collapsed="false">
      <c r="A139" s="38" t="s">
        <v>39</v>
      </c>
      <c r="B139" s="10" t="s">
        <v>227</v>
      </c>
      <c r="C139" s="10" t="s">
        <v>392</v>
      </c>
      <c r="D139" s="38" t="s">
        <v>393</v>
      </c>
      <c r="E139" s="10" t="n">
        <v>104067</v>
      </c>
      <c r="F139" s="38" t="n">
        <v>512.62</v>
      </c>
      <c r="G139" s="38" t="n">
        <v>41</v>
      </c>
      <c r="H139" s="38" t="n">
        <v>187</v>
      </c>
      <c r="I139" s="38" t="n">
        <v>99</v>
      </c>
      <c r="J139" s="38" t="n">
        <v>88</v>
      </c>
      <c r="K139" s="38" t="n">
        <v>1</v>
      </c>
      <c r="L139" s="38" t="n">
        <f aca="false">K139*100/H139</f>
        <v>0.53475935828877</v>
      </c>
      <c r="M139" s="38" t="n">
        <v>0</v>
      </c>
      <c r="N139" s="38" t="n">
        <f aca="false">M139*100/H139</f>
        <v>0</v>
      </c>
      <c r="O139" s="38" t="n">
        <v>18.34</v>
      </c>
      <c r="P139" s="38" t="n">
        <v>226.29</v>
      </c>
      <c r="Q139" s="15" t="s">
        <v>45</v>
      </c>
      <c r="R139" s="15"/>
      <c r="S139" s="38"/>
      <c r="T139" s="12"/>
      <c r="U139" s="38"/>
      <c r="V139" s="38"/>
      <c r="W139" s="38"/>
      <c r="X139" s="38"/>
      <c r="Y139" s="38"/>
      <c r="Z139" s="38"/>
      <c r="AA139" s="16" t="s">
        <v>45</v>
      </c>
      <c r="AB139" s="16" t="n">
        <v>5</v>
      </c>
      <c r="AC139" s="62"/>
      <c r="AD139" s="17" t="n">
        <v>24.53288</v>
      </c>
      <c r="AE139" s="17" t="n">
        <v>76.53288</v>
      </c>
    </row>
    <row r="140" customFormat="false" ht="15" hidden="false" customHeight="false" outlineLevel="0" collapsed="false">
      <c r="A140" s="38" t="s">
        <v>39</v>
      </c>
      <c r="B140" s="10" t="s">
        <v>227</v>
      </c>
      <c r="C140" s="10" t="s">
        <v>394</v>
      </c>
      <c r="D140" s="38" t="s">
        <v>395</v>
      </c>
      <c r="E140" s="10" t="n">
        <v>104046</v>
      </c>
      <c r="F140" s="38" t="n">
        <v>713.59</v>
      </c>
      <c r="G140" s="38" t="n">
        <v>240</v>
      </c>
      <c r="H140" s="38" t="n">
        <v>1276</v>
      </c>
      <c r="I140" s="38" t="n">
        <v>674</v>
      </c>
      <c r="J140" s="38" t="n">
        <v>602</v>
      </c>
      <c r="K140" s="38" t="n">
        <v>190</v>
      </c>
      <c r="L140" s="38" t="n">
        <f aca="false">K140*100/H140</f>
        <v>14.8902821316614</v>
      </c>
      <c r="M140" s="38" t="n">
        <v>23</v>
      </c>
      <c r="N140" s="38" t="n">
        <f aca="false">M140*100/H140</f>
        <v>1.8025078369906</v>
      </c>
      <c r="O140" s="38" t="n">
        <v>33.58</v>
      </c>
      <c r="P140" s="38" t="n">
        <v>0</v>
      </c>
      <c r="Q140" s="15" t="s">
        <v>45</v>
      </c>
      <c r="R140" s="15"/>
      <c r="S140" s="38"/>
      <c r="T140" s="16"/>
      <c r="U140" s="38"/>
      <c r="V140" s="38"/>
      <c r="W140" s="38"/>
      <c r="X140" s="38"/>
      <c r="Y140" s="38"/>
      <c r="Z140" s="38"/>
      <c r="AA140" s="16" t="s">
        <v>45</v>
      </c>
      <c r="AB140" s="12" t="n">
        <v>5</v>
      </c>
      <c r="AC140" s="16"/>
      <c r="AD140" s="17" t="n">
        <v>24.542474</v>
      </c>
      <c r="AE140" s="17" t="n">
        <v>76.069701</v>
      </c>
    </row>
    <row r="141" customFormat="false" ht="15" hidden="false" customHeight="false" outlineLevel="0" collapsed="false">
      <c r="A141" s="38" t="s">
        <v>39</v>
      </c>
      <c r="B141" s="10" t="s">
        <v>227</v>
      </c>
      <c r="C141" s="10" t="s">
        <v>394</v>
      </c>
      <c r="D141" s="38" t="s">
        <v>396</v>
      </c>
      <c r="E141" s="10" t="n">
        <v>104047</v>
      </c>
      <c r="F141" s="38" t="n">
        <v>412</v>
      </c>
      <c r="G141" s="38" t="n">
        <v>249</v>
      </c>
      <c r="H141" s="38" t="n">
        <v>1286</v>
      </c>
      <c r="I141" s="38" t="n">
        <v>650</v>
      </c>
      <c r="J141" s="38" t="n">
        <v>636</v>
      </c>
      <c r="K141" s="38" t="n">
        <v>225</v>
      </c>
      <c r="L141" s="38" t="n">
        <f aca="false">K141*100/H141</f>
        <v>17.4961119751166</v>
      </c>
      <c r="M141" s="38" t="n">
        <v>99</v>
      </c>
      <c r="N141" s="38" t="n">
        <f aca="false">M141*100/H141</f>
        <v>7.69828926905132</v>
      </c>
      <c r="O141" s="38" t="n">
        <v>17</v>
      </c>
      <c r="P141" s="38" t="n">
        <v>0</v>
      </c>
      <c r="Q141" s="15" t="s">
        <v>45</v>
      </c>
      <c r="R141" s="15"/>
      <c r="S141" s="38"/>
      <c r="T141" s="16"/>
      <c r="U141" s="38"/>
      <c r="V141" s="38"/>
      <c r="W141" s="38"/>
      <c r="X141" s="38"/>
      <c r="Y141" s="38"/>
      <c r="Z141" s="38"/>
      <c r="AA141" s="16" t="s">
        <v>43</v>
      </c>
      <c r="AB141" s="12" t="n">
        <v>4</v>
      </c>
      <c r="AC141" s="12"/>
      <c r="AD141" s="17" t="n">
        <v>24.589543</v>
      </c>
      <c r="AE141" s="17" t="n">
        <v>76.168524</v>
      </c>
    </row>
    <row r="142" customFormat="false" ht="15" hidden="false" customHeight="false" outlineLevel="0" collapsed="false">
      <c r="A142" s="38" t="s">
        <v>39</v>
      </c>
      <c r="B142" s="10" t="s">
        <v>227</v>
      </c>
      <c r="C142" s="10" t="s">
        <v>394</v>
      </c>
      <c r="D142" s="38" t="s">
        <v>396</v>
      </c>
      <c r="E142" s="10"/>
      <c r="F142" s="38"/>
      <c r="G142" s="38"/>
      <c r="H142" s="38"/>
      <c r="I142" s="38"/>
      <c r="J142" s="38"/>
      <c r="K142" s="38"/>
      <c r="L142" s="38" t="e">
        <f aca="false">K142*100/H142</f>
        <v>#DIV/0!</v>
      </c>
      <c r="M142" s="38"/>
      <c r="N142" s="38" t="e">
        <f aca="false">M142*100/H142</f>
        <v>#DIV/0!</v>
      </c>
      <c r="O142" s="38"/>
      <c r="P142" s="38"/>
      <c r="Q142" s="15" t="s">
        <v>45</v>
      </c>
      <c r="R142" s="15"/>
      <c r="S142" s="38"/>
      <c r="T142" s="16"/>
      <c r="U142" s="38"/>
      <c r="V142" s="38"/>
      <c r="W142" s="38"/>
      <c r="X142" s="38"/>
      <c r="Y142" s="38"/>
      <c r="Z142" s="38"/>
      <c r="AA142" s="16" t="s">
        <v>45</v>
      </c>
      <c r="AB142" s="16" t="n">
        <v>4</v>
      </c>
      <c r="AC142" s="12"/>
      <c r="AD142" s="17" t="n">
        <v>24.3151</v>
      </c>
      <c r="AE142" s="17" t="n">
        <v>76.4581</v>
      </c>
    </row>
    <row r="143" customFormat="false" ht="15" hidden="false" customHeight="false" outlineLevel="0" collapsed="false">
      <c r="A143" s="38" t="s">
        <v>39</v>
      </c>
      <c r="B143" s="10" t="s">
        <v>227</v>
      </c>
      <c r="C143" s="10" t="s">
        <v>394</v>
      </c>
      <c r="D143" s="38" t="s">
        <v>397</v>
      </c>
      <c r="E143" s="10" t="n">
        <v>104048</v>
      </c>
      <c r="F143" s="38" t="n">
        <v>400</v>
      </c>
      <c r="G143" s="38" t="n">
        <v>178</v>
      </c>
      <c r="H143" s="38" t="n">
        <v>977</v>
      </c>
      <c r="I143" s="38" t="n">
        <v>508</v>
      </c>
      <c r="J143" s="38" t="n">
        <v>469</v>
      </c>
      <c r="K143" s="38" t="n">
        <v>324</v>
      </c>
      <c r="L143" s="38" t="n">
        <f aca="false">K143*100/H143</f>
        <v>33.1627430910952</v>
      </c>
      <c r="M143" s="38" t="n">
        <v>31</v>
      </c>
      <c r="N143" s="38" t="n">
        <f aca="false">M143*100/H143</f>
        <v>3.17297850562948</v>
      </c>
      <c r="O143" s="38" t="n">
        <v>12</v>
      </c>
      <c r="P143" s="38" t="n">
        <v>0</v>
      </c>
      <c r="Q143" s="15" t="s">
        <v>45</v>
      </c>
      <c r="R143" s="15"/>
      <c r="S143" s="38"/>
      <c r="T143" s="16"/>
      <c r="U143" s="38"/>
      <c r="V143" s="38"/>
      <c r="W143" s="38"/>
      <c r="X143" s="38"/>
      <c r="Y143" s="38"/>
      <c r="Z143" s="38"/>
      <c r="AA143" s="16" t="s">
        <v>45</v>
      </c>
      <c r="AB143" s="16" t="n">
        <v>3</v>
      </c>
      <c r="AC143" s="16"/>
      <c r="AD143" s="17" t="n">
        <v>24.510265</v>
      </c>
      <c r="AE143" s="17" t="n">
        <v>76.065718</v>
      </c>
    </row>
    <row r="144" customFormat="false" ht="15" hidden="false" customHeight="false" outlineLevel="0" collapsed="false">
      <c r="A144" s="38" t="s">
        <v>39</v>
      </c>
      <c r="B144" s="10" t="s">
        <v>227</v>
      </c>
      <c r="C144" s="10" t="s">
        <v>394</v>
      </c>
      <c r="D144" s="38" t="s">
        <v>398</v>
      </c>
      <c r="E144" s="10" t="n">
        <v>104054</v>
      </c>
      <c r="F144" s="38" t="n">
        <v>323</v>
      </c>
      <c r="G144" s="38" t="n">
        <v>104</v>
      </c>
      <c r="H144" s="38" t="n">
        <v>540</v>
      </c>
      <c r="I144" s="38" t="n">
        <v>273</v>
      </c>
      <c r="J144" s="38" t="n">
        <v>267</v>
      </c>
      <c r="K144" s="38" t="n">
        <v>77</v>
      </c>
      <c r="L144" s="38" t="n">
        <f aca="false">K144*100/H144</f>
        <v>14.2592592592593</v>
      </c>
      <c r="M144" s="38" t="n">
        <v>245</v>
      </c>
      <c r="N144" s="38" t="n">
        <f aca="false">M144*100/H144</f>
        <v>45.3703703703704</v>
      </c>
      <c r="O144" s="38" t="n">
        <v>12</v>
      </c>
      <c r="P144" s="38" t="n">
        <v>0</v>
      </c>
      <c r="Q144" s="15" t="s">
        <v>45</v>
      </c>
      <c r="R144" s="15"/>
      <c r="S144" s="38"/>
      <c r="T144" s="46" t="n">
        <v>31.3</v>
      </c>
      <c r="U144" s="38"/>
      <c r="V144" s="38"/>
      <c r="W144" s="38"/>
      <c r="X144" s="38"/>
      <c r="Y144" s="38"/>
      <c r="Z144" s="38"/>
      <c r="AA144" s="16" t="s">
        <v>45</v>
      </c>
      <c r="AB144" s="16" t="n">
        <v>1</v>
      </c>
      <c r="AC144" s="16"/>
      <c r="AD144" s="17" t="n">
        <v>24.501125</v>
      </c>
      <c r="AE144" s="17" t="n">
        <v>76.046754</v>
      </c>
    </row>
    <row r="145" customFormat="false" ht="15" hidden="false" customHeight="false" outlineLevel="0" collapsed="false">
      <c r="A145" s="38" t="s">
        <v>39</v>
      </c>
      <c r="B145" s="10" t="s">
        <v>227</v>
      </c>
      <c r="C145" s="10" t="s">
        <v>394</v>
      </c>
      <c r="D145" s="38" t="s">
        <v>399</v>
      </c>
      <c r="E145" s="10" t="n">
        <v>104058</v>
      </c>
      <c r="F145" s="38" t="n">
        <v>88.88</v>
      </c>
      <c r="G145" s="38" t="n">
        <v>91</v>
      </c>
      <c r="H145" s="38" t="n">
        <v>396</v>
      </c>
      <c r="I145" s="38" t="n">
        <v>192</v>
      </c>
      <c r="J145" s="38" t="n">
        <v>204</v>
      </c>
      <c r="K145" s="38" t="n">
        <v>105</v>
      </c>
      <c r="L145" s="38" t="n">
        <f aca="false">K145*100/H145</f>
        <v>26.5151515151515</v>
      </c>
      <c r="M145" s="38" t="n">
        <v>84</v>
      </c>
      <c r="N145" s="38" t="n">
        <f aca="false">M145*100/H145</f>
        <v>21.2121212121212</v>
      </c>
      <c r="O145" s="38" t="n">
        <v>4.07</v>
      </c>
      <c r="P145" s="38" t="n">
        <v>0</v>
      </c>
      <c r="Q145" s="15" t="s">
        <v>45</v>
      </c>
      <c r="R145" s="15"/>
      <c r="S145" s="38"/>
      <c r="T145" s="46" t="n">
        <v>7</v>
      </c>
      <c r="U145" s="38"/>
      <c r="V145" s="38"/>
      <c r="W145" s="38"/>
      <c r="X145" s="38"/>
      <c r="Y145" s="38"/>
      <c r="Z145" s="38"/>
      <c r="AA145" s="16" t="s">
        <v>45</v>
      </c>
      <c r="AB145" s="16" t="n">
        <v>5</v>
      </c>
      <c r="AC145" s="16"/>
      <c r="AD145" s="17"/>
      <c r="AE145" s="17"/>
    </row>
    <row r="146" customFormat="false" ht="15" hidden="false" customHeight="false" outlineLevel="0" collapsed="false">
      <c r="A146" s="38" t="s">
        <v>39</v>
      </c>
      <c r="B146" s="10" t="s">
        <v>227</v>
      </c>
      <c r="C146" s="10" t="s">
        <v>394</v>
      </c>
      <c r="D146" s="38" t="s">
        <v>400</v>
      </c>
      <c r="E146" s="10" t="n">
        <v>104055</v>
      </c>
      <c r="F146" s="38" t="n">
        <v>380.25</v>
      </c>
      <c r="G146" s="38" t="n">
        <v>42</v>
      </c>
      <c r="H146" s="38" t="n">
        <v>187</v>
      </c>
      <c r="I146" s="38" t="n">
        <v>90</v>
      </c>
      <c r="J146" s="38" t="n">
        <v>97</v>
      </c>
      <c r="K146" s="38" t="n">
        <v>0</v>
      </c>
      <c r="L146" s="38" t="n">
        <f aca="false">K146*100/H146</f>
        <v>0</v>
      </c>
      <c r="M146" s="38" t="n">
        <v>1</v>
      </c>
      <c r="N146" s="38" t="n">
        <f aca="false">M146*100/H146</f>
        <v>0.53475935828877</v>
      </c>
      <c r="O146" s="38" t="n">
        <v>0</v>
      </c>
      <c r="P146" s="38" t="n">
        <v>273.78</v>
      </c>
      <c r="Q146" s="12" t="s">
        <v>45</v>
      </c>
      <c r="R146" s="12" t="s">
        <v>244</v>
      </c>
      <c r="S146" s="38"/>
      <c r="T146" s="61" t="n">
        <v>27</v>
      </c>
      <c r="U146" s="38"/>
      <c r="V146" s="38"/>
      <c r="W146" s="38"/>
      <c r="X146" s="38"/>
      <c r="Y146" s="38"/>
      <c r="Z146" s="38"/>
      <c r="AA146" s="12" t="s">
        <v>47</v>
      </c>
      <c r="AB146" s="12"/>
      <c r="AC146" s="16"/>
      <c r="AD146" s="46" t="n">
        <v>24.485834</v>
      </c>
      <c r="AE146" s="46" t="n">
        <v>76.428276</v>
      </c>
    </row>
    <row r="147" customFormat="false" ht="15" hidden="false" customHeight="false" outlineLevel="0" collapsed="false">
      <c r="A147" s="38" t="s">
        <v>39</v>
      </c>
      <c r="B147" s="10" t="s">
        <v>227</v>
      </c>
      <c r="C147" s="10" t="s">
        <v>401</v>
      </c>
      <c r="D147" s="38" t="s">
        <v>402</v>
      </c>
      <c r="E147" s="10" t="n">
        <v>104182</v>
      </c>
      <c r="F147" s="38" t="n">
        <v>105.33</v>
      </c>
      <c r="G147" s="38" t="n">
        <v>30</v>
      </c>
      <c r="H147" s="38" t="n">
        <v>152</v>
      </c>
      <c r="I147" s="38" t="n">
        <v>92</v>
      </c>
      <c r="J147" s="38" t="n">
        <v>60</v>
      </c>
      <c r="K147" s="38" t="n">
        <v>28</v>
      </c>
      <c r="L147" s="38" t="n">
        <f aca="false">K147*100/H147</f>
        <v>18.421052631579</v>
      </c>
      <c r="M147" s="38" t="n">
        <v>0</v>
      </c>
      <c r="N147" s="38" t="n">
        <f aca="false">M147*100/H147</f>
        <v>0</v>
      </c>
      <c r="O147" s="38" t="n">
        <v>6.86</v>
      </c>
      <c r="P147" s="38" t="n">
        <v>0</v>
      </c>
      <c r="Q147" s="12" t="s">
        <v>45</v>
      </c>
      <c r="R147" s="12" t="s">
        <v>244</v>
      </c>
      <c r="S147" s="38"/>
      <c r="T147" s="46" t="n">
        <v>41.9</v>
      </c>
      <c r="U147" s="38"/>
      <c r="V147" s="38"/>
      <c r="W147" s="38"/>
      <c r="X147" s="38"/>
      <c r="Y147" s="38"/>
      <c r="Z147" s="38"/>
      <c r="AA147" s="12" t="s">
        <v>47</v>
      </c>
      <c r="AB147" s="12"/>
      <c r="AC147" s="46"/>
      <c r="AD147" s="46" t="n">
        <v>24.513464</v>
      </c>
      <c r="AE147" s="46" t="n">
        <v>76.40338</v>
      </c>
    </row>
    <row r="148" customFormat="false" ht="15" hidden="false" customHeight="false" outlineLevel="0" collapsed="false">
      <c r="A148" s="38" t="s">
        <v>39</v>
      </c>
      <c r="B148" s="10" t="s">
        <v>227</v>
      </c>
      <c r="C148" s="10" t="s">
        <v>401</v>
      </c>
      <c r="D148" s="38" t="s">
        <v>403</v>
      </c>
      <c r="E148" s="10" t="n">
        <v>104180</v>
      </c>
      <c r="F148" s="38" t="n">
        <v>187.9</v>
      </c>
      <c r="G148" s="38" t="n">
        <v>83</v>
      </c>
      <c r="H148" s="38" t="n">
        <v>406</v>
      </c>
      <c r="I148" s="38" t="n">
        <v>213</v>
      </c>
      <c r="J148" s="38" t="n">
        <v>193</v>
      </c>
      <c r="K148" s="38" t="n">
        <v>1</v>
      </c>
      <c r="L148" s="38" t="n">
        <f aca="false">K148*100/H148</f>
        <v>0.246305418719212</v>
      </c>
      <c r="M148" s="38" t="n">
        <v>282</v>
      </c>
      <c r="N148" s="38" t="n">
        <f aca="false">M148*100/H148</f>
        <v>69.4581280788177</v>
      </c>
      <c r="O148" s="38" t="n">
        <v>0</v>
      </c>
      <c r="P148" s="38" t="n">
        <v>154.71</v>
      </c>
      <c r="Q148" s="12" t="s">
        <v>45</v>
      </c>
      <c r="R148" s="12" t="s">
        <v>244</v>
      </c>
      <c r="S148" s="38"/>
      <c r="T148" s="46" t="n">
        <v>20.99</v>
      </c>
      <c r="U148" s="38"/>
      <c r="V148" s="38"/>
      <c r="W148" s="38"/>
      <c r="X148" s="38"/>
      <c r="Y148" s="38"/>
      <c r="Z148" s="38"/>
      <c r="AA148" s="12" t="s">
        <v>47</v>
      </c>
      <c r="AB148" s="10"/>
      <c r="AC148" s="46"/>
      <c r="AD148" s="61" t="n">
        <v>24.512331</v>
      </c>
      <c r="AE148" s="61" t="n">
        <v>76.417447</v>
      </c>
    </row>
    <row r="149" customFormat="false" ht="15" hidden="false" customHeight="false" outlineLevel="0" collapsed="false">
      <c r="A149" s="38" t="s">
        <v>39</v>
      </c>
      <c r="B149" s="10" t="s">
        <v>227</v>
      </c>
      <c r="C149" s="10" t="s">
        <v>401</v>
      </c>
      <c r="D149" s="38" t="s">
        <v>404</v>
      </c>
      <c r="E149" s="10" t="n">
        <v>104181</v>
      </c>
      <c r="F149" s="38" t="n">
        <v>647.58</v>
      </c>
      <c r="G149" s="38" t="n">
        <v>106</v>
      </c>
      <c r="H149" s="38" t="n">
        <v>522</v>
      </c>
      <c r="I149" s="38" t="n">
        <v>277</v>
      </c>
      <c r="J149" s="38" t="n">
        <v>245</v>
      </c>
      <c r="K149" s="38" t="n">
        <v>46</v>
      </c>
      <c r="L149" s="38" t="n">
        <f aca="false">K149*100/H149</f>
        <v>8.81226053639847</v>
      </c>
      <c r="M149" s="38" t="n">
        <v>0</v>
      </c>
      <c r="N149" s="38" t="n">
        <f aca="false">M149*100/H149</f>
        <v>0</v>
      </c>
      <c r="O149" s="38" t="n">
        <v>17.52</v>
      </c>
      <c r="P149" s="38" t="n">
        <v>476.88</v>
      </c>
      <c r="Q149" s="12" t="s">
        <v>45</v>
      </c>
      <c r="R149" s="12" t="s">
        <v>244</v>
      </c>
      <c r="S149" s="38"/>
      <c r="T149" s="46" t="n">
        <v>32</v>
      </c>
      <c r="U149" s="38"/>
      <c r="V149" s="38"/>
      <c r="W149" s="38"/>
      <c r="X149" s="38"/>
      <c r="Y149" s="38"/>
      <c r="Z149" s="38"/>
      <c r="AA149" s="12" t="s">
        <v>47</v>
      </c>
      <c r="AB149" s="12"/>
      <c r="AC149" s="48"/>
      <c r="AD149" s="46" t="n">
        <v>24.48446</v>
      </c>
      <c r="AE149" s="46" t="n">
        <v>76.418168</v>
      </c>
    </row>
    <row r="150" customFormat="false" ht="15" hidden="false" customHeight="false" outlineLevel="0" collapsed="false">
      <c r="A150" s="38" t="s">
        <v>39</v>
      </c>
      <c r="B150" s="10" t="s">
        <v>227</v>
      </c>
      <c r="C150" s="10" t="s">
        <v>401</v>
      </c>
      <c r="D150" s="38" t="s">
        <v>405</v>
      </c>
      <c r="E150" s="10" t="n">
        <v>104183</v>
      </c>
      <c r="F150" s="38" t="n">
        <v>681.72</v>
      </c>
      <c r="G150" s="38" t="n">
        <v>70</v>
      </c>
      <c r="H150" s="38" t="n">
        <v>339</v>
      </c>
      <c r="I150" s="38" t="n">
        <v>168</v>
      </c>
      <c r="J150" s="38" t="n">
        <v>171</v>
      </c>
      <c r="K150" s="38" t="n">
        <v>56</v>
      </c>
      <c r="L150" s="38" t="n">
        <f aca="false">K150*100/H150</f>
        <v>16.5191740412979</v>
      </c>
      <c r="M150" s="38" t="n">
        <v>0</v>
      </c>
      <c r="N150" s="38" t="n">
        <f aca="false">M150*100/H150</f>
        <v>0</v>
      </c>
      <c r="O150" s="38" t="n">
        <v>0</v>
      </c>
      <c r="P150" s="38" t="n">
        <v>517.29</v>
      </c>
      <c r="Q150" s="12" t="s">
        <v>45</v>
      </c>
      <c r="R150" s="12" t="s">
        <v>244</v>
      </c>
      <c r="S150" s="38"/>
      <c r="T150" s="46" t="n">
        <v>5.3</v>
      </c>
      <c r="U150" s="38"/>
      <c r="V150" s="38"/>
      <c r="W150" s="38"/>
      <c r="X150" s="38"/>
      <c r="Y150" s="38"/>
      <c r="Z150" s="38"/>
      <c r="AA150" s="12" t="s">
        <v>47</v>
      </c>
      <c r="AB150" s="12"/>
      <c r="AC150" s="46"/>
      <c r="AD150" s="46" t="n">
        <v>24.49301</v>
      </c>
      <c r="AE150" s="46" t="n">
        <v>76.386045</v>
      </c>
    </row>
    <row r="151" customFormat="false" ht="18.75" hidden="false" customHeight="false" outlineLevel="0" collapsed="false">
      <c r="A151" s="38" t="s">
        <v>39</v>
      </c>
      <c r="B151" s="10" t="s">
        <v>227</v>
      </c>
      <c r="C151" s="10" t="s">
        <v>401</v>
      </c>
      <c r="D151" s="38" t="s">
        <v>406</v>
      </c>
      <c r="E151" s="10" t="n">
        <v>104185</v>
      </c>
      <c r="F151" s="38" t="n">
        <v>280.22</v>
      </c>
      <c r="G151" s="38" t="n">
        <v>300</v>
      </c>
      <c r="H151" s="38" t="n">
        <v>1356</v>
      </c>
      <c r="I151" s="38" t="n">
        <v>692</v>
      </c>
      <c r="J151" s="38" t="n">
        <v>664</v>
      </c>
      <c r="K151" s="38" t="n">
        <v>416</v>
      </c>
      <c r="L151" s="38" t="n">
        <f aca="false">K151*100/H151</f>
        <v>30.6784660766962</v>
      </c>
      <c r="M151" s="38" t="n">
        <v>518</v>
      </c>
      <c r="N151" s="38" t="n">
        <f aca="false">M151*100/H151</f>
        <v>38.2005899705015</v>
      </c>
      <c r="O151" s="38" t="n">
        <v>12.33</v>
      </c>
      <c r="P151" s="38" t="n">
        <v>92.5</v>
      </c>
      <c r="Q151" s="12" t="s">
        <v>45</v>
      </c>
      <c r="R151" s="12" t="s">
        <v>244</v>
      </c>
      <c r="S151" s="38"/>
      <c r="T151" s="62"/>
      <c r="U151" s="38"/>
      <c r="V151" s="38"/>
      <c r="W151" s="38"/>
      <c r="X151" s="38"/>
      <c r="Y151" s="38"/>
      <c r="Z151" s="38"/>
      <c r="AA151" s="12" t="s">
        <v>47</v>
      </c>
      <c r="AB151" s="12"/>
      <c r="AC151" s="46"/>
      <c r="AD151" s="46" t="n">
        <v>24.483253</v>
      </c>
      <c r="AE151" s="46" t="n">
        <v>76.391534</v>
      </c>
    </row>
    <row r="152" customFormat="false" ht="15" hidden="false" customHeight="false" outlineLevel="0" collapsed="false">
      <c r="A152" s="38" t="s">
        <v>39</v>
      </c>
      <c r="B152" s="10" t="s">
        <v>227</v>
      </c>
      <c r="C152" s="10" t="s">
        <v>401</v>
      </c>
      <c r="D152" s="38" t="s">
        <v>270</v>
      </c>
      <c r="E152" s="10" t="n">
        <v>104186</v>
      </c>
      <c r="F152" s="38" t="n">
        <v>278.57</v>
      </c>
      <c r="G152" s="38" t="n">
        <v>55</v>
      </c>
      <c r="H152" s="38" t="n">
        <v>227</v>
      </c>
      <c r="I152" s="38" t="n">
        <v>110</v>
      </c>
      <c r="J152" s="38" t="n">
        <v>117</v>
      </c>
      <c r="K152" s="38" t="n">
        <v>21</v>
      </c>
      <c r="L152" s="38" t="n">
        <f aca="false">K152*100/H152</f>
        <v>9.2511013215859</v>
      </c>
      <c r="M152" s="38" t="n">
        <v>0</v>
      </c>
      <c r="N152" s="38" t="n">
        <f aca="false">M152*100/H152</f>
        <v>0</v>
      </c>
      <c r="O152" s="38" t="n">
        <v>26.24</v>
      </c>
      <c r="P152" s="38" t="n">
        <v>105.75</v>
      </c>
      <c r="Q152" s="12" t="s">
        <v>45</v>
      </c>
      <c r="R152" s="12" t="s">
        <v>244</v>
      </c>
      <c r="S152" s="38"/>
      <c r="T152" s="46" t="n">
        <v>8.5</v>
      </c>
      <c r="U152" s="38"/>
      <c r="V152" s="38"/>
      <c r="W152" s="38"/>
      <c r="X152" s="38"/>
      <c r="Y152" s="38"/>
      <c r="Z152" s="38"/>
      <c r="AA152" s="12" t="s">
        <v>47</v>
      </c>
      <c r="AB152" s="12"/>
      <c r="AC152" s="46"/>
      <c r="AD152" s="46" t="n">
        <v>24.482214</v>
      </c>
      <c r="AE152" s="46" t="n">
        <v>76.394619</v>
      </c>
    </row>
    <row r="153" customFormat="false" ht="18.75" hidden="false" customHeight="false" outlineLevel="0" collapsed="false">
      <c r="A153" s="38" t="s">
        <v>39</v>
      </c>
      <c r="B153" s="10" t="s">
        <v>227</v>
      </c>
      <c r="C153" s="10" t="s">
        <v>401</v>
      </c>
      <c r="D153" s="38" t="s">
        <v>407</v>
      </c>
      <c r="E153" s="10" t="n">
        <v>104192</v>
      </c>
      <c r="F153" s="38" t="n">
        <v>522.02</v>
      </c>
      <c r="G153" s="38"/>
      <c r="H153" s="38" t="n">
        <v>0</v>
      </c>
      <c r="I153" s="38"/>
      <c r="J153" s="38"/>
      <c r="K153" s="38"/>
      <c r="L153" s="38" t="e">
        <f aca="false">K153*100/H153</f>
        <v>#DIV/0!</v>
      </c>
      <c r="M153" s="38"/>
      <c r="N153" s="38" t="e">
        <f aca="false">M153*100/H153</f>
        <v>#DIV/0!</v>
      </c>
      <c r="O153" s="38" t="n">
        <v>0</v>
      </c>
      <c r="P153" s="38" t="n">
        <v>486.86</v>
      </c>
      <c r="Q153" s="12" t="s">
        <v>45</v>
      </c>
      <c r="R153" s="12" t="s">
        <v>244</v>
      </c>
      <c r="S153" s="38"/>
      <c r="T153" s="62"/>
      <c r="U153" s="38"/>
      <c r="V153" s="38"/>
      <c r="W153" s="38"/>
      <c r="X153" s="38"/>
      <c r="Y153" s="38"/>
      <c r="Z153" s="38"/>
      <c r="AA153" s="12" t="s">
        <v>47</v>
      </c>
      <c r="AB153" s="12"/>
      <c r="AC153" s="62"/>
      <c r="AD153" s="46" t="n">
        <v>24.515011</v>
      </c>
      <c r="AE153" s="46" t="n">
        <v>76.407884</v>
      </c>
    </row>
    <row r="154" customFormat="false" ht="18.75" hidden="false" customHeight="false" outlineLevel="0" collapsed="false">
      <c r="A154" s="38" t="s">
        <v>39</v>
      </c>
      <c r="B154" s="10" t="s">
        <v>227</v>
      </c>
      <c r="C154" s="10" t="s">
        <v>408</v>
      </c>
      <c r="D154" s="38" t="s">
        <v>409</v>
      </c>
      <c r="E154" s="10" t="n">
        <v>104069</v>
      </c>
      <c r="F154" s="38" t="n">
        <v>503.76</v>
      </c>
      <c r="G154" s="38" t="n">
        <v>230</v>
      </c>
      <c r="H154" s="38" t="n">
        <v>1092</v>
      </c>
      <c r="I154" s="38" t="n">
        <v>561</v>
      </c>
      <c r="J154" s="38" t="n">
        <v>531</v>
      </c>
      <c r="K154" s="38" t="n">
        <v>530</v>
      </c>
      <c r="L154" s="38" t="n">
        <f aca="false">K154*100/H154</f>
        <v>48.5347985347985</v>
      </c>
      <c r="M154" s="38" t="n">
        <v>194</v>
      </c>
      <c r="N154" s="38" t="n">
        <f aca="false">M154*100/H154</f>
        <v>17.7655677655678</v>
      </c>
      <c r="O154" s="38" t="n">
        <v>29.02</v>
      </c>
      <c r="P154" s="38" t="n">
        <v>0</v>
      </c>
      <c r="Q154" s="23" t="s">
        <v>45</v>
      </c>
      <c r="R154" s="23"/>
      <c r="S154" s="38"/>
      <c r="T154" s="12"/>
      <c r="U154" s="38"/>
      <c r="V154" s="38"/>
      <c r="W154" s="38"/>
      <c r="X154" s="38"/>
      <c r="Y154" s="38"/>
      <c r="Z154" s="38"/>
      <c r="AA154" s="12" t="s">
        <v>150</v>
      </c>
      <c r="AB154" s="12" t="n">
        <v>1.328</v>
      </c>
      <c r="AC154" s="16"/>
      <c r="AD154" s="45"/>
      <c r="AE154" s="45"/>
    </row>
    <row r="155" customFormat="false" ht="18.75" hidden="false" customHeight="false" outlineLevel="0" collapsed="false">
      <c r="A155" s="38" t="s">
        <v>39</v>
      </c>
      <c r="B155" s="10" t="s">
        <v>227</v>
      </c>
      <c r="C155" s="10" t="s">
        <v>408</v>
      </c>
      <c r="D155" s="38" t="s">
        <v>410</v>
      </c>
      <c r="E155" s="10" t="n">
        <v>104118</v>
      </c>
      <c r="F155" s="38" t="n">
        <v>235.4</v>
      </c>
      <c r="G155" s="38" t="n">
        <v>87</v>
      </c>
      <c r="H155" s="38" t="n">
        <v>415</v>
      </c>
      <c r="I155" s="38" t="n">
        <v>207</v>
      </c>
      <c r="J155" s="38" t="n">
        <v>208</v>
      </c>
      <c r="K155" s="38" t="n">
        <v>225</v>
      </c>
      <c r="L155" s="38" t="n">
        <f aca="false">K155*100/H155</f>
        <v>54.2168674698795</v>
      </c>
      <c r="M155" s="38" t="n">
        <v>2</v>
      </c>
      <c r="N155" s="38" t="n">
        <f aca="false">M155*100/H155</f>
        <v>0.481927710843373</v>
      </c>
      <c r="O155" s="38" t="n">
        <v>21.11</v>
      </c>
      <c r="P155" s="38" t="n">
        <v>2.68</v>
      </c>
      <c r="Q155" s="15" t="s">
        <v>82</v>
      </c>
      <c r="R155" s="15" t="s">
        <v>411</v>
      </c>
      <c r="S155" s="38"/>
      <c r="T155" s="46"/>
      <c r="U155" s="38"/>
      <c r="V155" s="38"/>
      <c r="W155" s="38"/>
      <c r="X155" s="38"/>
      <c r="Y155" s="38"/>
      <c r="Z155" s="38"/>
      <c r="AA155" s="16" t="s">
        <v>43</v>
      </c>
      <c r="AB155" s="16" t="n">
        <v>13</v>
      </c>
      <c r="AC155" s="46"/>
      <c r="AD155" s="45"/>
      <c r="AE155" s="45"/>
    </row>
    <row r="156" customFormat="false" ht="18.75" hidden="false" customHeight="false" outlineLevel="0" collapsed="false">
      <c r="A156" s="38" t="s">
        <v>39</v>
      </c>
      <c r="B156" s="10" t="s">
        <v>227</v>
      </c>
      <c r="C156" s="10" t="s">
        <v>408</v>
      </c>
      <c r="D156" s="38" t="s">
        <v>412</v>
      </c>
      <c r="E156" s="10" t="n">
        <v>104122</v>
      </c>
      <c r="F156" s="38" t="n">
        <v>782.92</v>
      </c>
      <c r="G156" s="38" t="n">
        <v>284</v>
      </c>
      <c r="H156" s="38" t="n">
        <v>1259</v>
      </c>
      <c r="I156" s="38" t="n">
        <v>641</v>
      </c>
      <c r="J156" s="38" t="n">
        <v>618</v>
      </c>
      <c r="K156" s="38" t="n">
        <v>175</v>
      </c>
      <c r="L156" s="38" t="n">
        <f aca="false">K156*100/H156</f>
        <v>13.8999205718824</v>
      </c>
      <c r="M156" s="38" t="n">
        <v>13</v>
      </c>
      <c r="N156" s="38" t="n">
        <f aca="false">M156*100/H156</f>
        <v>1.03256552819698</v>
      </c>
      <c r="O156" s="38" t="n">
        <v>54.68</v>
      </c>
      <c r="P156" s="38" t="n">
        <v>36.18</v>
      </c>
      <c r="Q156" s="24" t="s">
        <v>45</v>
      </c>
      <c r="R156" s="12" t="s">
        <v>244</v>
      </c>
      <c r="S156" s="38"/>
      <c r="T156" s="38"/>
      <c r="U156" s="38"/>
      <c r="V156" s="38"/>
      <c r="W156" s="38"/>
      <c r="X156" s="38"/>
      <c r="Y156" s="38"/>
      <c r="Z156" s="38"/>
      <c r="AA156" s="12" t="s">
        <v>43</v>
      </c>
      <c r="AB156" s="12" t="n">
        <v>3</v>
      </c>
      <c r="AC156" s="16"/>
      <c r="AD156" s="45"/>
      <c r="AE156" s="45"/>
    </row>
    <row r="157" customFormat="false" ht="18.75" hidden="false" customHeight="false" outlineLevel="0" collapsed="false">
      <c r="A157" s="38" t="s">
        <v>39</v>
      </c>
      <c r="B157" s="10" t="s">
        <v>227</v>
      </c>
      <c r="C157" s="10" t="s">
        <v>408</v>
      </c>
      <c r="D157" s="38" t="s">
        <v>413</v>
      </c>
      <c r="E157" s="10" t="n">
        <v>104132</v>
      </c>
      <c r="F157" s="38" t="n">
        <v>284.63</v>
      </c>
      <c r="G157" s="38" t="n">
        <v>155</v>
      </c>
      <c r="H157" s="38" t="n">
        <v>757</v>
      </c>
      <c r="I157" s="38" t="n">
        <v>397</v>
      </c>
      <c r="J157" s="38" t="n">
        <v>360</v>
      </c>
      <c r="K157" s="38" t="n">
        <v>137</v>
      </c>
      <c r="L157" s="38" t="n">
        <f aca="false">K157*100/H157</f>
        <v>18.0977542932629</v>
      </c>
      <c r="M157" s="38" t="n">
        <v>237</v>
      </c>
      <c r="N157" s="38" t="n">
        <f aca="false">M157*100/H157</f>
        <v>31.3077939233818</v>
      </c>
      <c r="O157" s="38" t="n">
        <v>18.23</v>
      </c>
      <c r="P157" s="38" t="n">
        <v>48.12</v>
      </c>
      <c r="Q157" s="12" t="s">
        <v>45</v>
      </c>
      <c r="R157" s="12" t="s">
        <v>244</v>
      </c>
      <c r="S157" s="38"/>
      <c r="T157" s="38"/>
      <c r="U157" s="38"/>
      <c r="V157" s="38"/>
      <c r="W157" s="38"/>
      <c r="X157" s="38"/>
      <c r="Y157" s="38"/>
      <c r="Z157" s="38"/>
      <c r="AA157" s="12" t="s">
        <v>43</v>
      </c>
      <c r="AB157" s="12" t="n">
        <v>5</v>
      </c>
      <c r="AC157" s="12" t="s">
        <v>414</v>
      </c>
      <c r="AD157" s="45"/>
      <c r="AE157" s="45"/>
    </row>
  </sheetData>
  <mergeCells count="3">
    <mergeCell ref="K2:L2"/>
    <mergeCell ref="M2:N2"/>
    <mergeCell ref="AD2:AE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W314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4" ySplit="2" topLeftCell="AA19" activePane="bottomRight" state="frozen"/>
      <selection pane="topLeft" activeCell="A2" activeCellId="0" sqref="A2"/>
      <selection pane="topRight" activeCell="AA2" activeCellId="0" sqref="AA2"/>
      <selection pane="bottomLeft" activeCell="A19" activeCellId="0" sqref="A19"/>
      <selection pane="bottomRight" activeCell="N4" activeCellId="0" sqref="N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15.14"/>
    <col collapsed="false" customWidth="true" hidden="false" outlineLevel="0" max="3" min="3" style="0" width="16.14"/>
    <col collapsed="false" customWidth="true" hidden="false" outlineLevel="0" max="4" min="4" style="0" width="19.71"/>
    <col collapsed="false" customWidth="true" hidden="false" outlineLevel="0" max="5" min="5" style="0" width="17.85"/>
    <col collapsed="false" customWidth="true" hidden="false" outlineLevel="0" max="14" min="8" style="0" width="9.14"/>
    <col collapsed="false" customWidth="true" hidden="false" outlineLevel="0" max="15" min="15" style="0" width="14.14"/>
    <col collapsed="false" customWidth="true" hidden="false" outlineLevel="0" max="16" min="16" style="0" width="12"/>
    <col collapsed="false" customWidth="true" hidden="false" outlineLevel="0" max="17" min="17" style="0" width="12.71"/>
    <col collapsed="false" customWidth="true" hidden="false" outlineLevel="0" max="18" min="18" style="0" width="12.43"/>
    <col collapsed="false" customWidth="true" hidden="false" outlineLevel="0" max="19" min="19" style="0" width="16.71"/>
    <col collapsed="false" customWidth="true" hidden="false" outlineLevel="0" max="20" min="20" style="0" width="15.71"/>
    <col collapsed="false" customWidth="true" hidden="false" outlineLevel="0" max="21" min="21" style="0" width="17.14"/>
    <col collapsed="false" customWidth="true" hidden="false" outlineLevel="0" max="22" min="22" style="0" width="15.28"/>
    <col collapsed="false" customWidth="true" hidden="false" outlineLevel="0" max="23" min="23" style="0" width="15.57"/>
    <col collapsed="false" customWidth="true" hidden="false" outlineLevel="0" max="24" min="24" style="0" width="17.57"/>
    <col collapsed="false" customWidth="true" hidden="false" outlineLevel="0" max="25" min="25" style="0" width="19"/>
    <col collapsed="false" customWidth="true" hidden="false" outlineLevel="0" max="26" min="26" style="0" width="19.28"/>
    <col collapsed="false" customWidth="true" hidden="false" outlineLevel="0" max="27" min="27" style="0" width="11.85"/>
    <col collapsed="false" customWidth="true" hidden="false" outlineLevel="0" max="28" min="28" style="63" width="13.28"/>
    <col collapsed="false" customWidth="true" hidden="false" outlineLevel="0" max="29" min="29" style="0" width="58.57"/>
    <col collapsed="false" customWidth="true" hidden="false" outlineLevel="0" max="30" min="30" style="0" width="11.14"/>
    <col collapsed="false" customWidth="true" hidden="false" outlineLevel="0" max="31" min="31" style="0" width="14.71"/>
  </cols>
  <sheetData>
    <row r="1" s="68" customFormat="true" ht="15" hidden="true" customHeight="false" outlineLevel="0" collapsed="false">
      <c r="A1" s="64"/>
      <c r="B1" s="64"/>
      <c r="C1" s="64"/>
      <c r="D1" s="2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 t="s">
        <v>0</v>
      </c>
      <c r="R1" s="65" t="s">
        <v>0</v>
      </c>
      <c r="S1" s="66" t="s">
        <v>0</v>
      </c>
      <c r="T1" s="66" t="s">
        <v>1</v>
      </c>
      <c r="U1" s="66" t="s">
        <v>1</v>
      </c>
      <c r="V1" s="66" t="s">
        <v>1</v>
      </c>
      <c r="W1" s="66" t="s">
        <v>1</v>
      </c>
      <c r="X1" s="66" t="s">
        <v>1</v>
      </c>
      <c r="Y1" s="66" t="s">
        <v>1</v>
      </c>
      <c r="Z1" s="64" t="s">
        <v>2</v>
      </c>
      <c r="AA1" s="64" t="s">
        <v>2</v>
      </c>
      <c r="AB1" s="67" t="s">
        <v>2</v>
      </c>
      <c r="AC1" s="64" t="s">
        <v>2</v>
      </c>
      <c r="AD1" s="64" t="s">
        <v>2</v>
      </c>
      <c r="AE1" s="64" t="s">
        <v>2</v>
      </c>
    </row>
    <row r="2" s="70" customFormat="true" ht="85.5" hidden="false" customHeight="true" outlineLevel="0" collapsed="false">
      <c r="A2" s="69" t="s">
        <v>3</v>
      </c>
      <c r="B2" s="69" t="s">
        <v>4</v>
      </c>
      <c r="C2" s="69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7" t="s">
        <v>13</v>
      </c>
      <c r="L2" s="7"/>
      <c r="M2" s="7" t="s">
        <v>14</v>
      </c>
      <c r="N2" s="7"/>
      <c r="O2" s="33" t="s">
        <v>15</v>
      </c>
      <c r="P2" s="33" t="s">
        <v>16</v>
      </c>
      <c r="Q2" s="7" t="s">
        <v>17</v>
      </c>
      <c r="R2" s="7" t="s">
        <v>18</v>
      </c>
      <c r="S2" s="33" t="s">
        <v>19</v>
      </c>
      <c r="T2" s="34" t="s">
        <v>20</v>
      </c>
      <c r="U2" s="33" t="s">
        <v>21</v>
      </c>
      <c r="V2" s="34" t="s">
        <v>22</v>
      </c>
      <c r="W2" s="33" t="s">
        <v>23</v>
      </c>
      <c r="X2" s="33" t="s">
        <v>24</v>
      </c>
      <c r="Y2" s="34" t="s">
        <v>25</v>
      </c>
      <c r="Z2" s="34" t="s">
        <v>26</v>
      </c>
      <c r="AA2" s="34" t="s">
        <v>27</v>
      </c>
      <c r="AB2" s="34" t="s">
        <v>28</v>
      </c>
      <c r="AC2" s="34" t="s">
        <v>29</v>
      </c>
      <c r="AD2" s="35" t="s">
        <v>30</v>
      </c>
      <c r="AE2" s="35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</row>
    <row r="3" s="9" customFormat="true" ht="22.15" hidden="false" customHeight="true" outlineLevel="0" collapsed="false">
      <c r="A3" s="6"/>
      <c r="B3" s="6"/>
      <c r="C3" s="6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 t="s">
        <v>33</v>
      </c>
      <c r="M3" s="7"/>
      <c r="N3" s="7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4" t="s">
        <v>31</v>
      </c>
      <c r="AC3" s="7" t="s">
        <v>36</v>
      </c>
      <c r="AD3" s="35" t="s">
        <v>37</v>
      </c>
      <c r="AE3" s="35" t="s">
        <v>38</v>
      </c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</row>
    <row r="4" customFormat="false" ht="15" hidden="false" customHeight="false" outlineLevel="0" collapsed="false">
      <c r="A4" s="71" t="s">
        <v>415</v>
      </c>
      <c r="B4" s="71" t="s">
        <v>416</v>
      </c>
      <c r="C4" s="51" t="s">
        <v>417</v>
      </c>
      <c r="D4" s="72" t="s">
        <v>418</v>
      </c>
      <c r="E4" s="73" t="s">
        <v>419</v>
      </c>
      <c r="F4" s="73" t="n">
        <v>722.51</v>
      </c>
      <c r="G4" s="73" t="n">
        <v>373</v>
      </c>
      <c r="H4" s="73" t="n">
        <v>1714</v>
      </c>
      <c r="I4" s="73" t="n">
        <v>854</v>
      </c>
      <c r="J4" s="73" t="n">
        <v>860</v>
      </c>
      <c r="K4" s="73" t="n">
        <v>126</v>
      </c>
      <c r="L4" s="74" t="n">
        <f aca="false">K4/H4*100</f>
        <v>7.3512252042007</v>
      </c>
      <c r="M4" s="73" t="n">
        <v>113</v>
      </c>
      <c r="N4" s="74" t="n">
        <f aca="false">O4/H4*100</f>
        <v>6.71878646441074</v>
      </c>
      <c r="O4" s="73" t="n">
        <v>115.16</v>
      </c>
      <c r="P4" s="73" t="n">
        <v>177.23</v>
      </c>
      <c r="Q4" s="46" t="s">
        <v>45</v>
      </c>
      <c r="R4" s="46" t="s">
        <v>420</v>
      </c>
      <c r="S4" s="46"/>
      <c r="T4" s="46" t="n">
        <v>36.7374</v>
      </c>
      <c r="U4" s="74"/>
      <c r="V4" s="74" t="s">
        <v>49</v>
      </c>
      <c r="W4" s="74"/>
      <c r="X4" s="74"/>
      <c r="Y4" s="74"/>
      <c r="Z4" s="74"/>
      <c r="AA4" s="46" t="s">
        <v>45</v>
      </c>
      <c r="AB4" s="46" t="n">
        <v>5</v>
      </c>
      <c r="AC4" s="46" t="s">
        <v>148</v>
      </c>
      <c r="AD4" s="46" t="n">
        <v>24.239091</v>
      </c>
      <c r="AE4" s="46" t="n">
        <v>76.757176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</row>
    <row r="5" customFormat="false" ht="15" hidden="false" customHeight="false" outlineLevel="0" collapsed="false">
      <c r="A5" s="71" t="s">
        <v>415</v>
      </c>
      <c r="B5" s="71" t="s">
        <v>416</v>
      </c>
      <c r="C5" s="51" t="s">
        <v>417</v>
      </c>
      <c r="D5" s="71" t="s">
        <v>421</v>
      </c>
      <c r="E5" s="73" t="s">
        <v>422</v>
      </c>
      <c r="F5" s="73" t="n">
        <v>239.52</v>
      </c>
      <c r="G5" s="73" t="n">
        <v>266</v>
      </c>
      <c r="H5" s="73" t="n">
        <v>1306</v>
      </c>
      <c r="I5" s="73" t="n">
        <v>651</v>
      </c>
      <c r="J5" s="73" t="n">
        <v>655</v>
      </c>
      <c r="K5" s="73" t="n">
        <v>29</v>
      </c>
      <c r="L5" s="74" t="n">
        <f aca="false">K5/H5*100</f>
        <v>2.22052067381317</v>
      </c>
      <c r="M5" s="73" t="n">
        <v>29</v>
      </c>
      <c r="N5" s="74" t="n">
        <f aca="false">O5/H5*100</f>
        <v>3.41117917304747</v>
      </c>
      <c r="O5" s="73" t="n">
        <v>44.55</v>
      </c>
      <c r="P5" s="73" t="n">
        <v>0</v>
      </c>
      <c r="Q5" s="46" t="s">
        <v>45</v>
      </c>
      <c r="R5" s="46" t="s">
        <v>420</v>
      </c>
      <c r="S5" s="46"/>
      <c r="T5" s="46" t="n">
        <v>43.2042</v>
      </c>
      <c r="U5" s="74"/>
      <c r="V5" s="74"/>
      <c r="W5" s="74"/>
      <c r="X5" s="74"/>
      <c r="Y5" s="74"/>
      <c r="Z5" s="74"/>
      <c r="AA5" s="46" t="s">
        <v>80</v>
      </c>
      <c r="AB5" s="46" t="n">
        <v>0</v>
      </c>
      <c r="AC5" s="46" t="s">
        <v>423</v>
      </c>
      <c r="AD5" s="46" t="n">
        <v>24.254611</v>
      </c>
      <c r="AE5" s="46" t="n">
        <v>76.742955</v>
      </c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customFormat="false" ht="15" hidden="false" customHeight="false" outlineLevel="0" collapsed="false">
      <c r="A6" s="71" t="s">
        <v>415</v>
      </c>
      <c r="B6" s="71" t="s">
        <v>416</v>
      </c>
      <c r="C6" s="51" t="s">
        <v>417</v>
      </c>
      <c r="D6" s="71" t="s">
        <v>424</v>
      </c>
      <c r="E6" s="73" t="s">
        <v>425</v>
      </c>
      <c r="F6" s="73" t="n">
        <v>242.22</v>
      </c>
      <c r="G6" s="73" t="n">
        <v>111</v>
      </c>
      <c r="H6" s="73" t="n">
        <v>538</v>
      </c>
      <c r="I6" s="73" t="n">
        <v>298</v>
      </c>
      <c r="J6" s="73" t="n">
        <v>240</v>
      </c>
      <c r="K6" s="73" t="n">
        <v>0</v>
      </c>
      <c r="L6" s="74" t="n">
        <f aca="false">K6/H6*100</f>
        <v>0</v>
      </c>
      <c r="M6" s="73" t="n">
        <v>109</v>
      </c>
      <c r="N6" s="74" t="n">
        <f aca="false">O6/H6*100</f>
        <v>4.1635687732342</v>
      </c>
      <c r="O6" s="73" t="n">
        <v>22.4</v>
      </c>
      <c r="P6" s="73" t="n">
        <v>0</v>
      </c>
      <c r="Q6" s="46" t="s">
        <v>45</v>
      </c>
      <c r="R6" s="46" t="s">
        <v>420</v>
      </c>
      <c r="S6" s="46"/>
      <c r="T6" s="46"/>
      <c r="U6" s="74"/>
      <c r="V6" s="74"/>
      <c r="W6" s="74"/>
      <c r="X6" s="74"/>
      <c r="Y6" s="74"/>
      <c r="Z6" s="74"/>
      <c r="AA6" s="46" t="s">
        <v>43</v>
      </c>
      <c r="AB6" s="46" t="n">
        <v>14</v>
      </c>
      <c r="AC6" s="46" t="s">
        <v>423</v>
      </c>
      <c r="AD6" s="46" t="n">
        <v>24.249568</v>
      </c>
      <c r="AE6" s="46" t="n">
        <v>76.767376</v>
      </c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</row>
    <row r="7" customFormat="false" ht="15" hidden="false" customHeight="false" outlineLevel="0" collapsed="false">
      <c r="A7" s="71" t="s">
        <v>415</v>
      </c>
      <c r="B7" s="71" t="s">
        <v>416</v>
      </c>
      <c r="C7" s="51" t="s">
        <v>417</v>
      </c>
      <c r="D7" s="71" t="s">
        <v>426</v>
      </c>
      <c r="E7" s="73" t="s">
        <v>427</v>
      </c>
      <c r="F7" s="73" t="n">
        <v>210.62</v>
      </c>
      <c r="G7" s="73" t="n">
        <v>98</v>
      </c>
      <c r="H7" s="73" t="n">
        <v>514</v>
      </c>
      <c r="I7" s="73" t="n">
        <v>265</v>
      </c>
      <c r="J7" s="73" t="n">
        <v>249</v>
      </c>
      <c r="K7" s="73" t="n">
        <v>55</v>
      </c>
      <c r="L7" s="74" t="n">
        <f aca="false">K7/H7*100</f>
        <v>10.7003891050584</v>
      </c>
      <c r="M7" s="73" t="n">
        <v>154</v>
      </c>
      <c r="N7" s="74" t="n">
        <f aca="false">O7/H7*100</f>
        <v>6.81322957198444</v>
      </c>
      <c r="O7" s="73" t="n">
        <v>35.02</v>
      </c>
      <c r="P7" s="73" t="n">
        <v>0</v>
      </c>
      <c r="Q7" s="46" t="s">
        <v>45</v>
      </c>
      <c r="R7" s="46" t="s">
        <v>420</v>
      </c>
      <c r="S7" s="46"/>
      <c r="T7" s="46" t="n">
        <v>22.2739</v>
      </c>
      <c r="U7" s="74"/>
      <c r="V7" s="74"/>
      <c r="W7" s="74"/>
      <c r="X7" s="74"/>
      <c r="Y7" s="74"/>
      <c r="Z7" s="74"/>
      <c r="AA7" s="46" t="s">
        <v>43</v>
      </c>
      <c r="AB7" s="46" t="n">
        <v>15</v>
      </c>
      <c r="AC7" s="46" t="s">
        <v>428</v>
      </c>
      <c r="AD7" s="46" t="n">
        <v>24.269895</v>
      </c>
      <c r="AE7" s="46" t="n">
        <v>76.746903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</row>
    <row r="8" customFormat="false" ht="15" hidden="false" customHeight="false" outlineLevel="0" collapsed="false">
      <c r="A8" s="71" t="s">
        <v>415</v>
      </c>
      <c r="B8" s="71" t="s">
        <v>416</v>
      </c>
      <c r="C8" s="51" t="s">
        <v>417</v>
      </c>
      <c r="D8" s="71" t="s">
        <v>429</v>
      </c>
      <c r="E8" s="73" t="s">
        <v>430</v>
      </c>
      <c r="F8" s="73" t="n">
        <v>223.19</v>
      </c>
      <c r="G8" s="73" t="n">
        <v>125</v>
      </c>
      <c r="H8" s="73" t="n">
        <v>598</v>
      </c>
      <c r="I8" s="73" t="n">
        <v>305</v>
      </c>
      <c r="J8" s="73" t="n">
        <v>293</v>
      </c>
      <c r="K8" s="73" t="n">
        <v>40</v>
      </c>
      <c r="L8" s="74" t="n">
        <f aca="false">K8/H8*100</f>
        <v>6.68896321070234</v>
      </c>
      <c r="M8" s="73" t="n">
        <v>58</v>
      </c>
      <c r="N8" s="74" t="n">
        <f aca="false">O8/H8*100</f>
        <v>3.2809364548495</v>
      </c>
      <c r="O8" s="73" t="n">
        <v>19.62</v>
      </c>
      <c r="P8" s="73" t="n">
        <v>0</v>
      </c>
      <c r="Q8" s="46" t="s">
        <v>45</v>
      </c>
      <c r="R8" s="46" t="s">
        <v>420</v>
      </c>
      <c r="S8" s="46"/>
      <c r="T8" s="46" t="n">
        <v>36.73</v>
      </c>
      <c r="U8" s="74"/>
      <c r="V8" s="74"/>
      <c r="W8" s="74"/>
      <c r="X8" s="74"/>
      <c r="Y8" s="74"/>
      <c r="Z8" s="74"/>
      <c r="AA8" s="46" t="s">
        <v>80</v>
      </c>
      <c r="AB8" s="46" t="n">
        <v>0</v>
      </c>
      <c r="AC8" s="46" t="s">
        <v>423</v>
      </c>
      <c r="AD8" s="46" t="n">
        <v>24.263672</v>
      </c>
      <c r="AE8" s="46" t="n">
        <v>76.778555</v>
      </c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</row>
    <row r="9" customFormat="false" ht="15" hidden="false" customHeight="false" outlineLevel="0" collapsed="false">
      <c r="A9" s="71" t="s">
        <v>415</v>
      </c>
      <c r="B9" s="71" t="s">
        <v>416</v>
      </c>
      <c r="C9" s="51" t="s">
        <v>417</v>
      </c>
      <c r="D9" s="71" t="s">
        <v>431</v>
      </c>
      <c r="E9" s="73" t="s">
        <v>432</v>
      </c>
      <c r="F9" s="73" t="n">
        <v>475.39</v>
      </c>
      <c r="G9" s="73" t="n">
        <v>222</v>
      </c>
      <c r="H9" s="73" t="n">
        <v>963</v>
      </c>
      <c r="I9" s="73" t="n">
        <v>482</v>
      </c>
      <c r="J9" s="73" t="n">
        <v>481</v>
      </c>
      <c r="K9" s="73" t="n">
        <v>59</v>
      </c>
      <c r="L9" s="74" t="n">
        <f aca="false">K9/H9*100</f>
        <v>6.12668743509865</v>
      </c>
      <c r="M9" s="73" t="n">
        <v>8</v>
      </c>
      <c r="N9" s="74" t="n">
        <f aca="false">O9/H9*100</f>
        <v>6.52336448598131</v>
      </c>
      <c r="O9" s="73" t="n">
        <v>62.82</v>
      </c>
      <c r="P9" s="73" t="n">
        <v>43.89</v>
      </c>
      <c r="Q9" s="46" t="s">
        <v>45</v>
      </c>
      <c r="R9" s="46" t="s">
        <v>420</v>
      </c>
      <c r="S9" s="46"/>
      <c r="T9" s="46"/>
      <c r="U9" s="74"/>
      <c r="V9" s="74"/>
      <c r="W9" s="74"/>
      <c r="X9" s="74"/>
      <c r="Y9" s="74"/>
      <c r="Z9" s="74"/>
      <c r="AA9" s="46" t="s">
        <v>43</v>
      </c>
      <c r="AB9" s="46" t="n">
        <v>8</v>
      </c>
      <c r="AC9" s="46" t="s">
        <v>423</v>
      </c>
      <c r="AD9" s="46" t="n">
        <v>24.280652</v>
      </c>
      <c r="AE9" s="46" t="n">
        <v>76.755038</v>
      </c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</row>
    <row r="10" customFormat="false" ht="15" hidden="false" customHeight="false" outlineLevel="0" collapsed="false">
      <c r="A10" s="71" t="s">
        <v>415</v>
      </c>
      <c r="B10" s="71" t="s">
        <v>416</v>
      </c>
      <c r="C10" s="51" t="s">
        <v>433</v>
      </c>
      <c r="D10" s="72" t="s">
        <v>434</v>
      </c>
      <c r="E10" s="73" t="s">
        <v>435</v>
      </c>
      <c r="F10" s="73" t="n">
        <v>641.96</v>
      </c>
      <c r="G10" s="73" t="n">
        <v>266</v>
      </c>
      <c r="H10" s="73" t="n">
        <v>1350</v>
      </c>
      <c r="I10" s="73" t="n">
        <v>700</v>
      </c>
      <c r="J10" s="73" t="n">
        <v>650</v>
      </c>
      <c r="K10" s="73" t="n">
        <v>100</v>
      </c>
      <c r="L10" s="74" t="n">
        <f aca="false">K10/H10*100</f>
        <v>7.40740740740741</v>
      </c>
      <c r="M10" s="73" t="n">
        <v>1009</v>
      </c>
      <c r="N10" s="74" t="n">
        <f aca="false">O10/H10*100</f>
        <v>8.34518518518519</v>
      </c>
      <c r="O10" s="73" t="n">
        <v>112.66</v>
      </c>
      <c r="P10" s="73" t="n">
        <v>51.91</v>
      </c>
      <c r="Q10" s="56" t="s">
        <v>45</v>
      </c>
      <c r="R10" s="46" t="s">
        <v>436</v>
      </c>
      <c r="S10" s="56"/>
      <c r="T10" s="46" t="n">
        <v>112.66</v>
      </c>
      <c r="U10" s="74"/>
      <c r="V10" s="74" t="s">
        <v>43</v>
      </c>
      <c r="W10" s="74"/>
      <c r="X10" s="74"/>
      <c r="Y10" s="74"/>
      <c r="Z10" s="74"/>
      <c r="AA10" s="46" t="s">
        <v>80</v>
      </c>
      <c r="AB10" s="46" t="n">
        <v>0</v>
      </c>
      <c r="AC10" s="46" t="s">
        <v>423</v>
      </c>
      <c r="AD10" s="47" t="n">
        <v>24.410135</v>
      </c>
      <c r="AE10" s="47" t="n">
        <v>76.711868</v>
      </c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</row>
    <row r="11" customFormat="false" ht="15" hidden="false" customHeight="false" outlineLevel="0" collapsed="false">
      <c r="A11" s="71" t="s">
        <v>415</v>
      </c>
      <c r="B11" s="71" t="s">
        <v>416</v>
      </c>
      <c r="C11" s="51" t="s">
        <v>433</v>
      </c>
      <c r="D11" s="71" t="s">
        <v>74</v>
      </c>
      <c r="E11" s="73" t="s">
        <v>437</v>
      </c>
      <c r="F11" s="73" t="n">
        <v>183.88</v>
      </c>
      <c r="G11" s="73" t="n">
        <v>173</v>
      </c>
      <c r="H11" s="73" t="n">
        <v>855</v>
      </c>
      <c r="I11" s="73" t="n">
        <v>436</v>
      </c>
      <c r="J11" s="73" t="n">
        <v>419</v>
      </c>
      <c r="K11" s="73" t="n">
        <v>57</v>
      </c>
      <c r="L11" s="74" t="n">
        <f aca="false">K11/H11*100</f>
        <v>6.66666666666667</v>
      </c>
      <c r="M11" s="73" t="n">
        <v>161</v>
      </c>
      <c r="N11" s="74" t="n">
        <f aca="false">O11/H11*100</f>
        <v>1.28771929824561</v>
      </c>
      <c r="O11" s="73" t="n">
        <v>11.01</v>
      </c>
      <c r="P11" s="73" t="n">
        <v>39.83</v>
      </c>
      <c r="Q11" s="56" t="s">
        <v>45</v>
      </c>
      <c r="R11" s="46" t="s">
        <v>436</v>
      </c>
      <c r="S11" s="56"/>
      <c r="T11" s="56" t="n">
        <v>112.66</v>
      </c>
      <c r="U11" s="74"/>
      <c r="V11" s="74"/>
      <c r="W11" s="74"/>
      <c r="X11" s="74"/>
      <c r="Y11" s="74"/>
      <c r="Z11" s="74"/>
      <c r="AA11" s="46" t="s">
        <v>82</v>
      </c>
      <c r="AB11" s="46" t="n">
        <v>35</v>
      </c>
      <c r="AC11" s="56" t="s">
        <v>438</v>
      </c>
      <c r="AD11" s="47" t="n">
        <v>24.395613</v>
      </c>
      <c r="AE11" s="47" t="n">
        <v>76.729504</v>
      </c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</row>
    <row r="12" customFormat="false" ht="15" hidden="false" customHeight="false" outlineLevel="0" collapsed="false">
      <c r="A12" s="71" t="s">
        <v>415</v>
      </c>
      <c r="B12" s="71" t="s">
        <v>416</v>
      </c>
      <c r="C12" s="51" t="s">
        <v>433</v>
      </c>
      <c r="D12" s="71" t="s">
        <v>439</v>
      </c>
      <c r="E12" s="73" t="s">
        <v>440</v>
      </c>
      <c r="F12" s="73" t="n">
        <v>519.8</v>
      </c>
      <c r="G12" s="73" t="n">
        <v>124</v>
      </c>
      <c r="H12" s="73" t="n">
        <v>532</v>
      </c>
      <c r="I12" s="73" t="n">
        <v>281</v>
      </c>
      <c r="J12" s="73" t="n">
        <v>251</v>
      </c>
      <c r="K12" s="73" t="n">
        <v>0</v>
      </c>
      <c r="L12" s="74" t="n">
        <f aca="false">K12/H12*100</f>
        <v>0</v>
      </c>
      <c r="M12" s="73" t="n">
        <v>193</v>
      </c>
      <c r="N12" s="74" t="n">
        <f aca="false">O12/H12*100</f>
        <v>6.69548872180451</v>
      </c>
      <c r="O12" s="73" t="n">
        <v>35.62</v>
      </c>
      <c r="P12" s="73" t="n">
        <v>310.08</v>
      </c>
      <c r="Q12" s="56" t="s">
        <v>45</v>
      </c>
      <c r="R12" s="46" t="s">
        <v>436</v>
      </c>
      <c r="S12" s="56"/>
      <c r="T12" s="46"/>
      <c r="U12" s="74"/>
      <c r="V12" s="74"/>
      <c r="W12" s="74"/>
      <c r="X12" s="74"/>
      <c r="Y12" s="74"/>
      <c r="Z12" s="74"/>
      <c r="AA12" s="46" t="s">
        <v>150</v>
      </c>
      <c r="AB12" s="46" t="n">
        <v>9.24</v>
      </c>
      <c r="AC12" s="46"/>
      <c r="AD12" s="47" t="n">
        <v>24.2514</v>
      </c>
      <c r="AE12" s="47" t="n">
        <v>76.4639</v>
      </c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</row>
    <row r="13" customFormat="false" ht="16.9" hidden="false" customHeight="true" outlineLevel="0" collapsed="false">
      <c r="A13" s="71" t="s">
        <v>415</v>
      </c>
      <c r="B13" s="71" t="s">
        <v>416</v>
      </c>
      <c r="C13" s="51" t="s">
        <v>433</v>
      </c>
      <c r="D13" s="71" t="s">
        <v>441</v>
      </c>
      <c r="E13" s="73" t="s">
        <v>442</v>
      </c>
      <c r="F13" s="73" t="n">
        <v>887.57</v>
      </c>
      <c r="G13" s="73" t="n">
        <v>175</v>
      </c>
      <c r="H13" s="73" t="n">
        <v>728</v>
      </c>
      <c r="I13" s="73" t="n">
        <v>388</v>
      </c>
      <c r="J13" s="73" t="n">
        <v>340</v>
      </c>
      <c r="K13" s="73" t="n">
        <v>0</v>
      </c>
      <c r="L13" s="74" t="n">
        <f aca="false">K13/H13*100</f>
        <v>0</v>
      </c>
      <c r="M13" s="73" t="n">
        <v>727</v>
      </c>
      <c r="N13" s="74" t="n">
        <f aca="false">O13/H13*100</f>
        <v>3.6717032967033</v>
      </c>
      <c r="O13" s="73" t="n">
        <v>26.73</v>
      </c>
      <c r="P13" s="73" t="n">
        <v>600.85</v>
      </c>
      <c r="Q13" s="56" t="s">
        <v>45</v>
      </c>
      <c r="R13" s="46" t="s">
        <v>436</v>
      </c>
      <c r="S13" s="56"/>
      <c r="T13" s="75"/>
      <c r="U13" s="74"/>
      <c r="V13" s="74"/>
      <c r="W13" s="74"/>
      <c r="X13" s="74"/>
      <c r="Y13" s="74"/>
      <c r="Z13" s="74"/>
      <c r="AA13" s="76"/>
      <c r="AB13" s="74"/>
      <c r="AC13" s="75"/>
      <c r="AD13" s="47" t="n">
        <v>24.2522</v>
      </c>
      <c r="AE13" s="47" t="n">
        <v>76.4554</v>
      </c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</row>
    <row r="14" customFormat="false" ht="15" hidden="false" customHeight="false" outlineLevel="0" collapsed="false">
      <c r="A14" s="71" t="s">
        <v>415</v>
      </c>
      <c r="B14" s="71" t="s">
        <v>416</v>
      </c>
      <c r="C14" s="51" t="s">
        <v>443</v>
      </c>
      <c r="D14" s="72" t="s">
        <v>444</v>
      </c>
      <c r="E14" s="73" t="s">
        <v>445</v>
      </c>
      <c r="F14" s="73" t="n">
        <v>653.66</v>
      </c>
      <c r="G14" s="73" t="n">
        <v>394</v>
      </c>
      <c r="H14" s="73" t="n">
        <v>2082</v>
      </c>
      <c r="I14" s="73" t="n">
        <v>1066</v>
      </c>
      <c r="J14" s="73" t="n">
        <v>1016</v>
      </c>
      <c r="K14" s="73" t="n">
        <v>325</v>
      </c>
      <c r="L14" s="74" t="n">
        <f aca="false">K14/H14*100</f>
        <v>15.6099903938521</v>
      </c>
      <c r="M14" s="73" t="n">
        <v>50</v>
      </c>
      <c r="N14" s="74" t="n">
        <f aca="false">O14/H14*100</f>
        <v>3.09798270893372</v>
      </c>
      <c r="O14" s="73" t="n">
        <v>64.5</v>
      </c>
      <c r="P14" s="73" t="n">
        <v>221.71</v>
      </c>
      <c r="Q14" s="46" t="s">
        <v>43</v>
      </c>
      <c r="R14" s="46" t="s">
        <v>446</v>
      </c>
      <c r="S14" s="46"/>
      <c r="T14" s="56" t="n">
        <v>33.58</v>
      </c>
      <c r="U14" s="74"/>
      <c r="V14" s="74" t="s">
        <v>43</v>
      </c>
      <c r="W14" s="74"/>
      <c r="X14" s="74"/>
      <c r="Y14" s="74"/>
      <c r="Z14" s="74"/>
      <c r="AA14" s="46" t="s">
        <v>82</v>
      </c>
      <c r="AB14" s="46" t="n">
        <v>11</v>
      </c>
      <c r="AC14" s="56" t="s">
        <v>438</v>
      </c>
      <c r="AD14" s="46" t="n">
        <v>24.315681</v>
      </c>
      <c r="AE14" s="46" t="n">
        <v>76.780037</v>
      </c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</row>
    <row r="15" customFormat="false" ht="15" hidden="false" customHeight="false" outlineLevel="0" collapsed="false">
      <c r="A15" s="71" t="s">
        <v>415</v>
      </c>
      <c r="B15" s="71" t="s">
        <v>416</v>
      </c>
      <c r="C15" s="51" t="s">
        <v>443</v>
      </c>
      <c r="D15" s="71" t="s">
        <v>447</v>
      </c>
      <c r="E15" s="73" t="s">
        <v>448</v>
      </c>
      <c r="F15" s="73" t="n">
        <v>134.3</v>
      </c>
      <c r="G15" s="73" t="n">
        <v>50</v>
      </c>
      <c r="H15" s="73" t="n">
        <v>251</v>
      </c>
      <c r="I15" s="73" t="n">
        <v>135</v>
      </c>
      <c r="J15" s="73" t="n">
        <v>116</v>
      </c>
      <c r="K15" s="73" t="n">
        <v>17</v>
      </c>
      <c r="L15" s="74" t="n">
        <f aca="false">K15/H15*100</f>
        <v>6.77290836653386</v>
      </c>
      <c r="M15" s="73" t="n">
        <v>0</v>
      </c>
      <c r="N15" s="74" t="n">
        <f aca="false">O15/H15*100</f>
        <v>5.12350597609562</v>
      </c>
      <c r="O15" s="73" t="n">
        <v>12.86</v>
      </c>
      <c r="P15" s="73" t="n">
        <v>21.1</v>
      </c>
      <c r="Q15" s="46" t="s">
        <v>43</v>
      </c>
      <c r="R15" s="46" t="s">
        <v>446</v>
      </c>
      <c r="S15" s="46"/>
      <c r="T15" s="56" t="n">
        <v>35.62</v>
      </c>
      <c r="U15" s="74"/>
      <c r="V15" s="74"/>
      <c r="W15" s="74"/>
      <c r="X15" s="74"/>
      <c r="Y15" s="74"/>
      <c r="Z15" s="74"/>
      <c r="AA15" s="46" t="s">
        <v>82</v>
      </c>
      <c r="AB15" s="46" t="n">
        <v>22</v>
      </c>
      <c r="AC15" s="56" t="s">
        <v>438</v>
      </c>
      <c r="AD15" s="46" t="n">
        <v>24.313701</v>
      </c>
      <c r="AE15" s="46" t="n">
        <v>76.761279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</row>
    <row r="16" customFormat="false" ht="15" hidden="false" customHeight="false" outlineLevel="0" collapsed="false">
      <c r="A16" s="71" t="s">
        <v>415</v>
      </c>
      <c r="B16" s="71" t="s">
        <v>416</v>
      </c>
      <c r="C16" s="51" t="s">
        <v>443</v>
      </c>
      <c r="D16" s="71" t="s">
        <v>449</v>
      </c>
      <c r="E16" s="73" t="s">
        <v>450</v>
      </c>
      <c r="F16" s="73" t="n">
        <v>157.15</v>
      </c>
      <c r="G16" s="73" t="n">
        <v>78</v>
      </c>
      <c r="H16" s="73" t="n">
        <v>369</v>
      </c>
      <c r="I16" s="73" t="n">
        <v>196</v>
      </c>
      <c r="J16" s="73" t="n">
        <v>173</v>
      </c>
      <c r="K16" s="73" t="n">
        <v>12</v>
      </c>
      <c r="L16" s="74" t="n">
        <f aca="false">K16/H16*100</f>
        <v>3.2520325203252</v>
      </c>
      <c r="M16" s="73" t="n">
        <v>81</v>
      </c>
      <c r="N16" s="74" t="n">
        <f aca="false">O16/H16*100</f>
        <v>4.83739837398374</v>
      </c>
      <c r="O16" s="73" t="n">
        <v>17.85</v>
      </c>
      <c r="P16" s="73" t="n">
        <v>19.06</v>
      </c>
      <c r="Q16" s="46" t="s">
        <v>43</v>
      </c>
      <c r="R16" s="46" t="s">
        <v>446</v>
      </c>
      <c r="S16" s="46"/>
      <c r="T16" s="56" t="n">
        <v>26.89</v>
      </c>
      <c r="U16" s="74"/>
      <c r="V16" s="74"/>
      <c r="W16" s="74"/>
      <c r="X16" s="74"/>
      <c r="Y16" s="74"/>
      <c r="Z16" s="74"/>
      <c r="AA16" s="46" t="s">
        <v>82</v>
      </c>
      <c r="AB16" s="46" t="n">
        <v>1.4811</v>
      </c>
      <c r="AC16" s="56" t="s">
        <v>438</v>
      </c>
      <c r="AD16" s="46" t="n">
        <v>24.326534</v>
      </c>
      <c r="AE16" s="46" t="n">
        <v>76.83093</v>
      </c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</row>
    <row r="17" customFormat="false" ht="15" hidden="false" customHeight="false" outlineLevel="0" collapsed="false">
      <c r="A17" s="71" t="s">
        <v>415</v>
      </c>
      <c r="B17" s="71" t="s">
        <v>416</v>
      </c>
      <c r="C17" s="51" t="s">
        <v>443</v>
      </c>
      <c r="D17" s="71" t="s">
        <v>170</v>
      </c>
      <c r="E17" s="73" t="s">
        <v>451</v>
      </c>
      <c r="F17" s="73" t="n">
        <v>523.11</v>
      </c>
      <c r="G17" s="73" t="n">
        <v>217</v>
      </c>
      <c r="H17" s="73" t="n">
        <v>1078</v>
      </c>
      <c r="I17" s="73" t="n">
        <v>569</v>
      </c>
      <c r="J17" s="73" t="n">
        <v>509</v>
      </c>
      <c r="K17" s="73" t="n">
        <v>274</v>
      </c>
      <c r="L17" s="74" t="n">
        <f aca="false">K17/H17*100</f>
        <v>25.417439703154</v>
      </c>
      <c r="M17" s="73" t="n">
        <v>110</v>
      </c>
      <c r="N17" s="74" t="n">
        <f aca="false">O17/H17*100</f>
        <v>6.01298701298701</v>
      </c>
      <c r="O17" s="73" t="n">
        <v>64.82</v>
      </c>
      <c r="P17" s="73" t="n">
        <v>160.83</v>
      </c>
      <c r="Q17" s="46" t="s">
        <v>43</v>
      </c>
      <c r="R17" s="46" t="s">
        <v>446</v>
      </c>
      <c r="S17" s="46"/>
      <c r="T17" s="46" t="n">
        <v>64.5877</v>
      </c>
      <c r="U17" s="74"/>
      <c r="V17" s="74"/>
      <c r="W17" s="74"/>
      <c r="X17" s="74"/>
      <c r="Y17" s="74"/>
      <c r="Z17" s="74"/>
      <c r="AA17" s="46" t="s">
        <v>47</v>
      </c>
      <c r="AB17" s="46" t="n">
        <v>0</v>
      </c>
      <c r="AC17" s="46"/>
      <c r="AD17" s="46" t="n">
        <v>24.327213</v>
      </c>
      <c r="AE17" s="46" t="n">
        <v>76.774077</v>
      </c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</row>
    <row r="18" customFormat="false" ht="15" hidden="false" customHeight="false" outlineLevel="0" collapsed="false">
      <c r="A18" s="71" t="s">
        <v>415</v>
      </c>
      <c r="B18" s="71" t="s">
        <v>416</v>
      </c>
      <c r="C18" s="51" t="s">
        <v>443</v>
      </c>
      <c r="D18" s="71" t="s">
        <v>170</v>
      </c>
      <c r="E18" s="73"/>
      <c r="F18" s="73"/>
      <c r="G18" s="73"/>
      <c r="H18" s="73"/>
      <c r="I18" s="73"/>
      <c r="J18" s="73"/>
      <c r="K18" s="73"/>
      <c r="L18" s="74" t="e">
        <f aca="false">K18/H18*100</f>
        <v>#DIV/0!</v>
      </c>
      <c r="M18" s="73"/>
      <c r="N18" s="74" t="e">
        <f aca="false">O18/H18*100</f>
        <v>#DIV/0!</v>
      </c>
      <c r="O18" s="73"/>
      <c r="P18" s="73"/>
      <c r="Q18" s="77" t="s">
        <v>43</v>
      </c>
      <c r="R18" s="46" t="s">
        <v>446</v>
      </c>
      <c r="S18" s="46"/>
      <c r="T18" s="46" t="n">
        <v>14.8681</v>
      </c>
      <c r="U18" s="74"/>
      <c r="V18" s="74"/>
      <c r="W18" s="74"/>
      <c r="X18" s="74"/>
      <c r="Y18" s="74"/>
      <c r="Z18" s="74"/>
      <c r="AA18" s="46" t="s">
        <v>47</v>
      </c>
      <c r="AB18" s="46" t="n">
        <v>0</v>
      </c>
      <c r="AC18" s="46"/>
      <c r="AD18" s="46" t="n">
        <v>24.32819</v>
      </c>
      <c r="AE18" s="46" t="n">
        <v>76.776857</v>
      </c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</row>
    <row r="19" customFormat="false" ht="15" hidden="false" customHeight="false" outlineLevel="0" collapsed="false">
      <c r="A19" s="71" t="s">
        <v>415</v>
      </c>
      <c r="B19" s="71" t="s">
        <v>416</v>
      </c>
      <c r="C19" s="51" t="s">
        <v>443</v>
      </c>
      <c r="D19" s="71" t="s">
        <v>170</v>
      </c>
      <c r="E19" s="73"/>
      <c r="F19" s="73"/>
      <c r="G19" s="73"/>
      <c r="H19" s="73"/>
      <c r="I19" s="73"/>
      <c r="J19" s="73"/>
      <c r="K19" s="73"/>
      <c r="L19" s="74" t="e">
        <f aca="false">K19/H19*100</f>
        <v>#DIV/0!</v>
      </c>
      <c r="M19" s="73"/>
      <c r="N19" s="74" t="e">
        <f aca="false">O19/H19*100</f>
        <v>#DIV/0!</v>
      </c>
      <c r="O19" s="73"/>
      <c r="P19" s="73"/>
      <c r="Q19" s="77" t="s">
        <v>43</v>
      </c>
      <c r="R19" s="46" t="s">
        <v>446</v>
      </c>
      <c r="S19" s="46"/>
      <c r="T19" s="46" t="n">
        <v>23.5608</v>
      </c>
      <c r="U19" s="74"/>
      <c r="V19" s="74"/>
      <c r="W19" s="74"/>
      <c r="X19" s="74"/>
      <c r="Y19" s="74"/>
      <c r="Z19" s="74"/>
      <c r="AA19" s="46" t="s">
        <v>82</v>
      </c>
      <c r="AB19" s="46" t="n">
        <v>0.89</v>
      </c>
      <c r="AC19" s="46"/>
      <c r="AD19" s="46" t="n">
        <v>24.328333</v>
      </c>
      <c r="AE19" s="46" t="n">
        <v>76.776582</v>
      </c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</row>
    <row r="20" customFormat="false" ht="15" hidden="false" customHeight="false" outlineLevel="0" collapsed="false">
      <c r="A20" s="71" t="s">
        <v>415</v>
      </c>
      <c r="B20" s="71" t="s">
        <v>416</v>
      </c>
      <c r="C20" s="51" t="s">
        <v>443</v>
      </c>
      <c r="D20" s="71" t="s">
        <v>452</v>
      </c>
      <c r="E20" s="73" t="s">
        <v>453</v>
      </c>
      <c r="F20" s="73" t="n">
        <v>246.51</v>
      </c>
      <c r="G20" s="73" t="n">
        <v>109</v>
      </c>
      <c r="H20" s="73" t="n">
        <v>587</v>
      </c>
      <c r="I20" s="73" t="n">
        <v>277</v>
      </c>
      <c r="J20" s="73" t="n">
        <v>310</v>
      </c>
      <c r="K20" s="73" t="n">
        <v>118</v>
      </c>
      <c r="L20" s="74" t="n">
        <f aca="false">K20/H20*100</f>
        <v>20.1022146507666</v>
      </c>
      <c r="M20" s="73" t="n">
        <v>0</v>
      </c>
      <c r="N20" s="74" t="n">
        <f aca="false">O20/H20*100</f>
        <v>5.35604770017036</v>
      </c>
      <c r="O20" s="73" t="n">
        <v>31.44</v>
      </c>
      <c r="P20" s="73" t="n">
        <v>73.9</v>
      </c>
      <c r="Q20" s="46" t="s">
        <v>43</v>
      </c>
      <c r="R20" s="46" t="s">
        <v>446</v>
      </c>
      <c r="S20" s="46"/>
      <c r="T20" s="46" t="s">
        <v>454</v>
      </c>
      <c r="U20" s="74"/>
      <c r="V20" s="74"/>
      <c r="W20" s="74"/>
      <c r="X20" s="74"/>
      <c r="Y20" s="74"/>
      <c r="Z20" s="74"/>
      <c r="AA20" s="46" t="s">
        <v>47</v>
      </c>
      <c r="AB20" s="46" t="n">
        <v>0</v>
      </c>
      <c r="AC20" s="46"/>
      <c r="AD20" s="46" t="n">
        <v>24.336218</v>
      </c>
      <c r="AE20" s="46" t="n">
        <v>76.777127</v>
      </c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</row>
    <row r="21" customFormat="false" ht="15" hidden="false" customHeight="false" outlineLevel="0" collapsed="false">
      <c r="A21" s="71" t="s">
        <v>415</v>
      </c>
      <c r="B21" s="71" t="s">
        <v>416</v>
      </c>
      <c r="C21" s="51" t="s">
        <v>443</v>
      </c>
      <c r="D21" s="71" t="s">
        <v>455</v>
      </c>
      <c r="E21" s="73" t="s">
        <v>456</v>
      </c>
      <c r="F21" s="73" t="n">
        <v>1100.04</v>
      </c>
      <c r="G21" s="73" t="n">
        <v>33</v>
      </c>
      <c r="H21" s="73" t="n">
        <v>156</v>
      </c>
      <c r="I21" s="73" t="n">
        <v>76</v>
      </c>
      <c r="J21" s="73" t="n">
        <v>80</v>
      </c>
      <c r="K21" s="73" t="n">
        <v>37</v>
      </c>
      <c r="L21" s="74" t="n">
        <f aca="false">K21/H21*100</f>
        <v>23.7179487179487</v>
      </c>
      <c r="M21" s="73" t="n">
        <v>76</v>
      </c>
      <c r="N21" s="74" t="n">
        <f aca="false">O21/H21*100</f>
        <v>3.16666666666667</v>
      </c>
      <c r="O21" s="73" t="n">
        <v>4.94</v>
      </c>
      <c r="P21" s="73" t="n">
        <v>1083.3</v>
      </c>
      <c r="Q21" s="46" t="s">
        <v>43</v>
      </c>
      <c r="R21" s="46" t="s">
        <v>446</v>
      </c>
      <c r="S21" s="46"/>
      <c r="T21" s="46" t="n">
        <v>12</v>
      </c>
      <c r="U21" s="74"/>
      <c r="V21" s="74"/>
      <c r="W21" s="74"/>
      <c r="X21" s="74"/>
      <c r="Y21" s="74"/>
      <c r="Z21" s="74"/>
      <c r="AA21" s="46"/>
      <c r="AB21" s="46"/>
      <c r="AC21" s="46" t="s">
        <v>457</v>
      </c>
      <c r="AD21" s="46" t="n">
        <v>24.335406</v>
      </c>
      <c r="AE21" s="46" t="n">
        <v>76.833713</v>
      </c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</row>
    <row r="22" customFormat="false" ht="15" hidden="false" customHeight="false" outlineLevel="0" collapsed="false">
      <c r="A22" s="71" t="s">
        <v>415</v>
      </c>
      <c r="B22" s="71" t="s">
        <v>416</v>
      </c>
      <c r="C22" s="51" t="s">
        <v>443</v>
      </c>
      <c r="D22" s="71" t="s">
        <v>458</v>
      </c>
      <c r="E22" s="73" t="s">
        <v>459</v>
      </c>
      <c r="F22" s="73" t="n">
        <v>161.19</v>
      </c>
      <c r="G22" s="73" t="n">
        <v>82</v>
      </c>
      <c r="H22" s="73" t="n">
        <v>341</v>
      </c>
      <c r="I22" s="73" t="n">
        <v>178</v>
      </c>
      <c r="J22" s="73" t="n">
        <v>163</v>
      </c>
      <c r="K22" s="73" t="n">
        <v>0</v>
      </c>
      <c r="L22" s="74" t="n">
        <f aca="false">K22/H22*100</f>
        <v>0</v>
      </c>
      <c r="M22" s="73" t="n">
        <v>136</v>
      </c>
      <c r="N22" s="74" t="n">
        <f aca="false">O22/H22*100</f>
        <v>6.68328445747801</v>
      </c>
      <c r="O22" s="73" t="n">
        <v>22.79</v>
      </c>
      <c r="P22" s="73" t="n">
        <v>64.01</v>
      </c>
      <c r="Q22" s="46" t="s">
        <v>43</v>
      </c>
      <c r="R22" s="46" t="s">
        <v>446</v>
      </c>
      <c r="S22" s="46"/>
      <c r="T22" s="46" t="n">
        <v>15</v>
      </c>
      <c r="U22" s="74"/>
      <c r="V22" s="74"/>
      <c r="W22" s="74"/>
      <c r="X22" s="74"/>
      <c r="Y22" s="74"/>
      <c r="Z22" s="74"/>
      <c r="AA22" s="46"/>
      <c r="AB22" s="46"/>
      <c r="AC22" s="46" t="s">
        <v>460</v>
      </c>
      <c r="AD22" s="46" t="n">
        <v>24.345874</v>
      </c>
      <c r="AE22" s="46" t="n">
        <v>76.828834</v>
      </c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</row>
    <row r="23" customFormat="false" ht="15" hidden="false" customHeight="false" outlineLevel="0" collapsed="false">
      <c r="A23" s="71" t="s">
        <v>415</v>
      </c>
      <c r="B23" s="71" t="s">
        <v>416</v>
      </c>
      <c r="C23" s="51" t="s">
        <v>461</v>
      </c>
      <c r="D23" s="72" t="s">
        <v>462</v>
      </c>
      <c r="E23" s="73" t="s">
        <v>463</v>
      </c>
      <c r="F23" s="73" t="n">
        <v>641.09</v>
      </c>
      <c r="G23" s="73" t="n">
        <v>470</v>
      </c>
      <c r="H23" s="73" t="n">
        <v>2217</v>
      </c>
      <c r="I23" s="73" t="n">
        <v>1080</v>
      </c>
      <c r="J23" s="73" t="n">
        <v>1137</v>
      </c>
      <c r="K23" s="73" t="n">
        <v>204</v>
      </c>
      <c r="L23" s="74" t="n">
        <f aca="false">K23/H23*100</f>
        <v>9.20162381596752</v>
      </c>
      <c r="M23" s="73" t="n">
        <v>46</v>
      </c>
      <c r="N23" s="74" t="n">
        <f aca="false">O23/H23*100</f>
        <v>1.16283265674335</v>
      </c>
      <c r="O23" s="73" t="n">
        <v>25.78</v>
      </c>
      <c r="P23" s="73" t="n">
        <v>163.21</v>
      </c>
      <c r="Q23" s="46" t="s">
        <v>45</v>
      </c>
      <c r="R23" s="46" t="s">
        <v>464</v>
      </c>
      <c r="S23" s="46"/>
      <c r="T23" s="46" t="n">
        <v>26.2883</v>
      </c>
      <c r="U23" s="74"/>
      <c r="V23" s="74"/>
      <c r="W23" s="74"/>
      <c r="X23" s="74"/>
      <c r="Y23" s="74"/>
      <c r="Z23" s="74"/>
      <c r="AA23" s="46" t="s">
        <v>82</v>
      </c>
      <c r="AB23" s="46" t="n">
        <v>9.37</v>
      </c>
      <c r="AC23" s="46"/>
      <c r="AD23" s="46"/>
      <c r="AE23" s="4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</row>
    <row r="24" customFormat="false" ht="18.75" hidden="false" customHeight="false" outlineLevel="0" collapsed="false">
      <c r="A24" s="71" t="s">
        <v>415</v>
      </c>
      <c r="B24" s="71" t="s">
        <v>416</v>
      </c>
      <c r="C24" s="51" t="s">
        <v>461</v>
      </c>
      <c r="D24" s="71" t="s">
        <v>465</v>
      </c>
      <c r="E24" s="73" t="s">
        <v>466</v>
      </c>
      <c r="F24" s="73" t="n">
        <v>151.82</v>
      </c>
      <c r="G24" s="73" t="n">
        <v>16</v>
      </c>
      <c r="H24" s="73" t="n">
        <v>80</v>
      </c>
      <c r="I24" s="73" t="n">
        <v>34</v>
      </c>
      <c r="J24" s="73" t="n">
        <v>46</v>
      </c>
      <c r="K24" s="73" t="n">
        <v>24</v>
      </c>
      <c r="L24" s="74" t="n">
        <f aca="false">K24/H24*100</f>
        <v>30</v>
      </c>
      <c r="M24" s="73" t="n">
        <v>0</v>
      </c>
      <c r="N24" s="74" t="n">
        <f aca="false">O24/H24*100</f>
        <v>0</v>
      </c>
      <c r="O24" s="73" t="n">
        <v>0</v>
      </c>
      <c r="P24" s="73" t="n">
        <v>40.97</v>
      </c>
      <c r="Q24" s="46" t="s">
        <v>45</v>
      </c>
      <c r="R24" s="46" t="s">
        <v>464</v>
      </c>
      <c r="S24" s="46"/>
      <c r="T24" s="75"/>
      <c r="U24" s="74"/>
      <c r="V24" s="74"/>
      <c r="W24" s="74"/>
      <c r="X24" s="74"/>
      <c r="Y24" s="74"/>
      <c r="Z24" s="74"/>
      <c r="AA24" s="46" t="s">
        <v>82</v>
      </c>
      <c r="AB24" s="46" t="n">
        <v>2.8</v>
      </c>
      <c r="AC24" s="46"/>
      <c r="AD24" s="46"/>
      <c r="AE24" s="4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</row>
    <row r="25" customFormat="false" ht="18.75" hidden="false" customHeight="false" outlineLevel="0" collapsed="false">
      <c r="A25" s="71" t="s">
        <v>415</v>
      </c>
      <c r="B25" s="71" t="s">
        <v>416</v>
      </c>
      <c r="C25" s="51" t="s">
        <v>461</v>
      </c>
      <c r="D25" s="71" t="s">
        <v>467</v>
      </c>
      <c r="E25" s="73" t="s">
        <v>468</v>
      </c>
      <c r="F25" s="73" t="n">
        <v>481.02</v>
      </c>
      <c r="G25" s="73" t="n">
        <v>155</v>
      </c>
      <c r="H25" s="73" t="n">
        <v>765</v>
      </c>
      <c r="I25" s="73" t="n">
        <v>402</v>
      </c>
      <c r="J25" s="73" t="n">
        <v>363</v>
      </c>
      <c r="K25" s="73" t="n">
        <v>61</v>
      </c>
      <c r="L25" s="74" t="n">
        <f aca="false">K25/H25*100</f>
        <v>7.97385620915033</v>
      </c>
      <c r="M25" s="73" t="n">
        <v>0</v>
      </c>
      <c r="N25" s="74" t="n">
        <f aca="false">O25/H25*100</f>
        <v>5.88758169934641</v>
      </c>
      <c r="O25" s="73" t="n">
        <v>45.04</v>
      </c>
      <c r="P25" s="73" t="n">
        <v>106.01</v>
      </c>
      <c r="Q25" s="46" t="s">
        <v>45</v>
      </c>
      <c r="R25" s="46" t="s">
        <v>464</v>
      </c>
      <c r="S25" s="46"/>
      <c r="T25" s="75"/>
      <c r="U25" s="74"/>
      <c r="V25" s="74"/>
      <c r="W25" s="74" t="s">
        <v>49</v>
      </c>
      <c r="X25" s="74" t="s">
        <v>49</v>
      </c>
      <c r="Y25" s="74" t="s">
        <v>49</v>
      </c>
      <c r="Z25" s="74" t="s">
        <v>49</v>
      </c>
      <c r="AA25" s="46" t="s">
        <v>82</v>
      </c>
      <c r="AB25" s="46" t="n">
        <v>18.6</v>
      </c>
      <c r="AC25" s="46"/>
      <c r="AD25" s="46" t="n">
        <v>24.30994</v>
      </c>
      <c r="AE25" s="46" t="n">
        <v>76.7143</v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</row>
    <row r="26" customFormat="false" ht="15" hidden="false" customHeight="false" outlineLevel="0" collapsed="false">
      <c r="A26" s="71" t="s">
        <v>415</v>
      </c>
      <c r="B26" s="71" t="s">
        <v>416</v>
      </c>
      <c r="C26" s="51" t="s">
        <v>461</v>
      </c>
      <c r="D26" s="71" t="s">
        <v>469</v>
      </c>
      <c r="E26" s="73" t="s">
        <v>470</v>
      </c>
      <c r="F26" s="73" t="n">
        <v>309.26</v>
      </c>
      <c r="G26" s="73" t="n">
        <v>174</v>
      </c>
      <c r="H26" s="73" t="n">
        <v>781</v>
      </c>
      <c r="I26" s="73" t="n">
        <v>411</v>
      </c>
      <c r="J26" s="73" t="n">
        <v>370</v>
      </c>
      <c r="K26" s="73" t="n">
        <v>98</v>
      </c>
      <c r="L26" s="74" t="n">
        <f aca="false">K26/H26*100</f>
        <v>12.5480153649168</v>
      </c>
      <c r="M26" s="73" t="n">
        <v>0</v>
      </c>
      <c r="N26" s="74" t="n">
        <f aca="false">O26/H26*100</f>
        <v>4.11523687580026</v>
      </c>
      <c r="O26" s="73" t="n">
        <v>32.14</v>
      </c>
      <c r="P26" s="73" t="n">
        <v>40.77</v>
      </c>
      <c r="Q26" s="46" t="s">
        <v>45</v>
      </c>
      <c r="R26" s="46" t="s">
        <v>464</v>
      </c>
      <c r="S26" s="46"/>
      <c r="T26" s="46" t="n">
        <v>48.0765</v>
      </c>
      <c r="U26" s="74"/>
      <c r="V26" s="74"/>
      <c r="W26" s="74"/>
      <c r="X26" s="74"/>
      <c r="Y26" s="74"/>
      <c r="Z26" s="74"/>
      <c r="AA26" s="46" t="s">
        <v>272</v>
      </c>
      <c r="AB26" s="46" t="n">
        <v>0</v>
      </c>
      <c r="AC26" s="46"/>
      <c r="AD26" s="46"/>
      <c r="AE26" s="4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</row>
    <row r="27" customFormat="false" ht="15" hidden="false" customHeight="false" outlineLevel="0" collapsed="false">
      <c r="A27" s="71" t="s">
        <v>415</v>
      </c>
      <c r="B27" s="71" t="s">
        <v>416</v>
      </c>
      <c r="C27" s="51" t="s">
        <v>461</v>
      </c>
      <c r="D27" s="71" t="s">
        <v>471</v>
      </c>
      <c r="E27" s="73" t="s">
        <v>472</v>
      </c>
      <c r="F27" s="73" t="n">
        <v>339.3</v>
      </c>
      <c r="G27" s="73" t="n">
        <v>135</v>
      </c>
      <c r="H27" s="73" t="n">
        <v>680</v>
      </c>
      <c r="I27" s="73" t="n">
        <v>340</v>
      </c>
      <c r="J27" s="73" t="n">
        <v>340</v>
      </c>
      <c r="K27" s="73" t="n">
        <v>74</v>
      </c>
      <c r="L27" s="74" t="n">
        <f aca="false">K27/H27*100</f>
        <v>10.8823529411765</v>
      </c>
      <c r="M27" s="73" t="n">
        <v>217</v>
      </c>
      <c r="N27" s="74" t="n">
        <f aca="false">O27/H27*100</f>
        <v>2.29411764705882</v>
      </c>
      <c r="O27" s="73" t="n">
        <v>15.6</v>
      </c>
      <c r="P27" s="73" t="n">
        <v>55.48</v>
      </c>
      <c r="Q27" s="46" t="s">
        <v>45</v>
      </c>
      <c r="R27" s="46" t="s">
        <v>464</v>
      </c>
      <c r="S27" s="46"/>
      <c r="T27" s="74"/>
      <c r="U27" s="74"/>
      <c r="V27" s="74"/>
      <c r="W27" s="74"/>
      <c r="X27" s="74"/>
      <c r="Y27" s="74"/>
      <c r="Z27" s="74"/>
      <c r="AA27" s="46" t="s">
        <v>82</v>
      </c>
      <c r="AB27" s="46" t="n">
        <v>18.52</v>
      </c>
      <c r="AC27" s="46" t="s">
        <v>473</v>
      </c>
      <c r="AD27" s="46" t="n">
        <v>24.342241</v>
      </c>
      <c r="AE27" s="46" t="n">
        <v>76.734627</v>
      </c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</row>
    <row r="28" customFormat="false" ht="15" hidden="false" customHeight="false" outlineLevel="0" collapsed="false">
      <c r="A28" s="71" t="s">
        <v>415</v>
      </c>
      <c r="B28" s="71" t="s">
        <v>416</v>
      </c>
      <c r="C28" s="51" t="s">
        <v>461</v>
      </c>
      <c r="D28" s="71" t="s">
        <v>474</v>
      </c>
      <c r="E28" s="73" t="s">
        <v>475</v>
      </c>
      <c r="F28" s="73" t="n">
        <v>127.31</v>
      </c>
      <c r="G28" s="73" t="n">
        <v>127</v>
      </c>
      <c r="H28" s="73" t="n">
        <v>603</v>
      </c>
      <c r="I28" s="73" t="n">
        <v>298</v>
      </c>
      <c r="J28" s="73" t="n">
        <v>305</v>
      </c>
      <c r="K28" s="73" t="n">
        <v>29</v>
      </c>
      <c r="L28" s="74" t="n">
        <f aca="false">K28/H28*100</f>
        <v>4.80928689883914</v>
      </c>
      <c r="M28" s="73" t="n">
        <v>24</v>
      </c>
      <c r="N28" s="74" t="n">
        <f aca="false">O28/H28*100</f>
        <v>1.96185737976783</v>
      </c>
      <c r="O28" s="73" t="n">
        <v>11.83</v>
      </c>
      <c r="P28" s="73" t="n">
        <v>42.19</v>
      </c>
      <c r="Q28" s="46" t="s">
        <v>45</v>
      </c>
      <c r="R28" s="46" t="s">
        <v>464</v>
      </c>
      <c r="S28" s="46"/>
      <c r="T28" s="46" t="n">
        <v>37.61</v>
      </c>
      <c r="U28" s="74"/>
      <c r="V28" s="74"/>
      <c r="W28" s="74"/>
      <c r="X28" s="74"/>
      <c r="Y28" s="74"/>
      <c r="Z28" s="74"/>
      <c r="AA28" s="46" t="s">
        <v>272</v>
      </c>
      <c r="AB28" s="46" t="n">
        <v>32.64</v>
      </c>
      <c r="AC28" s="46"/>
      <c r="AD28" s="46" t="n">
        <v>24.33863</v>
      </c>
      <c r="AE28" s="46" t="n">
        <v>76.72253</v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</row>
    <row r="29" customFormat="false" ht="15" hidden="false" customHeight="false" outlineLevel="0" collapsed="false">
      <c r="A29" s="71" t="s">
        <v>415</v>
      </c>
      <c r="B29" s="71" t="s">
        <v>416</v>
      </c>
      <c r="C29" s="51" t="s">
        <v>461</v>
      </c>
      <c r="D29" s="71" t="s">
        <v>476</v>
      </c>
      <c r="E29" s="73" t="s">
        <v>477</v>
      </c>
      <c r="F29" s="73" t="n">
        <v>220.6</v>
      </c>
      <c r="G29" s="73" t="n">
        <v>156</v>
      </c>
      <c r="H29" s="73" t="n">
        <v>793</v>
      </c>
      <c r="I29" s="73" t="n">
        <v>413</v>
      </c>
      <c r="J29" s="73" t="n">
        <v>380</v>
      </c>
      <c r="K29" s="73" t="n">
        <v>58</v>
      </c>
      <c r="L29" s="74" t="n">
        <f aca="false">K29/H29*100</f>
        <v>7.3139974779319</v>
      </c>
      <c r="M29" s="73" t="n">
        <v>0</v>
      </c>
      <c r="N29" s="74" t="n">
        <f aca="false">O29/H29*100</f>
        <v>3.29760403530895</v>
      </c>
      <c r="O29" s="73" t="n">
        <v>26.15</v>
      </c>
      <c r="P29" s="73" t="n">
        <v>42.38</v>
      </c>
      <c r="Q29" s="46" t="s">
        <v>45</v>
      </c>
      <c r="R29" s="74" t="s">
        <v>464</v>
      </c>
      <c r="S29" s="46"/>
      <c r="T29" s="73"/>
      <c r="U29" s="74"/>
      <c r="V29" s="74"/>
      <c r="W29" s="74"/>
      <c r="X29" s="74"/>
      <c r="Y29" s="74"/>
      <c r="Z29" s="74"/>
      <c r="AA29" s="74" t="s">
        <v>82</v>
      </c>
      <c r="AB29" s="74" t="n">
        <v>17.8</v>
      </c>
      <c r="AC29" s="74"/>
      <c r="AD29" s="74" t="n">
        <v>24.33391</v>
      </c>
      <c r="AE29" s="74" t="n">
        <v>76.69758</v>
      </c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</row>
    <row r="30" customFormat="false" ht="15" hidden="false" customHeight="false" outlineLevel="0" collapsed="false">
      <c r="A30" s="71" t="s">
        <v>415</v>
      </c>
      <c r="B30" s="71" t="s">
        <v>416</v>
      </c>
      <c r="C30" s="51" t="s">
        <v>461</v>
      </c>
      <c r="D30" s="71" t="s">
        <v>478</v>
      </c>
      <c r="E30" s="73" t="s">
        <v>479</v>
      </c>
      <c r="F30" s="73" t="n">
        <v>118.18</v>
      </c>
      <c r="G30" s="73" t="n">
        <v>53</v>
      </c>
      <c r="H30" s="73" t="n">
        <v>285</v>
      </c>
      <c r="I30" s="73" t="n">
        <v>139</v>
      </c>
      <c r="J30" s="73" t="n">
        <v>146</v>
      </c>
      <c r="K30" s="73" t="n">
        <v>0</v>
      </c>
      <c r="L30" s="74" t="n">
        <f aca="false">K30/H30*100</f>
        <v>0</v>
      </c>
      <c r="M30" s="73" t="n">
        <v>0</v>
      </c>
      <c r="N30" s="74" t="n">
        <f aca="false">O30/H30*100</f>
        <v>1.18947368421053</v>
      </c>
      <c r="O30" s="73" t="n">
        <v>3.39</v>
      </c>
      <c r="P30" s="73" t="n">
        <v>45.7</v>
      </c>
      <c r="Q30" s="46" t="s">
        <v>45</v>
      </c>
      <c r="R30" s="46" t="s">
        <v>464</v>
      </c>
      <c r="S30" s="46"/>
      <c r="T30" s="46"/>
      <c r="U30" s="74"/>
      <c r="V30" s="74"/>
      <c r="W30" s="74"/>
      <c r="X30" s="74"/>
      <c r="Y30" s="74"/>
      <c r="Z30" s="74"/>
      <c r="AA30" s="46" t="s">
        <v>82</v>
      </c>
      <c r="AB30" s="46" t="n">
        <v>2</v>
      </c>
      <c r="AC30" s="46"/>
      <c r="AD30" s="46"/>
      <c r="AE30" s="4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</row>
    <row r="31" customFormat="false" ht="15" hidden="false" customHeight="false" outlineLevel="0" collapsed="false">
      <c r="A31" s="71" t="s">
        <v>415</v>
      </c>
      <c r="B31" s="71" t="s">
        <v>416</v>
      </c>
      <c r="C31" s="51" t="s">
        <v>461</v>
      </c>
      <c r="D31" s="71" t="s">
        <v>480</v>
      </c>
      <c r="E31" s="73" t="s">
        <v>481</v>
      </c>
      <c r="F31" s="73" t="n">
        <v>291.25</v>
      </c>
      <c r="G31" s="73" t="n">
        <v>113</v>
      </c>
      <c r="H31" s="73" t="n">
        <v>481</v>
      </c>
      <c r="I31" s="73" t="n">
        <v>251</v>
      </c>
      <c r="J31" s="73" t="n">
        <v>230</v>
      </c>
      <c r="K31" s="73" t="n">
        <v>94</v>
      </c>
      <c r="L31" s="74" t="n">
        <f aca="false">K31/H31*100</f>
        <v>19.5426195426195</v>
      </c>
      <c r="M31" s="73" t="n">
        <v>0</v>
      </c>
      <c r="N31" s="74" t="n">
        <f aca="false">O31/H31*100</f>
        <v>4.22245322245322</v>
      </c>
      <c r="O31" s="73" t="n">
        <v>20.31</v>
      </c>
      <c r="P31" s="73" t="n">
        <v>78.17</v>
      </c>
      <c r="Q31" s="46" t="s">
        <v>45</v>
      </c>
      <c r="R31" s="46" t="s">
        <v>464</v>
      </c>
      <c r="S31" s="46"/>
      <c r="T31" s="46" t="n">
        <v>30.1975</v>
      </c>
      <c r="U31" s="74"/>
      <c r="V31" s="74"/>
      <c r="W31" s="74"/>
      <c r="X31" s="74"/>
      <c r="Y31" s="74"/>
      <c r="Z31" s="74"/>
      <c r="AA31" s="46" t="s">
        <v>272</v>
      </c>
      <c r="AB31" s="46" t="n">
        <v>0</v>
      </c>
      <c r="AC31" s="46"/>
      <c r="AD31" s="46"/>
      <c r="AE31" s="4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</row>
    <row r="32" customFormat="false" ht="15" hidden="false" customHeight="false" outlineLevel="0" collapsed="false">
      <c r="A32" s="71" t="s">
        <v>415</v>
      </c>
      <c r="B32" s="71" t="s">
        <v>416</v>
      </c>
      <c r="C32" s="51" t="s">
        <v>482</v>
      </c>
      <c r="D32" s="72" t="s">
        <v>483</v>
      </c>
      <c r="E32" s="73" t="s">
        <v>484</v>
      </c>
      <c r="F32" s="73" t="n">
        <v>482.72</v>
      </c>
      <c r="G32" s="73" t="n">
        <v>270</v>
      </c>
      <c r="H32" s="73" t="n">
        <v>1310</v>
      </c>
      <c r="I32" s="73" t="n">
        <v>657</v>
      </c>
      <c r="J32" s="73" t="n">
        <v>653</v>
      </c>
      <c r="K32" s="73" t="n">
        <v>125</v>
      </c>
      <c r="L32" s="74" t="n">
        <f aca="false">K32/H32*100</f>
        <v>9.54198473282443</v>
      </c>
      <c r="M32" s="73" t="n">
        <v>366</v>
      </c>
      <c r="N32" s="74" t="n">
        <f aca="false">O32/H32*100</f>
        <v>4.80610687022901</v>
      </c>
      <c r="O32" s="73" t="n">
        <v>62.96</v>
      </c>
      <c r="P32" s="73" t="n">
        <v>91.05</v>
      </c>
      <c r="Q32" s="46" t="s">
        <v>45</v>
      </c>
      <c r="R32" s="46" t="s">
        <v>420</v>
      </c>
      <c r="S32" s="46"/>
      <c r="T32" s="78" t="n">
        <v>190.84</v>
      </c>
      <c r="U32" s="74"/>
      <c r="V32" s="74"/>
      <c r="W32" s="74"/>
      <c r="X32" s="74"/>
      <c r="Y32" s="74"/>
      <c r="Z32" s="74"/>
      <c r="AA32" s="74" t="s">
        <v>82</v>
      </c>
      <c r="AB32" s="74" t="n">
        <v>4.96</v>
      </c>
      <c r="AC32" s="74" t="s">
        <v>485</v>
      </c>
      <c r="AD32" s="46" t="n">
        <v>24.284474</v>
      </c>
      <c r="AE32" s="46" t="n">
        <v>76.722911</v>
      </c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</row>
    <row r="33" customFormat="false" ht="15" hidden="false" customHeight="false" outlineLevel="0" collapsed="false">
      <c r="A33" s="71" t="s">
        <v>415</v>
      </c>
      <c r="B33" s="71" t="s">
        <v>416</v>
      </c>
      <c r="C33" s="51" t="s">
        <v>482</v>
      </c>
      <c r="D33" s="71" t="s">
        <v>486</v>
      </c>
      <c r="E33" s="73" t="s">
        <v>487</v>
      </c>
      <c r="F33" s="73" t="n">
        <v>82.27</v>
      </c>
      <c r="G33" s="73" t="n">
        <v>56</v>
      </c>
      <c r="H33" s="73" t="n">
        <v>229</v>
      </c>
      <c r="I33" s="73" t="n">
        <v>113</v>
      </c>
      <c r="J33" s="73" t="n">
        <v>116</v>
      </c>
      <c r="K33" s="73" t="n">
        <v>0</v>
      </c>
      <c r="L33" s="74" t="n">
        <f aca="false">K33/H33*100</f>
        <v>0</v>
      </c>
      <c r="M33" s="73" t="n">
        <v>0</v>
      </c>
      <c r="N33" s="74" t="n">
        <f aca="false">O33/H33*100</f>
        <v>6.60262008733625</v>
      </c>
      <c r="O33" s="73" t="n">
        <v>15.12</v>
      </c>
      <c r="P33" s="73" t="n">
        <v>0</v>
      </c>
      <c r="Q33" s="46" t="s">
        <v>45</v>
      </c>
      <c r="R33" s="46" t="s">
        <v>420</v>
      </c>
      <c r="S33" s="46"/>
      <c r="T33" s="46" t="n">
        <v>3.5531</v>
      </c>
      <c r="U33" s="74"/>
      <c r="V33" s="74"/>
      <c r="W33" s="74"/>
      <c r="X33" s="74"/>
      <c r="Y33" s="74"/>
      <c r="Z33" s="74"/>
      <c r="AA33" s="74" t="s">
        <v>43</v>
      </c>
      <c r="AB33" s="74" t="n">
        <v>3</v>
      </c>
      <c r="AC33" s="74" t="s">
        <v>488</v>
      </c>
      <c r="AD33" s="46" t="n">
        <v>24.285624</v>
      </c>
      <c r="AE33" s="46" t="n">
        <v>76.720876</v>
      </c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</row>
    <row r="34" customFormat="false" ht="15" hidden="false" customHeight="false" outlineLevel="0" collapsed="false">
      <c r="A34" s="71" t="s">
        <v>415</v>
      </c>
      <c r="B34" s="71" t="s">
        <v>416</v>
      </c>
      <c r="C34" s="51" t="s">
        <v>482</v>
      </c>
      <c r="D34" s="71" t="s">
        <v>489</v>
      </c>
      <c r="E34" s="73" t="s">
        <v>490</v>
      </c>
      <c r="F34" s="73" t="n">
        <v>148.41</v>
      </c>
      <c r="G34" s="73" t="n">
        <v>57</v>
      </c>
      <c r="H34" s="73" t="n">
        <v>281</v>
      </c>
      <c r="I34" s="73" t="n">
        <v>148</v>
      </c>
      <c r="J34" s="73" t="n">
        <v>133</v>
      </c>
      <c r="K34" s="73" t="n">
        <v>27</v>
      </c>
      <c r="L34" s="74" t="n">
        <f aca="false">K34/H34*100</f>
        <v>9.6085409252669</v>
      </c>
      <c r="M34" s="73" t="n">
        <v>0</v>
      </c>
      <c r="N34" s="74" t="n">
        <f aca="false">O34/H34*100</f>
        <v>6.62633451957295</v>
      </c>
      <c r="O34" s="73" t="n">
        <v>18.62</v>
      </c>
      <c r="P34" s="73" t="n">
        <v>58.33</v>
      </c>
      <c r="Q34" s="74"/>
      <c r="R34" s="74"/>
      <c r="S34" s="74"/>
      <c r="T34" s="46" t="n">
        <v>21.7559</v>
      </c>
      <c r="U34" s="74"/>
      <c r="V34" s="74"/>
      <c r="W34" s="74"/>
      <c r="X34" s="74"/>
      <c r="Y34" s="74"/>
      <c r="Z34" s="74"/>
      <c r="AA34" s="46" t="s">
        <v>272</v>
      </c>
      <c r="AB34" s="46" t="n">
        <v>0</v>
      </c>
      <c r="AC34" s="46"/>
      <c r="AD34" s="74"/>
      <c r="AE34" s="74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</row>
    <row r="35" customFormat="false" ht="15" hidden="false" customHeight="false" outlineLevel="0" collapsed="false">
      <c r="A35" s="71" t="s">
        <v>415</v>
      </c>
      <c r="B35" s="71" t="s">
        <v>416</v>
      </c>
      <c r="C35" s="51" t="s">
        <v>482</v>
      </c>
      <c r="D35" s="71" t="s">
        <v>491</v>
      </c>
      <c r="E35" s="73" t="s">
        <v>492</v>
      </c>
      <c r="F35" s="73" t="n">
        <v>142.8</v>
      </c>
      <c r="G35" s="73" t="n">
        <v>35</v>
      </c>
      <c r="H35" s="73" t="n">
        <v>166</v>
      </c>
      <c r="I35" s="73" t="n">
        <v>83</v>
      </c>
      <c r="J35" s="73" t="n">
        <v>83</v>
      </c>
      <c r="K35" s="73" t="n">
        <v>0</v>
      </c>
      <c r="L35" s="74" t="n">
        <f aca="false">K35/H35*100</f>
        <v>0</v>
      </c>
      <c r="M35" s="73" t="n">
        <v>0</v>
      </c>
      <c r="N35" s="74" t="n">
        <f aca="false">O35/H35*100</f>
        <v>11.6385542168675</v>
      </c>
      <c r="O35" s="73" t="n">
        <v>19.32</v>
      </c>
      <c r="P35" s="73" t="n">
        <v>59.97</v>
      </c>
      <c r="Q35" s="46" t="s">
        <v>45</v>
      </c>
      <c r="R35" s="46" t="s">
        <v>420</v>
      </c>
      <c r="S35" s="46"/>
      <c r="T35" s="46" t="n">
        <v>52.45</v>
      </c>
      <c r="U35" s="74"/>
      <c r="V35" s="74"/>
      <c r="W35" s="74"/>
      <c r="X35" s="74"/>
      <c r="Y35" s="74"/>
      <c r="Z35" s="74"/>
      <c r="AA35" s="46" t="s">
        <v>150</v>
      </c>
      <c r="AB35" s="46" t="n">
        <v>2.9</v>
      </c>
      <c r="AC35" s="46" t="s">
        <v>493</v>
      </c>
      <c r="AD35" s="46" t="n">
        <v>24.284588</v>
      </c>
      <c r="AE35" s="46" t="n">
        <v>76.739133</v>
      </c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</row>
    <row r="36" customFormat="false" ht="15" hidden="false" customHeight="false" outlineLevel="0" collapsed="false">
      <c r="A36" s="71" t="s">
        <v>415</v>
      </c>
      <c r="B36" s="71" t="s">
        <v>416</v>
      </c>
      <c r="C36" s="51" t="s">
        <v>482</v>
      </c>
      <c r="D36" s="71" t="s">
        <v>494</v>
      </c>
      <c r="E36" s="73" t="s">
        <v>495</v>
      </c>
      <c r="F36" s="73" t="n">
        <v>199.3</v>
      </c>
      <c r="G36" s="73" t="n">
        <v>50</v>
      </c>
      <c r="H36" s="73" t="n">
        <v>239</v>
      </c>
      <c r="I36" s="73" t="n">
        <v>124</v>
      </c>
      <c r="J36" s="73" t="n">
        <v>115</v>
      </c>
      <c r="K36" s="73" t="n">
        <v>0</v>
      </c>
      <c r="L36" s="74" t="n">
        <f aca="false">K36/H36*100</f>
        <v>0</v>
      </c>
      <c r="M36" s="73" t="n">
        <v>0</v>
      </c>
      <c r="N36" s="74" t="n">
        <f aca="false">O36/H36*100</f>
        <v>9.80334728033473</v>
      </c>
      <c r="O36" s="73" t="n">
        <v>23.43</v>
      </c>
      <c r="P36" s="73" t="n">
        <v>60.19</v>
      </c>
      <c r="Q36" s="46" t="s">
        <v>45</v>
      </c>
      <c r="R36" s="46" t="s">
        <v>420</v>
      </c>
      <c r="S36" s="46"/>
      <c r="T36" s="46"/>
      <c r="U36" s="74"/>
      <c r="V36" s="74"/>
      <c r="W36" s="74"/>
      <c r="X36" s="74"/>
      <c r="Y36" s="74"/>
      <c r="Z36" s="74"/>
      <c r="AA36" s="46" t="s">
        <v>150</v>
      </c>
      <c r="AB36" s="46" t="n">
        <v>6</v>
      </c>
      <c r="AC36" s="46" t="s">
        <v>148</v>
      </c>
      <c r="AD36" s="46" t="n">
        <v>24.286304</v>
      </c>
      <c r="AE36" s="46" t="n">
        <v>76.729032</v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</row>
    <row r="37" s="80" customFormat="true" ht="15" hidden="false" customHeight="false" outlineLevel="0" collapsed="false">
      <c r="A37" s="79" t="s">
        <v>415</v>
      </c>
      <c r="B37" s="79" t="s">
        <v>416</v>
      </c>
      <c r="C37" s="79" t="s">
        <v>482</v>
      </c>
      <c r="D37" s="79" t="s">
        <v>494</v>
      </c>
      <c r="E37" s="73"/>
      <c r="F37" s="73"/>
      <c r="G37" s="73"/>
      <c r="H37" s="73"/>
      <c r="I37" s="73"/>
      <c r="J37" s="73"/>
      <c r="K37" s="73"/>
      <c r="L37" s="74" t="e">
        <f aca="false">K37/H37*100</f>
        <v>#DIV/0!</v>
      </c>
      <c r="M37" s="73"/>
      <c r="N37" s="74" t="e">
        <f aca="false">O37/H37*100</f>
        <v>#DIV/0!</v>
      </c>
      <c r="O37" s="73"/>
      <c r="P37" s="73"/>
      <c r="Q37" s="46" t="s">
        <v>45</v>
      </c>
      <c r="R37" s="46" t="n">
        <v>13.0702023</v>
      </c>
      <c r="S37" s="46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46" t="n">
        <v>24.285169</v>
      </c>
      <c r="AE37" s="46" t="n">
        <v>76.699948</v>
      </c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</row>
    <row r="38" customFormat="false" ht="15" hidden="false" customHeight="false" outlineLevel="0" collapsed="false">
      <c r="A38" s="71" t="s">
        <v>415</v>
      </c>
      <c r="B38" s="71" t="s">
        <v>416</v>
      </c>
      <c r="C38" s="51" t="s">
        <v>482</v>
      </c>
      <c r="D38" s="71" t="s">
        <v>496</v>
      </c>
      <c r="E38" s="73" t="s">
        <v>497</v>
      </c>
      <c r="F38" s="73" t="n">
        <v>178.18</v>
      </c>
      <c r="G38" s="73" t="n">
        <v>135</v>
      </c>
      <c r="H38" s="73" t="n">
        <v>603</v>
      </c>
      <c r="I38" s="73" t="n">
        <v>323</v>
      </c>
      <c r="J38" s="73" t="n">
        <v>280</v>
      </c>
      <c r="K38" s="73" t="n">
        <v>0</v>
      </c>
      <c r="L38" s="74" t="n">
        <f aca="false">K38/H38*100</f>
        <v>0</v>
      </c>
      <c r="M38" s="73" t="n">
        <v>0</v>
      </c>
      <c r="N38" s="74" t="n">
        <f aca="false">O38/H38*100</f>
        <v>5.21724709784411</v>
      </c>
      <c r="O38" s="73" t="n">
        <v>31.46</v>
      </c>
      <c r="P38" s="73" t="n">
        <v>0</v>
      </c>
      <c r="Q38" s="46" t="s">
        <v>45</v>
      </c>
      <c r="R38" s="46" t="s">
        <v>420</v>
      </c>
      <c r="S38" s="46"/>
      <c r="T38" s="46" t="n">
        <v>52.45</v>
      </c>
      <c r="U38" s="74"/>
      <c r="V38" s="74"/>
      <c r="W38" s="74"/>
      <c r="X38" s="74"/>
      <c r="Y38" s="74"/>
      <c r="Z38" s="74"/>
      <c r="AA38" s="46" t="s">
        <v>150</v>
      </c>
      <c r="AB38" s="46" t="n">
        <v>1.7</v>
      </c>
      <c r="AC38" s="46" t="s">
        <v>148</v>
      </c>
      <c r="AD38" s="46" t="n">
        <v>24.286604</v>
      </c>
      <c r="AE38" s="46" t="n">
        <v>76.250586</v>
      </c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</row>
    <row r="39" s="80" customFormat="true" ht="15" hidden="false" customHeight="false" outlineLevel="0" collapsed="false">
      <c r="A39" s="79" t="s">
        <v>415</v>
      </c>
      <c r="B39" s="79" t="s">
        <v>416</v>
      </c>
      <c r="C39" s="79" t="s">
        <v>482</v>
      </c>
      <c r="D39" s="79" t="s">
        <v>496</v>
      </c>
      <c r="E39" s="73"/>
      <c r="F39" s="73"/>
      <c r="G39" s="73"/>
      <c r="H39" s="73"/>
      <c r="I39" s="73"/>
      <c r="J39" s="73"/>
      <c r="K39" s="73"/>
      <c r="L39" s="74" t="e">
        <f aca="false">K39/H39*100</f>
        <v>#DIV/0!</v>
      </c>
      <c r="M39" s="73"/>
      <c r="N39" s="74" t="e">
        <f aca="false">O39/H39*100</f>
        <v>#DIV/0!</v>
      </c>
      <c r="O39" s="73"/>
      <c r="P39" s="73"/>
      <c r="Q39" s="46" t="s">
        <v>45</v>
      </c>
      <c r="R39" s="46" t="n">
        <v>13.0702023</v>
      </c>
      <c r="S39" s="46"/>
      <c r="T39" s="46"/>
      <c r="U39" s="74"/>
      <c r="V39" s="74"/>
      <c r="W39" s="74"/>
      <c r="X39" s="74"/>
      <c r="Y39" s="74"/>
      <c r="Z39" s="74"/>
      <c r="AA39" s="46" t="s">
        <v>150</v>
      </c>
      <c r="AB39" s="46" t="n">
        <v>8</v>
      </c>
      <c r="AC39" s="46" t="s">
        <v>423</v>
      </c>
      <c r="AD39" s="46" t="n">
        <v>24.294703</v>
      </c>
      <c r="AE39" s="46" t="n">
        <v>76.705356</v>
      </c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customFormat="false" ht="15" hidden="false" customHeight="false" outlineLevel="0" collapsed="false">
      <c r="A40" s="71" t="s">
        <v>415</v>
      </c>
      <c r="B40" s="71" t="s">
        <v>416</v>
      </c>
      <c r="C40" s="51" t="s">
        <v>482</v>
      </c>
      <c r="D40" s="71" t="s">
        <v>498</v>
      </c>
      <c r="E40" s="73" t="s">
        <v>499</v>
      </c>
      <c r="F40" s="73" t="n">
        <v>97.12</v>
      </c>
      <c r="G40" s="73" t="n">
        <v>85</v>
      </c>
      <c r="H40" s="73" t="n">
        <v>407</v>
      </c>
      <c r="I40" s="73" t="n">
        <v>214</v>
      </c>
      <c r="J40" s="73" t="n">
        <v>193</v>
      </c>
      <c r="K40" s="73" t="n">
        <v>0</v>
      </c>
      <c r="L40" s="74" t="n">
        <f aca="false">K40/H40*100</f>
        <v>0</v>
      </c>
      <c r="M40" s="73" t="n">
        <v>0</v>
      </c>
      <c r="N40" s="74" t="n">
        <f aca="false">O40/H40*100</f>
        <v>0.351351351351351</v>
      </c>
      <c r="O40" s="73" t="n">
        <v>1.43</v>
      </c>
      <c r="P40" s="73" t="n">
        <v>35.18</v>
      </c>
      <c r="Q40" s="46" t="s">
        <v>45</v>
      </c>
      <c r="R40" s="46" t="s">
        <v>420</v>
      </c>
      <c r="S40" s="46"/>
      <c r="T40" s="46" t="n">
        <v>33.96</v>
      </c>
      <c r="U40" s="74"/>
      <c r="V40" s="74"/>
      <c r="W40" s="74"/>
      <c r="X40" s="74"/>
      <c r="Y40" s="74"/>
      <c r="Z40" s="74"/>
      <c r="AA40" s="46" t="s">
        <v>150</v>
      </c>
      <c r="AB40" s="46" t="n">
        <v>1.4</v>
      </c>
      <c r="AC40" s="46" t="s">
        <v>148</v>
      </c>
      <c r="AD40" s="46" t="n">
        <v>24.286777</v>
      </c>
      <c r="AE40" s="46" t="n">
        <v>76.730079</v>
      </c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="80" customFormat="true" ht="15" hidden="false" customHeight="false" outlineLevel="0" collapsed="false">
      <c r="A41" s="79" t="s">
        <v>415</v>
      </c>
      <c r="B41" s="79" t="s">
        <v>416</v>
      </c>
      <c r="C41" s="79" t="s">
        <v>482</v>
      </c>
      <c r="D41" s="79" t="s">
        <v>498</v>
      </c>
      <c r="E41" s="73"/>
      <c r="F41" s="73"/>
      <c r="G41" s="73"/>
      <c r="H41" s="73"/>
      <c r="I41" s="73"/>
      <c r="J41" s="73"/>
      <c r="K41" s="73"/>
      <c r="L41" s="74" t="e">
        <f aca="false">K41/H41*100</f>
        <v>#DIV/0!</v>
      </c>
      <c r="M41" s="73"/>
      <c r="N41" s="74" t="e">
        <f aca="false">O41/H41*100</f>
        <v>#DIV/0!</v>
      </c>
      <c r="O41" s="73"/>
      <c r="P41" s="73"/>
      <c r="Q41" s="46" t="s">
        <v>45</v>
      </c>
      <c r="R41" s="46" t="n">
        <v>13.0702023</v>
      </c>
      <c r="S41" s="46"/>
      <c r="T41" s="46"/>
      <c r="U41" s="74"/>
      <c r="V41" s="74"/>
      <c r="W41" s="74"/>
      <c r="X41" s="74"/>
      <c r="Y41" s="74"/>
      <c r="Z41" s="74"/>
      <c r="AA41" s="46" t="s">
        <v>150</v>
      </c>
      <c r="AB41" s="46" t="n">
        <v>6</v>
      </c>
      <c r="AC41" s="46" t="s">
        <v>500</v>
      </c>
      <c r="AD41" s="46" t="n">
        <v>24.292728</v>
      </c>
      <c r="AE41" s="46" t="n">
        <v>76.742519</v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="80" customFormat="true" ht="15" hidden="false" customHeight="false" outlineLevel="0" collapsed="false">
      <c r="A42" s="79" t="s">
        <v>415</v>
      </c>
      <c r="B42" s="79" t="s">
        <v>416</v>
      </c>
      <c r="C42" s="79" t="s">
        <v>482</v>
      </c>
      <c r="D42" s="79" t="s">
        <v>498</v>
      </c>
      <c r="E42" s="73"/>
      <c r="F42" s="73"/>
      <c r="G42" s="73"/>
      <c r="H42" s="73"/>
      <c r="I42" s="73"/>
      <c r="J42" s="73"/>
      <c r="K42" s="73"/>
      <c r="L42" s="74" t="e">
        <f aca="false">K42/H42*100</f>
        <v>#DIV/0!</v>
      </c>
      <c r="M42" s="73"/>
      <c r="N42" s="74" t="e">
        <f aca="false">O42/H42*100</f>
        <v>#DIV/0!</v>
      </c>
      <c r="O42" s="73"/>
      <c r="P42" s="73"/>
      <c r="Q42" s="46" t="s">
        <v>45</v>
      </c>
      <c r="R42" s="46" t="n">
        <v>13.0702023</v>
      </c>
      <c r="S42" s="46"/>
      <c r="T42" s="46" t="n">
        <v>26.04</v>
      </c>
      <c r="U42" s="74"/>
      <c r="V42" s="74"/>
      <c r="W42" s="74"/>
      <c r="X42" s="74"/>
      <c r="Y42" s="74"/>
      <c r="Z42" s="74"/>
      <c r="AA42" s="46" t="s">
        <v>150</v>
      </c>
      <c r="AB42" s="46" t="n">
        <v>2.1</v>
      </c>
      <c r="AC42" s="46" t="s">
        <v>148</v>
      </c>
      <c r="AD42" s="46" t="n">
        <v>24.29435</v>
      </c>
      <c r="AE42" s="46" t="n">
        <v>76.74471</v>
      </c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customFormat="false" ht="15" hidden="false" customHeight="false" outlineLevel="0" collapsed="false">
      <c r="A43" s="71" t="s">
        <v>415</v>
      </c>
      <c r="B43" s="71" t="s">
        <v>416</v>
      </c>
      <c r="C43" s="51" t="s">
        <v>482</v>
      </c>
      <c r="D43" s="71" t="s">
        <v>501</v>
      </c>
      <c r="E43" s="73" t="s">
        <v>502</v>
      </c>
      <c r="F43" s="73" t="n">
        <v>434.36</v>
      </c>
      <c r="G43" s="73" t="n">
        <v>256</v>
      </c>
      <c r="H43" s="73" t="n">
        <v>1268</v>
      </c>
      <c r="I43" s="73" t="n">
        <v>644</v>
      </c>
      <c r="J43" s="73" t="n">
        <v>624</v>
      </c>
      <c r="K43" s="73" t="n">
        <v>76</v>
      </c>
      <c r="L43" s="74" t="n">
        <f aca="false">K43/H43*100</f>
        <v>5.99369085173502</v>
      </c>
      <c r="M43" s="73" t="n">
        <v>90</v>
      </c>
      <c r="N43" s="74" t="n">
        <f aca="false">O43/H43*100</f>
        <v>1.26261829652997</v>
      </c>
      <c r="O43" s="73" t="n">
        <v>16.01</v>
      </c>
      <c r="P43" s="73" t="n">
        <v>75.26</v>
      </c>
      <c r="Q43" s="46" t="s">
        <v>45</v>
      </c>
      <c r="R43" s="46" t="s">
        <v>420</v>
      </c>
      <c r="S43" s="46"/>
      <c r="T43" s="46"/>
      <c r="U43" s="74"/>
      <c r="V43" s="74"/>
      <c r="W43" s="74"/>
      <c r="X43" s="74"/>
      <c r="Y43" s="74"/>
      <c r="Z43" s="74"/>
      <c r="AA43" s="46" t="s">
        <v>150</v>
      </c>
      <c r="AB43" s="46" t="n">
        <v>8</v>
      </c>
      <c r="AC43" s="46" t="s">
        <v>148</v>
      </c>
      <c r="AD43" s="46" t="n">
        <v>24.284487</v>
      </c>
      <c r="AE43" s="46" t="n">
        <v>76.789108</v>
      </c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="80" customFormat="true" ht="15" hidden="false" customHeight="false" outlineLevel="0" collapsed="false">
      <c r="A44" s="79" t="s">
        <v>415</v>
      </c>
      <c r="B44" s="79" t="s">
        <v>416</v>
      </c>
      <c r="C44" s="79" t="s">
        <v>482</v>
      </c>
      <c r="D44" s="79" t="s">
        <v>501</v>
      </c>
      <c r="E44" s="73"/>
      <c r="F44" s="73"/>
      <c r="G44" s="73"/>
      <c r="H44" s="73"/>
      <c r="I44" s="73"/>
      <c r="J44" s="73"/>
      <c r="K44" s="73"/>
      <c r="L44" s="74" t="e">
        <f aca="false">K44/H44*100</f>
        <v>#DIV/0!</v>
      </c>
      <c r="M44" s="73"/>
      <c r="N44" s="74" t="e">
        <f aca="false">O44/H44*100</f>
        <v>#DIV/0!</v>
      </c>
      <c r="O44" s="73"/>
      <c r="P44" s="73"/>
      <c r="Q44" s="46" t="s">
        <v>43</v>
      </c>
      <c r="R44" s="46" t="s">
        <v>420</v>
      </c>
      <c r="S44" s="74"/>
      <c r="T44" s="46" t="n">
        <v>5.7</v>
      </c>
      <c r="U44" s="74"/>
      <c r="V44" s="74"/>
      <c r="W44" s="74"/>
      <c r="X44" s="74"/>
      <c r="Y44" s="74"/>
      <c r="Z44" s="74"/>
      <c r="AA44" s="46" t="s">
        <v>150</v>
      </c>
      <c r="AB44" s="46" t="n">
        <v>2.5</v>
      </c>
      <c r="AC44" s="46" t="s">
        <v>148</v>
      </c>
      <c r="AD44" s="46" t="n">
        <v>24.30374</v>
      </c>
      <c r="AE44" s="46" t="n">
        <v>76.71626</v>
      </c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customFormat="false" ht="15" hidden="false" customHeight="false" outlineLevel="0" collapsed="false">
      <c r="A45" s="71" t="s">
        <v>415</v>
      </c>
      <c r="B45" s="71" t="s">
        <v>416</v>
      </c>
      <c r="C45" s="51" t="s">
        <v>482</v>
      </c>
      <c r="D45" s="71" t="s">
        <v>503</v>
      </c>
      <c r="E45" s="73" t="s">
        <v>504</v>
      </c>
      <c r="F45" s="73" t="n">
        <v>289.11</v>
      </c>
      <c r="G45" s="73" t="n">
        <v>189</v>
      </c>
      <c r="H45" s="73" t="n">
        <v>887</v>
      </c>
      <c r="I45" s="73" t="n">
        <v>452</v>
      </c>
      <c r="J45" s="73" t="n">
        <v>435</v>
      </c>
      <c r="K45" s="73" t="n">
        <v>254</v>
      </c>
      <c r="L45" s="74" t="n">
        <f aca="false">K45/H45*100</f>
        <v>28.6358511837655</v>
      </c>
      <c r="M45" s="73" t="n">
        <v>0</v>
      </c>
      <c r="N45" s="74" t="n">
        <f aca="false">O45/H45*100</f>
        <v>2.95152198421646</v>
      </c>
      <c r="O45" s="73" t="n">
        <v>26.18</v>
      </c>
      <c r="P45" s="73" t="n">
        <v>0</v>
      </c>
      <c r="Q45" s="46" t="s">
        <v>45</v>
      </c>
      <c r="R45" s="46" t="s">
        <v>420</v>
      </c>
      <c r="S45" s="46"/>
      <c r="T45" s="46"/>
      <c r="U45" s="74"/>
      <c r="V45" s="74"/>
      <c r="W45" s="74"/>
      <c r="X45" s="74"/>
      <c r="Y45" s="74"/>
      <c r="Z45" s="74"/>
      <c r="AA45" s="46" t="s">
        <v>150</v>
      </c>
      <c r="AB45" s="46" t="n">
        <v>13</v>
      </c>
      <c r="AC45" s="46" t="s">
        <v>148</v>
      </c>
      <c r="AD45" s="46" t="n">
        <v>24.2808661</v>
      </c>
      <c r="AE45" s="46" t="n">
        <v>76.250373</v>
      </c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customFormat="false" ht="15" hidden="false" customHeight="false" outlineLevel="0" collapsed="false">
      <c r="A46" s="71" t="s">
        <v>415</v>
      </c>
      <c r="B46" s="71" t="s">
        <v>416</v>
      </c>
      <c r="C46" s="51" t="s">
        <v>482</v>
      </c>
      <c r="D46" s="71" t="s">
        <v>505</v>
      </c>
      <c r="E46" s="73" t="s">
        <v>506</v>
      </c>
      <c r="F46" s="73" t="n">
        <v>127.05</v>
      </c>
      <c r="G46" s="73" t="n">
        <v>96</v>
      </c>
      <c r="H46" s="73" t="n">
        <v>485</v>
      </c>
      <c r="I46" s="73" t="n">
        <v>239</v>
      </c>
      <c r="J46" s="73" t="n">
        <v>246</v>
      </c>
      <c r="K46" s="73" t="n">
        <v>36</v>
      </c>
      <c r="L46" s="74" t="n">
        <f aca="false">K46/H46*100</f>
        <v>7.42268041237113</v>
      </c>
      <c r="M46" s="73" t="n">
        <v>48</v>
      </c>
      <c r="N46" s="74" t="n">
        <f aca="false">O46/H46*100</f>
        <v>1.24948453608247</v>
      </c>
      <c r="O46" s="73" t="n">
        <v>6.06</v>
      </c>
      <c r="P46" s="73" t="n">
        <v>0</v>
      </c>
      <c r="Q46" s="46" t="s">
        <v>45</v>
      </c>
      <c r="R46" s="46" t="s">
        <v>420</v>
      </c>
      <c r="S46" s="46"/>
      <c r="T46" s="46"/>
      <c r="U46" s="74"/>
      <c r="V46" s="74"/>
      <c r="W46" s="74"/>
      <c r="X46" s="74"/>
      <c r="Y46" s="74"/>
      <c r="Z46" s="74"/>
      <c r="AA46" s="46" t="s">
        <v>150</v>
      </c>
      <c r="AB46" s="46" t="n">
        <v>3.04</v>
      </c>
      <c r="AC46" s="46" t="s">
        <v>148</v>
      </c>
      <c r="AD46" s="46" t="n">
        <v>24.295934</v>
      </c>
      <c r="AE46" s="46" t="n">
        <v>76.73823</v>
      </c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customFormat="false" ht="15" hidden="false" customHeight="false" outlineLevel="0" collapsed="false">
      <c r="A47" s="71" t="s">
        <v>415</v>
      </c>
      <c r="B47" s="71" t="s">
        <v>416</v>
      </c>
      <c r="C47" s="51" t="s">
        <v>507</v>
      </c>
      <c r="D47" s="72" t="s">
        <v>508</v>
      </c>
      <c r="E47" s="73" t="s">
        <v>509</v>
      </c>
      <c r="F47" s="73" t="n">
        <v>107.18</v>
      </c>
      <c r="G47" s="73" t="n">
        <v>70</v>
      </c>
      <c r="H47" s="73" t="n">
        <v>273</v>
      </c>
      <c r="I47" s="73" t="n">
        <v>138</v>
      </c>
      <c r="J47" s="73" t="n">
        <v>135</v>
      </c>
      <c r="K47" s="73" t="n">
        <v>6</v>
      </c>
      <c r="L47" s="74" t="n">
        <f aca="false">K47/H47*100</f>
        <v>2.1978021978022</v>
      </c>
      <c r="M47" s="73" t="n">
        <v>266</v>
      </c>
      <c r="N47" s="74" t="n">
        <f aca="false">O47/H47*100</f>
        <v>4.97069597069597</v>
      </c>
      <c r="O47" s="73" t="n">
        <v>13.57</v>
      </c>
      <c r="P47" s="73" t="n">
        <v>2.05</v>
      </c>
      <c r="Q47" s="46" t="s">
        <v>45</v>
      </c>
      <c r="R47" s="81" t="n">
        <v>44809</v>
      </c>
      <c r="S47" s="46"/>
      <c r="T47" s="46" t="n">
        <v>6.25</v>
      </c>
      <c r="U47" s="74"/>
      <c r="V47" s="74"/>
      <c r="W47" s="74"/>
      <c r="X47" s="74"/>
      <c r="Y47" s="74"/>
      <c r="Z47" s="74"/>
      <c r="AA47" s="46" t="s">
        <v>150</v>
      </c>
      <c r="AB47" s="46" t="n">
        <v>0.8</v>
      </c>
      <c r="AC47" s="46" t="s">
        <v>148</v>
      </c>
      <c r="AD47" s="82" t="n">
        <v>24.390587</v>
      </c>
      <c r="AE47" s="82" t="n">
        <v>76.668528</v>
      </c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customFormat="false" ht="15" hidden="false" customHeight="false" outlineLevel="0" collapsed="false">
      <c r="A48" s="71" t="s">
        <v>415</v>
      </c>
      <c r="B48" s="71" t="s">
        <v>416</v>
      </c>
      <c r="C48" s="51" t="s">
        <v>507</v>
      </c>
      <c r="D48" s="71" t="s">
        <v>510</v>
      </c>
      <c r="E48" s="73" t="s">
        <v>511</v>
      </c>
      <c r="F48" s="73" t="n">
        <v>149.71</v>
      </c>
      <c r="G48" s="73" t="n">
        <v>43</v>
      </c>
      <c r="H48" s="73" t="n">
        <v>175</v>
      </c>
      <c r="I48" s="73" t="n">
        <v>94</v>
      </c>
      <c r="J48" s="73" t="n">
        <v>81</v>
      </c>
      <c r="K48" s="73" t="n">
        <v>0</v>
      </c>
      <c r="L48" s="74" t="n">
        <f aca="false">K48/H48*100</f>
        <v>0</v>
      </c>
      <c r="M48" s="73" t="n">
        <v>175</v>
      </c>
      <c r="N48" s="74" t="n">
        <f aca="false">O48/H48*100</f>
        <v>6.27428571428571</v>
      </c>
      <c r="O48" s="73" t="n">
        <v>10.98</v>
      </c>
      <c r="P48" s="73" t="n">
        <v>0</v>
      </c>
      <c r="Q48" s="46" t="s">
        <v>45</v>
      </c>
      <c r="R48" s="81" t="n">
        <v>44809</v>
      </c>
      <c r="S48" s="46"/>
      <c r="T48" s="74"/>
      <c r="U48" s="74"/>
      <c r="V48" s="74"/>
      <c r="W48" s="74"/>
      <c r="X48" s="74"/>
      <c r="Y48" s="74"/>
      <c r="Z48" s="74"/>
      <c r="AA48" s="46" t="s">
        <v>150</v>
      </c>
      <c r="AB48" s="46" t="n">
        <v>2.8</v>
      </c>
      <c r="AC48" s="46"/>
      <c r="AD48" s="82" t="n">
        <v>24.384772</v>
      </c>
      <c r="AE48" s="82" t="n">
        <v>76.663182</v>
      </c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</row>
    <row r="49" customFormat="false" ht="15" hidden="false" customHeight="false" outlineLevel="0" collapsed="false">
      <c r="A49" s="71" t="s">
        <v>415</v>
      </c>
      <c r="B49" s="71" t="s">
        <v>416</v>
      </c>
      <c r="C49" s="51" t="s">
        <v>507</v>
      </c>
      <c r="D49" s="71" t="s">
        <v>512</v>
      </c>
      <c r="E49" s="73" t="s">
        <v>513</v>
      </c>
      <c r="F49" s="73" t="n">
        <v>284.91</v>
      </c>
      <c r="G49" s="73" t="n">
        <v>111</v>
      </c>
      <c r="H49" s="73" t="n">
        <v>524</v>
      </c>
      <c r="I49" s="73" t="n">
        <v>268</v>
      </c>
      <c r="J49" s="73" t="n">
        <v>256</v>
      </c>
      <c r="K49" s="73" t="n">
        <v>204</v>
      </c>
      <c r="L49" s="74" t="n">
        <f aca="false">K49/H49*100</f>
        <v>38.9312977099237</v>
      </c>
      <c r="M49" s="73" t="n">
        <v>101</v>
      </c>
      <c r="N49" s="74" t="n">
        <f aca="false">O49/H49*100</f>
        <v>6.78053435114504</v>
      </c>
      <c r="O49" s="73" t="n">
        <v>35.53</v>
      </c>
      <c r="P49" s="73" t="n">
        <v>0</v>
      </c>
      <c r="Q49" s="46" t="s">
        <v>45</v>
      </c>
      <c r="R49" s="81" t="n">
        <v>44809</v>
      </c>
      <c r="S49" s="46"/>
      <c r="T49" s="46" t="n">
        <v>55.88</v>
      </c>
      <c r="U49" s="74"/>
      <c r="V49" s="74"/>
      <c r="W49" s="74"/>
      <c r="X49" s="74"/>
      <c r="Y49" s="74"/>
      <c r="Z49" s="74"/>
      <c r="AA49" s="46" t="s">
        <v>150</v>
      </c>
      <c r="AB49" s="46" t="n">
        <v>1.2</v>
      </c>
      <c r="AC49" s="46" t="s">
        <v>148</v>
      </c>
      <c r="AD49" s="82" t="n">
        <v>24.390587</v>
      </c>
      <c r="AE49" s="82" t="n">
        <v>76.668528</v>
      </c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</row>
    <row r="50" customFormat="false" ht="15" hidden="false" customHeight="false" outlineLevel="0" collapsed="false">
      <c r="A50" s="71" t="s">
        <v>415</v>
      </c>
      <c r="B50" s="71" t="s">
        <v>416</v>
      </c>
      <c r="C50" s="51" t="s">
        <v>507</v>
      </c>
      <c r="D50" s="71" t="s">
        <v>514</v>
      </c>
      <c r="E50" s="73" t="s">
        <v>515</v>
      </c>
      <c r="F50" s="73" t="n">
        <v>183.65</v>
      </c>
      <c r="G50" s="73" t="n">
        <v>137</v>
      </c>
      <c r="H50" s="73" t="n">
        <v>581</v>
      </c>
      <c r="I50" s="73" t="n">
        <v>302</v>
      </c>
      <c r="J50" s="73" t="n">
        <v>279</v>
      </c>
      <c r="K50" s="73" t="n">
        <v>10</v>
      </c>
      <c r="L50" s="74" t="n">
        <f aca="false">K50/H50*100</f>
        <v>1.72117039586919</v>
      </c>
      <c r="M50" s="73" t="n">
        <v>543</v>
      </c>
      <c r="N50" s="74" t="n">
        <f aca="false">O50/H50*100</f>
        <v>2.91910499139415</v>
      </c>
      <c r="O50" s="73" t="n">
        <v>16.96</v>
      </c>
      <c r="P50" s="73" t="n">
        <v>0</v>
      </c>
      <c r="Q50" s="46" t="s">
        <v>45</v>
      </c>
      <c r="R50" s="81" t="n">
        <v>44809</v>
      </c>
      <c r="S50" s="46"/>
      <c r="T50" s="46" t="n">
        <v>44.99</v>
      </c>
      <c r="U50" s="74"/>
      <c r="V50" s="74"/>
      <c r="W50" s="74"/>
      <c r="X50" s="74"/>
      <c r="Y50" s="74"/>
      <c r="Z50" s="74"/>
      <c r="AA50" s="46" t="s">
        <v>150</v>
      </c>
      <c r="AB50" s="46" t="n">
        <v>2.3</v>
      </c>
      <c r="AC50" s="46" t="s">
        <v>148</v>
      </c>
      <c r="AD50" s="82" t="n">
        <v>24.404553</v>
      </c>
      <c r="AE50" s="82" t="n">
        <v>76.683853</v>
      </c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</row>
    <row r="51" customFormat="false" ht="15" hidden="false" customHeight="false" outlineLevel="0" collapsed="false">
      <c r="A51" s="71" t="s">
        <v>415</v>
      </c>
      <c r="B51" s="71" t="s">
        <v>416</v>
      </c>
      <c r="C51" s="51" t="s">
        <v>507</v>
      </c>
      <c r="D51" s="71" t="s">
        <v>516</v>
      </c>
      <c r="E51" s="73" t="s">
        <v>517</v>
      </c>
      <c r="F51" s="73" t="n">
        <v>152.38</v>
      </c>
      <c r="G51" s="73" t="n">
        <v>164</v>
      </c>
      <c r="H51" s="73" t="n">
        <v>946</v>
      </c>
      <c r="I51" s="73" t="n">
        <v>481</v>
      </c>
      <c r="J51" s="73" t="n">
        <v>465</v>
      </c>
      <c r="K51" s="73" t="n">
        <v>87</v>
      </c>
      <c r="L51" s="74" t="n">
        <f aca="false">K51/H51*100</f>
        <v>9.19661733615222</v>
      </c>
      <c r="M51" s="73" t="n">
        <v>3</v>
      </c>
      <c r="N51" s="74" t="n">
        <f aca="false">O51/H51*100</f>
        <v>2.12473572938689</v>
      </c>
      <c r="O51" s="73" t="n">
        <v>20.1</v>
      </c>
      <c r="P51" s="73" t="n">
        <v>0</v>
      </c>
      <c r="Q51" s="46" t="s">
        <v>45</v>
      </c>
      <c r="R51" s="81" t="n">
        <v>44809</v>
      </c>
      <c r="S51" s="46"/>
      <c r="T51" s="46" t="n">
        <v>14.57</v>
      </c>
      <c r="U51" s="74"/>
      <c r="V51" s="74"/>
      <c r="W51" s="74"/>
      <c r="X51" s="74"/>
      <c r="Y51" s="74"/>
      <c r="Z51" s="74"/>
      <c r="AA51" s="46" t="s">
        <v>272</v>
      </c>
      <c r="AB51" s="46" t="n">
        <v>0</v>
      </c>
      <c r="AC51" s="46"/>
      <c r="AD51" s="82" t="n">
        <v>24.413748</v>
      </c>
      <c r="AE51" s="82" t="n">
        <v>76.675381</v>
      </c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</row>
    <row r="52" s="26" customFormat="true" ht="15" hidden="false" customHeight="false" outlineLevel="0" collapsed="false">
      <c r="A52" s="51" t="s">
        <v>415</v>
      </c>
      <c r="B52" s="51" t="s">
        <v>416</v>
      </c>
      <c r="C52" s="51" t="s">
        <v>507</v>
      </c>
      <c r="D52" s="51" t="s">
        <v>516</v>
      </c>
      <c r="E52" s="73"/>
      <c r="F52" s="73"/>
      <c r="G52" s="73"/>
      <c r="H52" s="73"/>
      <c r="I52" s="73"/>
      <c r="J52" s="73"/>
      <c r="K52" s="73"/>
      <c r="L52" s="74" t="e">
        <f aca="false">K52/H52*100</f>
        <v>#DIV/0!</v>
      </c>
      <c r="M52" s="73"/>
      <c r="N52" s="74" t="e">
        <f aca="false">O52/H52*100</f>
        <v>#DIV/0!</v>
      </c>
      <c r="O52" s="73"/>
      <c r="P52" s="73"/>
      <c r="Q52" s="46" t="s">
        <v>45</v>
      </c>
      <c r="R52" s="81" t="n">
        <v>44809</v>
      </c>
      <c r="S52" s="46"/>
      <c r="T52" s="46" t="n">
        <v>10.81</v>
      </c>
      <c r="U52" s="74"/>
      <c r="V52" s="74"/>
      <c r="W52" s="74"/>
      <c r="X52" s="74"/>
      <c r="Y52" s="74"/>
      <c r="Z52" s="74"/>
      <c r="AA52" s="46" t="s">
        <v>272</v>
      </c>
      <c r="AB52" s="46" t="n">
        <v>0</v>
      </c>
      <c r="AC52" s="46"/>
      <c r="AD52" s="46" t="n">
        <v>24.414307</v>
      </c>
      <c r="AE52" s="46" t="n">
        <v>76.677466</v>
      </c>
    </row>
    <row r="53" customFormat="false" ht="15" hidden="false" customHeight="false" outlineLevel="0" collapsed="false">
      <c r="A53" s="71" t="s">
        <v>415</v>
      </c>
      <c r="B53" s="71" t="s">
        <v>416</v>
      </c>
      <c r="C53" s="51" t="s">
        <v>507</v>
      </c>
      <c r="D53" s="71" t="s">
        <v>518</v>
      </c>
      <c r="E53" s="73" t="s">
        <v>519</v>
      </c>
      <c r="F53" s="73" t="n">
        <v>527.91</v>
      </c>
      <c r="G53" s="73" t="n">
        <v>246</v>
      </c>
      <c r="H53" s="73" t="n">
        <v>1063</v>
      </c>
      <c r="I53" s="73" t="n">
        <v>568</v>
      </c>
      <c r="J53" s="73" t="n">
        <v>495</v>
      </c>
      <c r="K53" s="73" t="n">
        <v>331</v>
      </c>
      <c r="L53" s="74" t="n">
        <f aca="false">K53/H53*100</f>
        <v>31.1382878645343</v>
      </c>
      <c r="M53" s="73" t="n">
        <v>0</v>
      </c>
      <c r="N53" s="74" t="n">
        <f aca="false">O53/H53*100</f>
        <v>4.60489181561618</v>
      </c>
      <c r="O53" s="73" t="n">
        <v>48.95</v>
      </c>
      <c r="P53" s="73" t="n">
        <v>48.56</v>
      </c>
      <c r="Q53" s="46" t="s">
        <v>45</v>
      </c>
      <c r="R53" s="81" t="n">
        <v>44809</v>
      </c>
      <c r="S53" s="46"/>
      <c r="T53" s="46" t="n">
        <v>29.23</v>
      </c>
      <c r="U53" s="74"/>
      <c r="V53" s="74" t="s">
        <v>49</v>
      </c>
      <c r="W53" s="74" t="s">
        <v>49</v>
      </c>
      <c r="X53" s="74" t="s">
        <v>49</v>
      </c>
      <c r="Y53" s="74" t="s">
        <v>49</v>
      </c>
      <c r="Z53" s="74" t="s">
        <v>49</v>
      </c>
      <c r="AA53" s="46" t="s">
        <v>45</v>
      </c>
      <c r="AB53" s="46" t="n">
        <v>5</v>
      </c>
      <c r="AC53" s="46"/>
      <c r="AD53" s="82" t="n">
        <v>24.408099</v>
      </c>
      <c r="AE53" s="82" t="n">
        <v>76.662116</v>
      </c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</row>
    <row r="54" customFormat="false" ht="15" hidden="false" customHeight="false" outlineLevel="0" collapsed="false">
      <c r="A54" s="71" t="s">
        <v>415</v>
      </c>
      <c r="B54" s="71" t="s">
        <v>416</v>
      </c>
      <c r="C54" s="51" t="s">
        <v>507</v>
      </c>
      <c r="D54" s="71" t="s">
        <v>520</v>
      </c>
      <c r="E54" s="73" t="s">
        <v>521</v>
      </c>
      <c r="F54" s="73" t="n">
        <v>95.26</v>
      </c>
      <c r="G54" s="73" t="n">
        <v>2</v>
      </c>
      <c r="H54" s="73" t="n">
        <v>14</v>
      </c>
      <c r="I54" s="73" t="n">
        <v>4</v>
      </c>
      <c r="J54" s="73" t="n">
        <v>10</v>
      </c>
      <c r="K54" s="73" t="n">
        <v>0</v>
      </c>
      <c r="L54" s="74" t="n">
        <f aca="false">K54/H54*100</f>
        <v>0</v>
      </c>
      <c r="M54" s="73" t="n">
        <v>14</v>
      </c>
      <c r="N54" s="74" t="n">
        <f aca="false">O54/H54*100</f>
        <v>82.9285714285714</v>
      </c>
      <c r="O54" s="73" t="n">
        <v>11.61</v>
      </c>
      <c r="P54" s="73" t="n">
        <v>0</v>
      </c>
      <c r="Q54" s="73"/>
      <c r="R54" s="74"/>
      <c r="S54" s="73"/>
      <c r="T54" s="46" t="n">
        <v>13.42</v>
      </c>
      <c r="U54" s="74"/>
      <c r="V54" s="74"/>
      <c r="W54" s="74"/>
      <c r="X54" s="74"/>
      <c r="Y54" s="74"/>
      <c r="Z54" s="74"/>
      <c r="AA54" s="46" t="s">
        <v>45</v>
      </c>
      <c r="AB54" s="46" t="n">
        <v>5</v>
      </c>
      <c r="AC54" s="46"/>
      <c r="AD54" s="73"/>
      <c r="AE54" s="73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</row>
    <row r="55" customFormat="false" ht="15" hidden="false" customHeight="false" outlineLevel="0" collapsed="false">
      <c r="A55" s="71" t="s">
        <v>415</v>
      </c>
      <c r="B55" s="71" t="s">
        <v>416</v>
      </c>
      <c r="C55" s="51" t="s">
        <v>507</v>
      </c>
      <c r="D55" s="71" t="s">
        <v>522</v>
      </c>
      <c r="E55" s="73" t="s">
        <v>523</v>
      </c>
      <c r="F55" s="73" t="n">
        <v>108.56</v>
      </c>
      <c r="G55" s="73" t="n">
        <v>107</v>
      </c>
      <c r="H55" s="73" t="n">
        <v>453</v>
      </c>
      <c r="I55" s="73" t="n">
        <v>234</v>
      </c>
      <c r="J55" s="73" t="n">
        <v>219</v>
      </c>
      <c r="K55" s="73" t="n">
        <v>81</v>
      </c>
      <c r="L55" s="74" t="n">
        <f aca="false">K55/H55*100</f>
        <v>17.8807947019868</v>
      </c>
      <c r="M55" s="73" t="n">
        <v>0</v>
      </c>
      <c r="N55" s="74" t="n">
        <f aca="false">O55/H55*100</f>
        <v>4.99779249448124</v>
      </c>
      <c r="O55" s="73" t="n">
        <v>22.64</v>
      </c>
      <c r="P55" s="73" t="n">
        <v>0</v>
      </c>
      <c r="Q55" s="46" t="s">
        <v>45</v>
      </c>
      <c r="R55" s="81" t="n">
        <v>44809</v>
      </c>
      <c r="S55" s="46"/>
      <c r="T55" s="46" t="n">
        <v>14.73</v>
      </c>
      <c r="U55" s="74"/>
      <c r="V55" s="74"/>
      <c r="W55" s="74"/>
      <c r="X55" s="74"/>
      <c r="Y55" s="74"/>
      <c r="Z55" s="74"/>
      <c r="AA55" s="46" t="s">
        <v>45</v>
      </c>
      <c r="AB55" s="46" t="n">
        <v>6</v>
      </c>
      <c r="AC55" s="46"/>
      <c r="AD55" s="82" t="n">
        <v>24.429375</v>
      </c>
      <c r="AE55" s="82" t="n">
        <v>76.665108</v>
      </c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</row>
    <row r="56" customFormat="false" ht="15" hidden="false" customHeight="false" outlineLevel="0" collapsed="false">
      <c r="A56" s="71" t="s">
        <v>415</v>
      </c>
      <c r="B56" s="71" t="s">
        <v>416</v>
      </c>
      <c r="C56" s="51" t="s">
        <v>507</v>
      </c>
      <c r="D56" s="71" t="s">
        <v>524</v>
      </c>
      <c r="E56" s="73" t="s">
        <v>525</v>
      </c>
      <c r="F56" s="73" t="n">
        <v>294.49</v>
      </c>
      <c r="G56" s="73" t="n">
        <v>10</v>
      </c>
      <c r="H56" s="73" t="n">
        <v>43</v>
      </c>
      <c r="I56" s="73" t="n">
        <v>22</v>
      </c>
      <c r="J56" s="73" t="n">
        <v>21</v>
      </c>
      <c r="K56" s="73" t="n">
        <v>1</v>
      </c>
      <c r="L56" s="74" t="n">
        <f aca="false">K56/H56*100</f>
        <v>2.32558139534884</v>
      </c>
      <c r="M56" s="73" t="n">
        <v>30</v>
      </c>
      <c r="N56" s="74" t="n">
        <f aca="false">O56/H56*100</f>
        <v>83.2093023255814</v>
      </c>
      <c r="O56" s="73" t="n">
        <v>35.78</v>
      </c>
      <c r="P56" s="73" t="n">
        <v>0</v>
      </c>
      <c r="Q56" s="73"/>
      <c r="R56" s="83" t="n">
        <v>44809</v>
      </c>
      <c r="S56" s="73"/>
      <c r="T56" s="46"/>
      <c r="U56" s="74"/>
      <c r="V56" s="74"/>
      <c r="W56" s="74"/>
      <c r="X56" s="74"/>
      <c r="Y56" s="74"/>
      <c r="Z56" s="74"/>
      <c r="AA56" s="46" t="s">
        <v>82</v>
      </c>
      <c r="AB56" s="46" t="n">
        <v>9</v>
      </c>
      <c r="AC56" s="46" t="s">
        <v>526</v>
      </c>
      <c r="AD56" s="73"/>
      <c r="AE56" s="73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</row>
    <row r="57" customFormat="false" ht="15" hidden="false" customHeight="false" outlineLevel="0" collapsed="false">
      <c r="A57" s="71" t="s">
        <v>415</v>
      </c>
      <c r="B57" s="71" t="s">
        <v>416</v>
      </c>
      <c r="C57" s="51" t="s">
        <v>507</v>
      </c>
      <c r="D57" s="71" t="s">
        <v>527</v>
      </c>
      <c r="E57" s="73" t="s">
        <v>528</v>
      </c>
      <c r="F57" s="73" t="n">
        <v>225.81</v>
      </c>
      <c r="G57" s="73" t="n">
        <v>155</v>
      </c>
      <c r="H57" s="73" t="n">
        <v>661</v>
      </c>
      <c r="I57" s="73" t="n">
        <v>329</v>
      </c>
      <c r="J57" s="73" t="n">
        <v>332</v>
      </c>
      <c r="K57" s="73" t="n">
        <v>0</v>
      </c>
      <c r="L57" s="74" t="n">
        <f aca="false">K57/H57*100</f>
        <v>0</v>
      </c>
      <c r="M57" s="73" t="n">
        <v>545</v>
      </c>
      <c r="N57" s="74" t="n">
        <f aca="false">O57/H57*100</f>
        <v>4.6142208774584</v>
      </c>
      <c r="O57" s="73" t="n">
        <v>30.5</v>
      </c>
      <c r="P57" s="73" t="n">
        <v>0</v>
      </c>
      <c r="Q57" s="46" t="s">
        <v>45</v>
      </c>
      <c r="R57" s="81" t="n">
        <v>44809</v>
      </c>
      <c r="S57" s="46"/>
      <c r="T57" s="46" t="n">
        <v>38.95</v>
      </c>
      <c r="U57" s="74"/>
      <c r="V57" s="74"/>
      <c r="W57" s="74"/>
      <c r="X57" s="74"/>
      <c r="Y57" s="74"/>
      <c r="Z57" s="74"/>
      <c r="AA57" s="46" t="s">
        <v>45</v>
      </c>
      <c r="AB57" s="46" t="n">
        <v>10</v>
      </c>
      <c r="AC57" s="46"/>
      <c r="AD57" s="82" t="n">
        <v>24.43783</v>
      </c>
      <c r="AE57" s="82" t="n">
        <v>76.675449</v>
      </c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</row>
    <row r="58" customFormat="false" ht="15" hidden="false" customHeight="false" outlineLevel="0" collapsed="false">
      <c r="A58" s="71" t="s">
        <v>415</v>
      </c>
      <c r="B58" s="71" t="s">
        <v>416</v>
      </c>
      <c r="C58" s="51" t="s">
        <v>529</v>
      </c>
      <c r="D58" s="72" t="s">
        <v>140</v>
      </c>
      <c r="E58" s="73" t="s">
        <v>530</v>
      </c>
      <c r="F58" s="73" t="n">
        <v>288.09</v>
      </c>
      <c r="G58" s="73" t="n">
        <v>542</v>
      </c>
      <c r="H58" s="73" t="n">
        <v>2440</v>
      </c>
      <c r="I58" s="73" t="n">
        <v>1243</v>
      </c>
      <c r="J58" s="73" t="n">
        <v>1197</v>
      </c>
      <c r="K58" s="73" t="n">
        <v>166</v>
      </c>
      <c r="L58" s="74" t="n">
        <f aca="false">K58/H58*100</f>
        <v>6.80327868852459</v>
      </c>
      <c r="M58" s="73" t="n">
        <v>394</v>
      </c>
      <c r="N58" s="74" t="n">
        <f aca="false">O58/H58*100</f>
        <v>0.947131147540984</v>
      </c>
      <c r="O58" s="73" t="n">
        <v>23.11</v>
      </c>
      <c r="P58" s="73" t="n">
        <v>9.62</v>
      </c>
      <c r="Q58" s="46" t="s">
        <v>45</v>
      </c>
      <c r="R58" s="46" t="s">
        <v>531</v>
      </c>
      <c r="S58" s="46"/>
      <c r="T58" s="73"/>
      <c r="U58" s="74"/>
      <c r="V58" s="74" t="s">
        <v>49</v>
      </c>
      <c r="W58" s="74"/>
      <c r="X58" s="74"/>
      <c r="Y58" s="74"/>
      <c r="Z58" s="74"/>
      <c r="AA58" s="73"/>
      <c r="AB58" s="74"/>
      <c r="AC58" s="73"/>
      <c r="AD58" s="46" t="n">
        <v>24.37641</v>
      </c>
      <c r="AE58" s="46" t="n">
        <v>76.769439</v>
      </c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</row>
    <row r="59" s="26" customFormat="true" ht="15" hidden="false" customHeight="false" outlineLevel="0" collapsed="false">
      <c r="A59" s="51" t="s">
        <v>415</v>
      </c>
      <c r="B59" s="51" t="s">
        <v>416</v>
      </c>
      <c r="C59" s="51" t="s">
        <v>529</v>
      </c>
      <c r="D59" s="51" t="s">
        <v>140</v>
      </c>
      <c r="E59" s="73"/>
      <c r="F59" s="73"/>
      <c r="G59" s="73"/>
      <c r="H59" s="73"/>
      <c r="I59" s="73"/>
      <c r="J59" s="73"/>
      <c r="K59" s="73"/>
      <c r="L59" s="74" t="e">
        <f aca="false">K59/H59*100</f>
        <v>#DIV/0!</v>
      </c>
      <c r="M59" s="73"/>
      <c r="N59" s="74" t="e">
        <f aca="false">O59/H59*100</f>
        <v>#DIV/0!</v>
      </c>
      <c r="O59" s="73"/>
      <c r="P59" s="73"/>
      <c r="Q59" s="46" t="s">
        <v>45</v>
      </c>
      <c r="R59" s="46" t="s">
        <v>531</v>
      </c>
      <c r="S59" s="46"/>
      <c r="T59" s="46" t="n">
        <v>22.15</v>
      </c>
      <c r="U59" s="74"/>
      <c r="V59" s="74"/>
      <c r="W59" s="74"/>
      <c r="X59" s="74"/>
      <c r="Y59" s="74"/>
      <c r="Z59" s="74"/>
      <c r="AA59" s="46" t="s">
        <v>272</v>
      </c>
      <c r="AB59" s="46" t="n">
        <v>0</v>
      </c>
      <c r="AC59" s="46"/>
      <c r="AD59" s="46" t="n">
        <v>24.377807</v>
      </c>
      <c r="AE59" s="46" t="n">
        <v>76.771469</v>
      </c>
    </row>
    <row r="60" customFormat="false" ht="15" hidden="false" customHeight="false" outlineLevel="0" collapsed="false">
      <c r="A60" s="71" t="s">
        <v>415</v>
      </c>
      <c r="B60" s="71" t="s">
        <v>416</v>
      </c>
      <c r="C60" s="51" t="s">
        <v>529</v>
      </c>
      <c r="D60" s="71" t="s">
        <v>532</v>
      </c>
      <c r="E60" s="73" t="s">
        <v>533</v>
      </c>
      <c r="F60" s="73" t="n">
        <v>398.18</v>
      </c>
      <c r="G60" s="73" t="n">
        <v>118</v>
      </c>
      <c r="H60" s="73" t="n">
        <v>613</v>
      </c>
      <c r="I60" s="73" t="n">
        <v>307</v>
      </c>
      <c r="J60" s="73" t="n">
        <v>306</v>
      </c>
      <c r="K60" s="73" t="n">
        <v>15</v>
      </c>
      <c r="L60" s="74" t="n">
        <f aca="false">K60/H60*100</f>
        <v>2.44698205546493</v>
      </c>
      <c r="M60" s="73" t="n">
        <v>276</v>
      </c>
      <c r="N60" s="74" t="n">
        <f aca="false">O60/H60*100</f>
        <v>4.99021207177814</v>
      </c>
      <c r="O60" s="73" t="n">
        <v>30.59</v>
      </c>
      <c r="P60" s="73" t="n">
        <v>227.62</v>
      </c>
      <c r="Q60" s="46" t="s">
        <v>45</v>
      </c>
      <c r="R60" s="46" t="s">
        <v>531</v>
      </c>
      <c r="S60" s="46"/>
      <c r="T60" s="46" t="n">
        <v>21.44</v>
      </c>
      <c r="U60" s="74"/>
      <c r="V60" s="74"/>
      <c r="W60" s="74"/>
      <c r="X60" s="74"/>
      <c r="Y60" s="74"/>
      <c r="Z60" s="74"/>
      <c r="AA60" s="46" t="s">
        <v>150</v>
      </c>
      <c r="AB60" s="46" t="n">
        <v>10</v>
      </c>
      <c r="AC60" s="46"/>
      <c r="AD60" s="46" t="n">
        <v>24.348039</v>
      </c>
      <c r="AE60" s="46" t="n">
        <v>76.786522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</row>
    <row r="61" customFormat="false" ht="15" hidden="false" customHeight="false" outlineLevel="0" collapsed="false">
      <c r="A61" s="71" t="s">
        <v>415</v>
      </c>
      <c r="B61" s="71" t="s">
        <v>416</v>
      </c>
      <c r="C61" s="51" t="s">
        <v>529</v>
      </c>
      <c r="D61" s="71" t="s">
        <v>534</v>
      </c>
      <c r="E61" s="73" t="s">
        <v>535</v>
      </c>
      <c r="F61" s="73" t="n">
        <v>808.95</v>
      </c>
      <c r="G61" s="73" t="n">
        <v>259</v>
      </c>
      <c r="H61" s="73" t="n">
        <v>1264</v>
      </c>
      <c r="I61" s="73" t="n">
        <v>657</v>
      </c>
      <c r="J61" s="73" t="n">
        <v>607</v>
      </c>
      <c r="K61" s="73" t="n">
        <v>98</v>
      </c>
      <c r="L61" s="74" t="n">
        <f aca="false">K61/H61*100</f>
        <v>7.75316455696203</v>
      </c>
      <c r="M61" s="73" t="n">
        <v>231</v>
      </c>
      <c r="N61" s="74" t="n">
        <f aca="false">O61/H61*100</f>
        <v>3.51661392405063</v>
      </c>
      <c r="O61" s="73" t="n">
        <v>44.45</v>
      </c>
      <c r="P61" s="73" t="n">
        <v>427.82</v>
      </c>
      <c r="Q61" s="46" t="s">
        <v>45</v>
      </c>
      <c r="R61" s="46" t="s">
        <v>531</v>
      </c>
      <c r="S61" s="46"/>
      <c r="T61" s="46" t="n">
        <v>51.19</v>
      </c>
      <c r="U61" s="74"/>
      <c r="V61" s="74"/>
      <c r="W61" s="74"/>
      <c r="X61" s="74"/>
      <c r="Y61" s="74"/>
      <c r="Z61" s="74"/>
      <c r="AA61" s="46" t="s">
        <v>150</v>
      </c>
      <c r="AB61" s="46" t="n">
        <v>1</v>
      </c>
      <c r="AC61" s="46" t="s">
        <v>536</v>
      </c>
      <c r="AD61" s="46" t="n">
        <v>24.3660341</v>
      </c>
      <c r="AE61" s="46" t="n">
        <v>76.788493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</row>
    <row r="62" customFormat="false" ht="15" hidden="false" customHeight="false" outlineLevel="0" collapsed="false">
      <c r="A62" s="71" t="s">
        <v>415</v>
      </c>
      <c r="B62" s="71" t="s">
        <v>416</v>
      </c>
      <c r="C62" s="51" t="s">
        <v>537</v>
      </c>
      <c r="D62" s="72" t="s">
        <v>538</v>
      </c>
      <c r="E62" s="73" t="s">
        <v>539</v>
      </c>
      <c r="F62" s="73" t="n">
        <v>790.49</v>
      </c>
      <c r="G62" s="73" t="n">
        <v>323</v>
      </c>
      <c r="H62" s="73" t="n">
        <v>1557</v>
      </c>
      <c r="I62" s="73" t="n">
        <v>835</v>
      </c>
      <c r="J62" s="73" t="n">
        <v>722</v>
      </c>
      <c r="K62" s="73" t="n">
        <v>0</v>
      </c>
      <c r="L62" s="74" t="n">
        <f aca="false">K62/H62*100</f>
        <v>0</v>
      </c>
      <c r="M62" s="73" t="n">
        <v>1430</v>
      </c>
      <c r="N62" s="74" t="n">
        <f aca="false">O62/H62*100</f>
        <v>5.13615928066795</v>
      </c>
      <c r="O62" s="73" t="n">
        <v>79.97</v>
      </c>
      <c r="P62" s="73" t="n">
        <v>238.34</v>
      </c>
      <c r="Q62" s="46" t="s">
        <v>82</v>
      </c>
      <c r="R62" s="46" t="s">
        <v>540</v>
      </c>
      <c r="S62" s="46"/>
      <c r="T62" s="46"/>
      <c r="U62" s="74"/>
      <c r="V62" s="74"/>
      <c r="W62" s="74"/>
      <c r="X62" s="74"/>
      <c r="Y62" s="74"/>
      <c r="Z62" s="74"/>
      <c r="AA62" s="46" t="s">
        <v>150</v>
      </c>
      <c r="AB62" s="46" t="n">
        <v>3.26</v>
      </c>
      <c r="AC62" s="46" t="s">
        <v>541</v>
      </c>
      <c r="AD62" s="46" t="n">
        <v>24.216184</v>
      </c>
      <c r="AE62" s="46" t="n">
        <v>76.750789</v>
      </c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</row>
    <row r="63" customFormat="false" ht="15" hidden="false" customHeight="false" outlineLevel="0" collapsed="false">
      <c r="A63" s="71" t="s">
        <v>415</v>
      </c>
      <c r="B63" s="71" t="s">
        <v>416</v>
      </c>
      <c r="C63" s="51" t="s">
        <v>537</v>
      </c>
      <c r="D63" s="71" t="s">
        <v>542</v>
      </c>
      <c r="E63" s="73" t="s">
        <v>543</v>
      </c>
      <c r="F63" s="73" t="n">
        <v>179.8</v>
      </c>
      <c r="G63" s="73" t="n">
        <v>106</v>
      </c>
      <c r="H63" s="73" t="n">
        <v>452</v>
      </c>
      <c r="I63" s="73" t="n">
        <v>238</v>
      </c>
      <c r="J63" s="73" t="n">
        <v>214</v>
      </c>
      <c r="K63" s="73" t="n">
        <v>0</v>
      </c>
      <c r="L63" s="74" t="n">
        <f aca="false">K63/H63*100</f>
        <v>0</v>
      </c>
      <c r="M63" s="73" t="n">
        <v>0</v>
      </c>
      <c r="N63" s="74" t="n">
        <f aca="false">O63/H63*100</f>
        <v>7.39380530973451</v>
      </c>
      <c r="O63" s="73" t="n">
        <v>33.42</v>
      </c>
      <c r="P63" s="73" t="n">
        <v>32.48</v>
      </c>
      <c r="Q63" s="46" t="s">
        <v>82</v>
      </c>
      <c r="R63" s="46" t="s">
        <v>540</v>
      </c>
      <c r="S63" s="46"/>
      <c r="T63" s="46" t="n">
        <v>77.01</v>
      </c>
      <c r="U63" s="74"/>
      <c r="V63" s="74"/>
      <c r="W63" s="74"/>
      <c r="X63" s="74"/>
      <c r="Y63" s="74"/>
      <c r="Z63" s="74"/>
      <c r="AA63" s="46" t="s">
        <v>150</v>
      </c>
      <c r="AB63" s="46" t="n">
        <v>1</v>
      </c>
      <c r="AC63" s="46" t="s">
        <v>536</v>
      </c>
      <c r="AD63" s="46" t="n">
        <v>24.177808</v>
      </c>
      <c r="AE63" s="46" t="n">
        <v>76.730557</v>
      </c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</row>
    <row r="64" customFormat="false" ht="15" hidden="false" customHeight="false" outlineLevel="0" collapsed="false">
      <c r="A64" s="71" t="s">
        <v>415</v>
      </c>
      <c r="B64" s="71" t="s">
        <v>416</v>
      </c>
      <c r="C64" s="51" t="s">
        <v>537</v>
      </c>
      <c r="D64" s="71" t="s">
        <v>51</v>
      </c>
      <c r="E64" s="73" t="s">
        <v>544</v>
      </c>
      <c r="F64" s="73" t="n">
        <v>206.92</v>
      </c>
      <c r="G64" s="73" t="n">
        <v>107</v>
      </c>
      <c r="H64" s="73" t="n">
        <v>506</v>
      </c>
      <c r="I64" s="73" t="n">
        <v>246</v>
      </c>
      <c r="J64" s="73" t="n">
        <v>260</v>
      </c>
      <c r="K64" s="73" t="n">
        <v>7</v>
      </c>
      <c r="L64" s="74" t="n">
        <f aca="false">K64/H64*100</f>
        <v>1.38339920948617</v>
      </c>
      <c r="M64" s="73" t="n">
        <v>0</v>
      </c>
      <c r="N64" s="74" t="n">
        <f aca="false">O64/H64*100</f>
        <v>1.84782608695652</v>
      </c>
      <c r="O64" s="73" t="n">
        <v>9.35</v>
      </c>
      <c r="P64" s="73" t="n">
        <v>31.58</v>
      </c>
      <c r="Q64" s="46" t="s">
        <v>45</v>
      </c>
      <c r="R64" s="46" t="s">
        <v>540</v>
      </c>
      <c r="S64" s="46"/>
      <c r="T64" s="46" t="n">
        <v>80.51</v>
      </c>
      <c r="U64" s="74"/>
      <c r="V64" s="74"/>
      <c r="W64" s="74"/>
      <c r="X64" s="74"/>
      <c r="Y64" s="74"/>
      <c r="Z64" s="74"/>
      <c r="AA64" s="46" t="s">
        <v>150</v>
      </c>
      <c r="AB64" s="46" t="n">
        <v>1.5</v>
      </c>
      <c r="AC64" s="46" t="s">
        <v>536</v>
      </c>
      <c r="AD64" s="46" t="n">
        <v>24.174701</v>
      </c>
      <c r="AE64" s="46" t="n">
        <v>76.738533</v>
      </c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</row>
    <row r="65" customFormat="false" ht="15" hidden="false" customHeight="false" outlineLevel="0" collapsed="false">
      <c r="A65" s="71" t="s">
        <v>415</v>
      </c>
      <c r="B65" s="71" t="s">
        <v>416</v>
      </c>
      <c r="C65" s="51" t="s">
        <v>537</v>
      </c>
      <c r="D65" s="71" t="s">
        <v>545</v>
      </c>
      <c r="E65" s="73" t="s">
        <v>546</v>
      </c>
      <c r="F65" s="73" t="n">
        <v>159.84</v>
      </c>
      <c r="G65" s="73" t="n">
        <v>81</v>
      </c>
      <c r="H65" s="73" t="n">
        <v>374</v>
      </c>
      <c r="I65" s="73" t="n">
        <v>197</v>
      </c>
      <c r="J65" s="73" t="n">
        <v>177</v>
      </c>
      <c r="K65" s="73" t="n">
        <v>8</v>
      </c>
      <c r="L65" s="74" t="n">
        <f aca="false">K65/H65*100</f>
        <v>2.13903743315508</v>
      </c>
      <c r="M65" s="73" t="n">
        <v>0</v>
      </c>
      <c r="N65" s="74" t="n">
        <f aca="false">O65/H65*100</f>
        <v>4.78609625668449</v>
      </c>
      <c r="O65" s="73" t="n">
        <v>17.9</v>
      </c>
      <c r="P65" s="73" t="n">
        <v>50.99</v>
      </c>
      <c r="Q65" s="46" t="s">
        <v>82</v>
      </c>
      <c r="R65" s="46" t="s">
        <v>540</v>
      </c>
      <c r="S65" s="46"/>
      <c r="T65" s="73"/>
      <c r="U65" s="74"/>
      <c r="V65" s="74"/>
      <c r="W65" s="74"/>
      <c r="X65" s="74"/>
      <c r="Y65" s="74"/>
      <c r="Z65" s="74"/>
      <c r="AA65" s="73"/>
      <c r="AB65" s="74"/>
      <c r="AC65" s="73"/>
      <c r="AD65" s="46" t="n">
        <v>24.189999</v>
      </c>
      <c r="AE65" s="46" t="n">
        <v>76.727885</v>
      </c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</row>
    <row r="66" customFormat="false" ht="15" hidden="false" customHeight="false" outlineLevel="0" collapsed="false">
      <c r="A66" s="71" t="s">
        <v>415</v>
      </c>
      <c r="B66" s="71" t="s">
        <v>416</v>
      </c>
      <c r="C66" s="51" t="s">
        <v>537</v>
      </c>
      <c r="D66" s="71" t="s">
        <v>547</v>
      </c>
      <c r="E66" s="73" t="s">
        <v>548</v>
      </c>
      <c r="F66" s="73" t="n">
        <v>221.13</v>
      </c>
      <c r="G66" s="73" t="n">
        <v>83</v>
      </c>
      <c r="H66" s="73" t="n">
        <v>506</v>
      </c>
      <c r="I66" s="73" t="n">
        <v>251</v>
      </c>
      <c r="J66" s="73" t="n">
        <v>255</v>
      </c>
      <c r="K66" s="73" t="n">
        <v>30</v>
      </c>
      <c r="L66" s="74" t="n">
        <f aca="false">K66/H66*100</f>
        <v>5.92885375494071</v>
      </c>
      <c r="M66" s="73" t="n">
        <v>0</v>
      </c>
      <c r="N66" s="74" t="n">
        <f aca="false">O66/H66*100</f>
        <v>5.95059288537549</v>
      </c>
      <c r="O66" s="73" t="n">
        <v>30.11</v>
      </c>
      <c r="P66" s="73" t="n">
        <v>49.85</v>
      </c>
      <c r="Q66" s="46" t="s">
        <v>45</v>
      </c>
      <c r="R66" s="46" t="s">
        <v>540</v>
      </c>
      <c r="S66" s="46"/>
      <c r="T66" s="46" t="n">
        <v>80.2178</v>
      </c>
      <c r="U66" s="74"/>
      <c r="V66" s="74"/>
      <c r="W66" s="74"/>
      <c r="X66" s="74"/>
      <c r="Y66" s="74"/>
      <c r="Z66" s="74"/>
      <c r="AA66" s="46" t="s">
        <v>82</v>
      </c>
      <c r="AB66" s="46" t="n">
        <v>0.25</v>
      </c>
      <c r="AC66" s="46" t="s">
        <v>549</v>
      </c>
      <c r="AD66" s="46" t="n">
        <v>24.172156</v>
      </c>
      <c r="AE66" s="46" t="n">
        <v>76.731445</v>
      </c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</row>
    <row r="67" customFormat="false" ht="15" hidden="false" customHeight="false" outlineLevel="0" collapsed="false">
      <c r="A67" s="71" t="s">
        <v>415</v>
      </c>
      <c r="B67" s="71" t="s">
        <v>416</v>
      </c>
      <c r="C67" s="51" t="s">
        <v>537</v>
      </c>
      <c r="D67" s="71" t="s">
        <v>550</v>
      </c>
      <c r="E67" s="73" t="s">
        <v>551</v>
      </c>
      <c r="F67" s="73" t="n">
        <v>247.69</v>
      </c>
      <c r="G67" s="73" t="n">
        <v>62</v>
      </c>
      <c r="H67" s="73" t="n">
        <v>291</v>
      </c>
      <c r="I67" s="73" t="n">
        <v>148</v>
      </c>
      <c r="J67" s="73" t="n">
        <v>143</v>
      </c>
      <c r="K67" s="73" t="n">
        <v>37</v>
      </c>
      <c r="L67" s="74" t="n">
        <f aca="false">K67/H67*100</f>
        <v>12.7147766323024</v>
      </c>
      <c r="M67" s="73" t="n">
        <v>0</v>
      </c>
      <c r="N67" s="74" t="n">
        <f aca="false">O67/H67*100</f>
        <v>8.95876288659794</v>
      </c>
      <c r="O67" s="73" t="n">
        <v>26.07</v>
      </c>
      <c r="P67" s="73" t="n">
        <v>122.24</v>
      </c>
      <c r="Q67" s="46" t="s">
        <v>45</v>
      </c>
      <c r="R67" s="46" t="s">
        <v>540</v>
      </c>
      <c r="S67" s="46"/>
      <c r="T67" s="46" t="n">
        <v>32.8379</v>
      </c>
      <c r="U67" s="74"/>
      <c r="V67" s="74"/>
      <c r="W67" s="74"/>
      <c r="X67" s="74"/>
      <c r="Y67" s="74"/>
      <c r="Z67" s="74"/>
      <c r="AA67" s="46" t="s">
        <v>82</v>
      </c>
      <c r="AB67" s="46" t="n">
        <v>0.5</v>
      </c>
      <c r="AC67" s="46" t="s">
        <v>549</v>
      </c>
      <c r="AD67" s="46" t="n">
        <v>24.186613</v>
      </c>
      <c r="AE67" s="46" t="n">
        <v>76.750897</v>
      </c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</row>
    <row r="68" customFormat="false" ht="15" hidden="false" customHeight="false" outlineLevel="0" collapsed="false">
      <c r="A68" s="71" t="s">
        <v>415</v>
      </c>
      <c r="B68" s="71" t="s">
        <v>416</v>
      </c>
      <c r="C68" s="51" t="s">
        <v>537</v>
      </c>
      <c r="D68" s="71" t="s">
        <v>552</v>
      </c>
      <c r="E68" s="73" t="s">
        <v>553</v>
      </c>
      <c r="F68" s="73" t="n">
        <v>326.8</v>
      </c>
      <c r="G68" s="73" t="n">
        <v>102</v>
      </c>
      <c r="H68" s="73" t="n">
        <v>560</v>
      </c>
      <c r="I68" s="73" t="n">
        <v>284</v>
      </c>
      <c r="J68" s="73" t="n">
        <v>276</v>
      </c>
      <c r="K68" s="73" t="n">
        <v>0</v>
      </c>
      <c r="L68" s="74" t="n">
        <f aca="false">K68/H68*100</f>
        <v>0</v>
      </c>
      <c r="M68" s="73" t="n">
        <v>0</v>
      </c>
      <c r="N68" s="74" t="n">
        <f aca="false">O68/H68*100</f>
        <v>0</v>
      </c>
      <c r="O68" s="73" t="n">
        <v>0</v>
      </c>
      <c r="P68" s="73" t="n">
        <v>202.16</v>
      </c>
      <c r="Q68" s="46" t="s">
        <v>82</v>
      </c>
      <c r="R68" s="46" t="s">
        <v>540</v>
      </c>
      <c r="S68" s="46"/>
      <c r="T68" s="46" t="n">
        <v>9.0983</v>
      </c>
      <c r="U68" s="74"/>
      <c r="V68" s="74"/>
      <c r="W68" s="74"/>
      <c r="X68" s="74"/>
      <c r="Y68" s="74"/>
      <c r="Z68" s="74"/>
      <c r="AA68" s="46" t="s">
        <v>82</v>
      </c>
      <c r="AB68" s="46" t="n">
        <v>0.25</v>
      </c>
      <c r="AC68" s="46" t="s">
        <v>549</v>
      </c>
      <c r="AD68" s="46" t="n">
        <v>24.201804</v>
      </c>
      <c r="AE68" s="46" t="n">
        <v>76.740403</v>
      </c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</row>
    <row r="69" customFormat="false" ht="15" hidden="false" customHeight="false" outlineLevel="0" collapsed="false">
      <c r="A69" s="71" t="s">
        <v>415</v>
      </c>
      <c r="B69" s="71" t="s">
        <v>416</v>
      </c>
      <c r="C69" s="51" t="s">
        <v>537</v>
      </c>
      <c r="D69" s="71" t="s">
        <v>486</v>
      </c>
      <c r="E69" s="73" t="s">
        <v>554</v>
      </c>
      <c r="F69" s="73" t="n">
        <v>115.16</v>
      </c>
      <c r="G69" s="73" t="n">
        <v>59</v>
      </c>
      <c r="H69" s="73" t="n">
        <v>271</v>
      </c>
      <c r="I69" s="73" t="n">
        <v>124</v>
      </c>
      <c r="J69" s="73" t="n">
        <v>147</v>
      </c>
      <c r="K69" s="73" t="n">
        <v>0</v>
      </c>
      <c r="L69" s="74" t="n">
        <f aca="false">K69/H69*100</f>
        <v>0</v>
      </c>
      <c r="M69" s="73" t="n">
        <v>269</v>
      </c>
      <c r="N69" s="74" t="n">
        <f aca="false">O69/H69*100</f>
        <v>1.28413284132841</v>
      </c>
      <c r="O69" s="73" t="n">
        <v>3.48</v>
      </c>
      <c r="P69" s="73" t="n">
        <v>0</v>
      </c>
      <c r="Q69" s="46" t="s">
        <v>45</v>
      </c>
      <c r="R69" s="46" t="s">
        <v>540</v>
      </c>
      <c r="S69" s="46"/>
      <c r="T69" s="46" t="n">
        <v>17.6452</v>
      </c>
      <c r="U69" s="74"/>
      <c r="V69" s="74"/>
      <c r="W69" s="74"/>
      <c r="X69" s="74"/>
      <c r="Y69" s="74"/>
      <c r="Z69" s="74"/>
      <c r="AA69" s="46" t="s">
        <v>82</v>
      </c>
      <c r="AB69" s="46" t="n">
        <v>0.25</v>
      </c>
      <c r="AC69" s="46" t="s">
        <v>549</v>
      </c>
      <c r="AD69" s="46" t="n">
        <v>24.167242</v>
      </c>
      <c r="AE69" s="46" t="n">
        <v>76.755474</v>
      </c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</row>
    <row r="70" customFormat="false" ht="15" hidden="false" customHeight="false" outlineLevel="0" collapsed="false">
      <c r="A70" s="71" t="s">
        <v>415</v>
      </c>
      <c r="B70" s="71" t="s">
        <v>416</v>
      </c>
      <c r="C70" s="51" t="s">
        <v>555</v>
      </c>
      <c r="D70" s="72" t="s">
        <v>556</v>
      </c>
      <c r="E70" s="73" t="s">
        <v>557</v>
      </c>
      <c r="F70" s="73" t="n">
        <v>693.18</v>
      </c>
      <c r="G70" s="73" t="n">
        <v>342</v>
      </c>
      <c r="H70" s="73" t="n">
        <v>1512</v>
      </c>
      <c r="I70" s="73" t="n">
        <v>769</v>
      </c>
      <c r="J70" s="73" t="n">
        <v>743</v>
      </c>
      <c r="K70" s="73" t="n">
        <v>183</v>
      </c>
      <c r="L70" s="74" t="n">
        <f aca="false">K70/H70*100</f>
        <v>12.1031746031746</v>
      </c>
      <c r="M70" s="73" t="n">
        <v>17</v>
      </c>
      <c r="N70" s="74" t="n">
        <f aca="false">O70/H70*100</f>
        <v>4.83862433862434</v>
      </c>
      <c r="O70" s="73" t="n">
        <v>73.16</v>
      </c>
      <c r="P70" s="73" t="n">
        <v>0</v>
      </c>
      <c r="Q70" s="46" t="s">
        <v>45</v>
      </c>
      <c r="R70" s="46" t="s">
        <v>558</v>
      </c>
      <c r="S70" s="46"/>
      <c r="T70" s="46" t="n">
        <v>29.8585</v>
      </c>
      <c r="U70" s="74"/>
      <c r="V70" s="74"/>
      <c r="W70" s="74"/>
      <c r="X70" s="74"/>
      <c r="Y70" s="74"/>
      <c r="Z70" s="74"/>
      <c r="AA70" s="46" t="s">
        <v>82</v>
      </c>
      <c r="AB70" s="46" t="n">
        <v>0.25</v>
      </c>
      <c r="AC70" s="46" t="s">
        <v>549</v>
      </c>
      <c r="AD70" s="46" t="n">
        <v>24.1849</v>
      </c>
      <c r="AE70" s="46" t="n">
        <v>76.1712</v>
      </c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</row>
    <row r="71" customFormat="false" ht="15" hidden="false" customHeight="false" outlineLevel="0" collapsed="false">
      <c r="A71" s="71" t="s">
        <v>415</v>
      </c>
      <c r="B71" s="71" t="s">
        <v>416</v>
      </c>
      <c r="C71" s="51" t="s">
        <v>555</v>
      </c>
      <c r="D71" s="71" t="s">
        <v>51</v>
      </c>
      <c r="E71" s="73" t="s">
        <v>559</v>
      </c>
      <c r="F71" s="73" t="n">
        <v>268.51</v>
      </c>
      <c r="G71" s="73" t="n">
        <v>35</v>
      </c>
      <c r="H71" s="73" t="n">
        <v>182</v>
      </c>
      <c r="I71" s="73" t="n">
        <v>94</v>
      </c>
      <c r="J71" s="73" t="n">
        <v>88</v>
      </c>
      <c r="K71" s="73" t="n">
        <v>0</v>
      </c>
      <c r="L71" s="74" t="n">
        <f aca="false">K71/H71*100</f>
        <v>0</v>
      </c>
      <c r="M71" s="73" t="n">
        <v>0</v>
      </c>
      <c r="N71" s="74" t="n">
        <f aca="false">O71/H71*100</f>
        <v>13.1648351648352</v>
      </c>
      <c r="O71" s="73" t="n">
        <v>23.96</v>
      </c>
      <c r="P71" s="73" t="n">
        <v>0</v>
      </c>
      <c r="Q71" s="46" t="s">
        <v>45</v>
      </c>
      <c r="R71" s="46" t="s">
        <v>558</v>
      </c>
      <c r="S71" s="46"/>
      <c r="T71" s="46" t="n">
        <v>25.0778</v>
      </c>
      <c r="U71" s="74"/>
      <c r="V71" s="74"/>
      <c r="W71" s="74"/>
      <c r="X71" s="74"/>
      <c r="Y71" s="74"/>
      <c r="Z71" s="74"/>
      <c r="AA71" s="46" t="s">
        <v>82</v>
      </c>
      <c r="AB71" s="46" t="n">
        <v>1</v>
      </c>
      <c r="AC71" s="46" t="s">
        <v>560</v>
      </c>
      <c r="AD71" s="46" t="n">
        <v>24.1418</v>
      </c>
      <c r="AE71" s="46" t="n">
        <v>76.8252</v>
      </c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</row>
    <row r="72" customFormat="false" ht="15" hidden="false" customHeight="false" outlineLevel="0" collapsed="false">
      <c r="A72" s="71" t="s">
        <v>415</v>
      </c>
      <c r="B72" s="71" t="s">
        <v>416</v>
      </c>
      <c r="C72" s="51" t="s">
        <v>555</v>
      </c>
      <c r="D72" s="71" t="s">
        <v>561</v>
      </c>
      <c r="E72" s="73" t="s">
        <v>562</v>
      </c>
      <c r="F72" s="73" t="n">
        <v>424.85</v>
      </c>
      <c r="G72" s="73" t="n">
        <v>94</v>
      </c>
      <c r="H72" s="73" t="n">
        <v>446</v>
      </c>
      <c r="I72" s="73" t="n">
        <v>223</v>
      </c>
      <c r="J72" s="73" t="n">
        <v>223</v>
      </c>
      <c r="K72" s="73" t="n">
        <v>0</v>
      </c>
      <c r="L72" s="74" t="n">
        <f aca="false">K72/H72*100</f>
        <v>0</v>
      </c>
      <c r="M72" s="73" t="n">
        <v>446</v>
      </c>
      <c r="N72" s="74" t="n">
        <f aca="false">O72/H72*100</f>
        <v>8.1390134529148</v>
      </c>
      <c r="O72" s="73" t="n">
        <v>36.3</v>
      </c>
      <c r="P72" s="73" t="n">
        <v>0</v>
      </c>
      <c r="Q72" s="46" t="s">
        <v>45</v>
      </c>
      <c r="R72" s="46" t="s">
        <v>558</v>
      </c>
      <c r="S72" s="46"/>
      <c r="T72" s="46"/>
      <c r="U72" s="74"/>
      <c r="V72" s="74"/>
      <c r="W72" s="74"/>
      <c r="X72" s="74"/>
      <c r="Y72" s="74"/>
      <c r="Z72" s="74"/>
      <c r="AA72" s="46" t="s">
        <v>82</v>
      </c>
      <c r="AB72" s="46" t="n">
        <v>0.25</v>
      </c>
      <c r="AC72" s="46" t="s">
        <v>549</v>
      </c>
      <c r="AD72" s="46" t="n">
        <v>24.14119</v>
      </c>
      <c r="AE72" s="46" t="n">
        <v>76.8441</v>
      </c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</row>
    <row r="73" customFormat="false" ht="15" hidden="false" customHeight="false" outlineLevel="0" collapsed="false">
      <c r="A73" s="71" t="s">
        <v>415</v>
      </c>
      <c r="B73" s="71" t="s">
        <v>416</v>
      </c>
      <c r="C73" s="51" t="s">
        <v>555</v>
      </c>
      <c r="D73" s="71" t="s">
        <v>563</v>
      </c>
      <c r="E73" s="73" t="s">
        <v>564</v>
      </c>
      <c r="F73" s="73" t="n">
        <v>212.88</v>
      </c>
      <c r="G73" s="73" t="n">
        <v>95</v>
      </c>
      <c r="H73" s="73" t="n">
        <v>407</v>
      </c>
      <c r="I73" s="73" t="n">
        <v>201</v>
      </c>
      <c r="J73" s="73" t="n">
        <v>206</v>
      </c>
      <c r="K73" s="73" t="n">
        <v>63</v>
      </c>
      <c r="L73" s="74" t="n">
        <f aca="false">K73/H73*100</f>
        <v>15.4791154791155</v>
      </c>
      <c r="M73" s="73" t="n">
        <v>0</v>
      </c>
      <c r="N73" s="74" t="n">
        <f aca="false">O73/H73*100</f>
        <v>7.9017199017199</v>
      </c>
      <c r="O73" s="73" t="n">
        <v>32.16</v>
      </c>
      <c r="P73" s="73" t="n">
        <v>0</v>
      </c>
      <c r="Q73" s="46" t="s">
        <v>82</v>
      </c>
      <c r="R73" s="46" t="s">
        <v>558</v>
      </c>
      <c r="S73" s="46"/>
      <c r="T73" s="46" t="n">
        <v>15.8511</v>
      </c>
      <c r="U73" s="74"/>
      <c r="V73" s="74"/>
      <c r="W73" s="74"/>
      <c r="X73" s="74"/>
      <c r="Y73" s="74"/>
      <c r="Z73" s="74"/>
      <c r="AA73" s="46" t="s">
        <v>82</v>
      </c>
      <c r="AB73" s="46" t="n">
        <v>1</v>
      </c>
      <c r="AC73" s="46" t="s">
        <v>549</v>
      </c>
      <c r="AD73" s="46" t="n">
        <v>24.1624</v>
      </c>
      <c r="AE73" s="46" t="n">
        <v>76.8589</v>
      </c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</row>
    <row r="74" customFormat="false" ht="15" hidden="false" customHeight="false" outlineLevel="0" collapsed="false">
      <c r="A74" s="71" t="s">
        <v>415</v>
      </c>
      <c r="B74" s="71" t="s">
        <v>416</v>
      </c>
      <c r="C74" s="51" t="s">
        <v>555</v>
      </c>
      <c r="D74" s="71" t="s">
        <v>565</v>
      </c>
      <c r="E74" s="73" t="s">
        <v>566</v>
      </c>
      <c r="F74" s="73" t="n">
        <v>381.26</v>
      </c>
      <c r="G74" s="73" t="n">
        <v>146</v>
      </c>
      <c r="H74" s="73" t="n">
        <v>590</v>
      </c>
      <c r="I74" s="73" t="n">
        <v>307</v>
      </c>
      <c r="J74" s="73" t="n">
        <v>283</v>
      </c>
      <c r="K74" s="73" t="n">
        <v>16</v>
      </c>
      <c r="L74" s="74" t="n">
        <f aca="false">K74/H74*100</f>
        <v>2.71186440677966</v>
      </c>
      <c r="M74" s="73" t="n">
        <v>227</v>
      </c>
      <c r="N74" s="74" t="n">
        <f aca="false">O74/H74*100</f>
        <v>10.2322033898305</v>
      </c>
      <c r="O74" s="73" t="n">
        <v>60.37</v>
      </c>
      <c r="P74" s="73" t="n">
        <v>62.21</v>
      </c>
      <c r="Q74" s="46" t="s">
        <v>45</v>
      </c>
      <c r="R74" s="46" t="s">
        <v>558</v>
      </c>
      <c r="S74" s="46"/>
      <c r="T74" s="46" t="n">
        <v>71</v>
      </c>
      <c r="U74" s="74"/>
      <c r="V74" s="74"/>
      <c r="W74" s="74"/>
      <c r="X74" s="74"/>
      <c r="Y74" s="74"/>
      <c r="Z74" s="74"/>
      <c r="AA74" s="46" t="s">
        <v>82</v>
      </c>
      <c r="AB74" s="46" t="n">
        <v>2</v>
      </c>
      <c r="AC74" s="46" t="s">
        <v>129</v>
      </c>
      <c r="AD74" s="46" t="n">
        <v>24.1574</v>
      </c>
      <c r="AE74" s="46" t="n">
        <v>76.8479</v>
      </c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</row>
    <row r="75" customFormat="false" ht="15" hidden="false" customHeight="false" outlineLevel="0" collapsed="false">
      <c r="A75" s="71" t="s">
        <v>415</v>
      </c>
      <c r="B75" s="71" t="s">
        <v>416</v>
      </c>
      <c r="C75" s="51" t="s">
        <v>555</v>
      </c>
      <c r="D75" s="71" t="s">
        <v>567</v>
      </c>
      <c r="E75" s="73" t="s">
        <v>568</v>
      </c>
      <c r="F75" s="73" t="n">
        <v>232.03</v>
      </c>
      <c r="G75" s="73" t="n">
        <v>78</v>
      </c>
      <c r="H75" s="73" t="n">
        <v>356</v>
      </c>
      <c r="I75" s="73" t="n">
        <v>184</v>
      </c>
      <c r="J75" s="73" t="n">
        <v>172</v>
      </c>
      <c r="K75" s="73" t="n">
        <v>30</v>
      </c>
      <c r="L75" s="74" t="n">
        <f aca="false">K75/H75*100</f>
        <v>8.42696629213483</v>
      </c>
      <c r="M75" s="73" t="n">
        <v>0</v>
      </c>
      <c r="N75" s="74" t="n">
        <f aca="false">O75/H75*100</f>
        <v>7.14606741573034</v>
      </c>
      <c r="O75" s="73" t="n">
        <v>25.44</v>
      </c>
      <c r="P75" s="73" t="n">
        <v>16.44</v>
      </c>
      <c r="Q75" s="46" t="s">
        <v>45</v>
      </c>
      <c r="R75" s="46" t="s">
        <v>558</v>
      </c>
      <c r="S75" s="46"/>
      <c r="T75" s="46" t="n">
        <v>22</v>
      </c>
      <c r="U75" s="74"/>
      <c r="V75" s="74"/>
      <c r="W75" s="74"/>
      <c r="X75" s="74"/>
      <c r="Y75" s="74"/>
      <c r="Z75" s="74"/>
      <c r="AA75" s="46" t="s">
        <v>82</v>
      </c>
      <c r="AB75" s="46" t="n">
        <v>2</v>
      </c>
      <c r="AC75" s="46" t="s">
        <v>129</v>
      </c>
      <c r="AD75" s="46" t="n">
        <v>24.1604</v>
      </c>
      <c r="AE75" s="46" t="n">
        <v>76.831</v>
      </c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</row>
    <row r="76" customFormat="false" ht="15" hidden="false" customHeight="false" outlineLevel="0" collapsed="false">
      <c r="A76" s="71" t="s">
        <v>415</v>
      </c>
      <c r="B76" s="71" t="s">
        <v>416</v>
      </c>
      <c r="C76" s="51" t="s">
        <v>555</v>
      </c>
      <c r="D76" s="71" t="s">
        <v>569</v>
      </c>
      <c r="E76" s="73" t="s">
        <v>570</v>
      </c>
      <c r="F76" s="73" t="n">
        <v>159</v>
      </c>
      <c r="G76" s="73" t="n">
        <v>119</v>
      </c>
      <c r="H76" s="73" t="n">
        <v>525</v>
      </c>
      <c r="I76" s="73" t="n">
        <v>267</v>
      </c>
      <c r="J76" s="73" t="n">
        <v>258</v>
      </c>
      <c r="K76" s="73" t="n">
        <v>0</v>
      </c>
      <c r="L76" s="74" t="n">
        <f aca="false">K76/H76*100</f>
        <v>0</v>
      </c>
      <c r="M76" s="73" t="n">
        <v>409</v>
      </c>
      <c r="N76" s="74" t="n">
        <f aca="false">O76/H76*100</f>
        <v>7.99047619047619</v>
      </c>
      <c r="O76" s="73" t="n">
        <v>41.95</v>
      </c>
      <c r="P76" s="73" t="n">
        <v>18.48</v>
      </c>
      <c r="Q76" s="46" t="s">
        <v>45</v>
      </c>
      <c r="R76" s="46" t="s">
        <v>558</v>
      </c>
      <c r="S76" s="46"/>
      <c r="T76" s="46" t="n">
        <v>34</v>
      </c>
      <c r="U76" s="74"/>
      <c r="V76" s="74"/>
      <c r="W76" s="74"/>
      <c r="X76" s="74"/>
      <c r="Y76" s="74"/>
      <c r="Z76" s="74"/>
      <c r="AA76" s="46" t="s">
        <v>82</v>
      </c>
      <c r="AB76" s="46" t="n">
        <v>2</v>
      </c>
      <c r="AC76" s="46" t="s">
        <v>129</v>
      </c>
      <c r="AD76" s="46" t="n">
        <v>24.1676</v>
      </c>
      <c r="AE76" s="46" t="n">
        <v>76.8251</v>
      </c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</row>
    <row r="77" customFormat="false" ht="15" hidden="false" customHeight="false" outlineLevel="0" collapsed="false">
      <c r="A77" s="71" t="s">
        <v>415</v>
      </c>
      <c r="B77" s="71" t="s">
        <v>416</v>
      </c>
      <c r="C77" s="51" t="s">
        <v>571</v>
      </c>
      <c r="D77" s="72" t="s">
        <v>572</v>
      </c>
      <c r="E77" s="73" t="s">
        <v>573</v>
      </c>
      <c r="F77" s="73" t="n">
        <v>585.03</v>
      </c>
      <c r="G77" s="73" t="n">
        <v>360</v>
      </c>
      <c r="H77" s="73" t="n">
        <v>1622</v>
      </c>
      <c r="I77" s="73" t="n">
        <v>817</v>
      </c>
      <c r="J77" s="73" t="n">
        <v>805</v>
      </c>
      <c r="K77" s="73" t="n">
        <v>120</v>
      </c>
      <c r="L77" s="74" t="n">
        <f aca="false">K77/H77*100</f>
        <v>7.39827373612824</v>
      </c>
      <c r="M77" s="73" t="n">
        <v>157</v>
      </c>
      <c r="N77" s="74" t="n">
        <f aca="false">O77/H77*100</f>
        <v>4.18495684340321</v>
      </c>
      <c r="O77" s="73" t="n">
        <v>67.88</v>
      </c>
      <c r="P77" s="73" t="n">
        <v>73.14</v>
      </c>
      <c r="Q77" s="46" t="s">
        <v>43</v>
      </c>
      <c r="R77" s="46" t="s">
        <v>574</v>
      </c>
      <c r="S77" s="73"/>
      <c r="T77" s="46" t="n">
        <v>30</v>
      </c>
      <c r="U77" s="74"/>
      <c r="V77" s="74"/>
      <c r="W77" s="74"/>
      <c r="X77" s="74"/>
      <c r="Y77" s="74"/>
      <c r="Z77" s="74"/>
      <c r="AA77" s="46" t="s">
        <v>82</v>
      </c>
      <c r="AB77" s="46" t="n">
        <v>2</v>
      </c>
      <c r="AC77" s="46" t="s">
        <v>129</v>
      </c>
      <c r="AD77" s="46" t="n">
        <v>24.2309</v>
      </c>
      <c r="AE77" s="46" t="n">
        <v>76.7748</v>
      </c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</row>
    <row r="78" customFormat="false" ht="15" hidden="false" customHeight="false" outlineLevel="0" collapsed="false">
      <c r="A78" s="71" t="s">
        <v>415</v>
      </c>
      <c r="B78" s="71" t="s">
        <v>416</v>
      </c>
      <c r="C78" s="51" t="s">
        <v>571</v>
      </c>
      <c r="D78" s="71" t="s">
        <v>575</v>
      </c>
      <c r="E78" s="73" t="s">
        <v>576</v>
      </c>
      <c r="F78" s="73" t="n">
        <v>122.23</v>
      </c>
      <c r="G78" s="73" t="n">
        <v>41</v>
      </c>
      <c r="H78" s="73" t="n">
        <v>180</v>
      </c>
      <c r="I78" s="73" t="n">
        <v>93</v>
      </c>
      <c r="J78" s="73" t="n">
        <v>87</v>
      </c>
      <c r="K78" s="73" t="n">
        <v>6</v>
      </c>
      <c r="L78" s="74" t="n">
        <f aca="false">K78/H78*100</f>
        <v>3.33333333333333</v>
      </c>
      <c r="M78" s="73" t="n">
        <v>0</v>
      </c>
      <c r="N78" s="74" t="n">
        <f aca="false">O78/H78*100</f>
        <v>4.6</v>
      </c>
      <c r="O78" s="73" t="n">
        <v>8.28</v>
      </c>
      <c r="P78" s="73" t="n">
        <v>43.71</v>
      </c>
      <c r="Q78" s="46" t="s">
        <v>43</v>
      </c>
      <c r="R78" s="46" t="s">
        <v>577</v>
      </c>
      <c r="S78" s="73"/>
      <c r="T78" s="46" t="n">
        <v>59</v>
      </c>
      <c r="U78" s="74"/>
      <c r="V78" s="74"/>
      <c r="W78" s="74"/>
      <c r="X78" s="74"/>
      <c r="Y78" s="74"/>
      <c r="Z78" s="74"/>
      <c r="AA78" s="46" t="s">
        <v>82</v>
      </c>
      <c r="AB78" s="46" t="n">
        <v>3</v>
      </c>
      <c r="AC78" s="46" t="s">
        <v>129</v>
      </c>
      <c r="AD78" s="46" t="n">
        <v>24.1873</v>
      </c>
      <c r="AE78" s="46" t="n">
        <v>76.7771</v>
      </c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</row>
    <row r="79" customFormat="false" ht="15" hidden="false" customHeight="false" outlineLevel="0" collapsed="false">
      <c r="A79" s="71" t="s">
        <v>415</v>
      </c>
      <c r="B79" s="71" t="s">
        <v>416</v>
      </c>
      <c r="C79" s="51" t="s">
        <v>571</v>
      </c>
      <c r="D79" s="71" t="s">
        <v>343</v>
      </c>
      <c r="E79" s="73" t="s">
        <v>578</v>
      </c>
      <c r="F79" s="73" t="n">
        <v>230.65</v>
      </c>
      <c r="G79" s="73" t="n">
        <v>88</v>
      </c>
      <c r="H79" s="73" t="n">
        <v>384</v>
      </c>
      <c r="I79" s="73" t="n">
        <v>204</v>
      </c>
      <c r="J79" s="73" t="n">
        <v>180</v>
      </c>
      <c r="K79" s="73" t="n">
        <v>6</v>
      </c>
      <c r="L79" s="74" t="n">
        <f aca="false">K79/H79*100</f>
        <v>1.5625</v>
      </c>
      <c r="M79" s="73" t="n">
        <v>0</v>
      </c>
      <c r="N79" s="74" t="n">
        <f aca="false">O79/H79*100</f>
        <v>0</v>
      </c>
      <c r="O79" s="73" t="n">
        <v>0</v>
      </c>
      <c r="P79" s="73" t="n">
        <v>43.03</v>
      </c>
      <c r="Q79" s="46" t="s">
        <v>43</v>
      </c>
      <c r="R79" s="46" t="s">
        <v>577</v>
      </c>
      <c r="S79" s="74"/>
      <c r="T79" s="46" t="n">
        <v>25.38</v>
      </c>
      <c r="U79" s="74"/>
      <c r="V79" s="74"/>
      <c r="W79" s="74"/>
      <c r="X79" s="74"/>
      <c r="Y79" s="74"/>
      <c r="Z79" s="74"/>
      <c r="AA79" s="46" t="s">
        <v>82</v>
      </c>
      <c r="AB79" s="46" t="n">
        <v>1</v>
      </c>
      <c r="AC79" s="46" t="s">
        <v>129</v>
      </c>
      <c r="AD79" s="46" t="n">
        <v>24.202</v>
      </c>
      <c r="AE79" s="46" t="n">
        <v>76.7658</v>
      </c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</row>
    <row r="80" customFormat="false" ht="15" hidden="false" customHeight="false" outlineLevel="0" collapsed="false">
      <c r="A80" s="71" t="s">
        <v>415</v>
      </c>
      <c r="B80" s="71" t="s">
        <v>416</v>
      </c>
      <c r="C80" s="51" t="s">
        <v>571</v>
      </c>
      <c r="D80" s="71" t="s">
        <v>579</v>
      </c>
      <c r="E80" s="73" t="s">
        <v>580</v>
      </c>
      <c r="F80" s="73" t="n">
        <v>327.07</v>
      </c>
      <c r="G80" s="73" t="n">
        <v>198</v>
      </c>
      <c r="H80" s="73" t="n">
        <v>994</v>
      </c>
      <c r="I80" s="73" t="n">
        <v>490</v>
      </c>
      <c r="J80" s="73" t="n">
        <v>504</v>
      </c>
      <c r="K80" s="73" t="n">
        <v>19</v>
      </c>
      <c r="L80" s="74" t="n">
        <f aca="false">K80/H80*100</f>
        <v>1.91146881287726</v>
      </c>
      <c r="M80" s="73" t="n">
        <v>0</v>
      </c>
      <c r="N80" s="74" t="n">
        <f aca="false">O80/H80*100</f>
        <v>6.31991951710262</v>
      </c>
      <c r="O80" s="73" t="n">
        <v>62.82</v>
      </c>
      <c r="P80" s="73" t="n">
        <v>4.55</v>
      </c>
      <c r="Q80" s="46" t="s">
        <v>43</v>
      </c>
      <c r="R80" s="46" t="s">
        <v>577</v>
      </c>
      <c r="S80" s="74"/>
      <c r="T80" s="46" t="n">
        <v>39</v>
      </c>
      <c r="U80" s="74"/>
      <c r="V80" s="74"/>
      <c r="W80" s="74"/>
      <c r="X80" s="74"/>
      <c r="Y80" s="74"/>
      <c r="Z80" s="74"/>
      <c r="AA80" s="46" t="s">
        <v>82</v>
      </c>
      <c r="AB80" s="46" t="n">
        <v>2</v>
      </c>
      <c r="AC80" s="46" t="s">
        <v>129</v>
      </c>
      <c r="AD80" s="46" t="n">
        <v>24.2118</v>
      </c>
      <c r="AE80" s="46" t="n">
        <v>76.7772</v>
      </c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</row>
    <row r="81" customFormat="false" ht="15" hidden="false" customHeight="false" outlineLevel="0" collapsed="false">
      <c r="A81" s="71" t="s">
        <v>415</v>
      </c>
      <c r="B81" s="71" t="s">
        <v>416</v>
      </c>
      <c r="C81" s="51" t="s">
        <v>571</v>
      </c>
      <c r="D81" s="71" t="s">
        <v>581</v>
      </c>
      <c r="E81" s="73" t="s">
        <v>582</v>
      </c>
      <c r="F81" s="73" t="n">
        <v>382.47</v>
      </c>
      <c r="G81" s="73" t="n">
        <v>136</v>
      </c>
      <c r="H81" s="73" t="n">
        <v>640</v>
      </c>
      <c r="I81" s="73" t="n">
        <v>324</v>
      </c>
      <c r="J81" s="73" t="n">
        <v>316</v>
      </c>
      <c r="K81" s="73" t="n">
        <v>56</v>
      </c>
      <c r="L81" s="74" t="n">
        <f aca="false">K81/H81*100</f>
        <v>8.75</v>
      </c>
      <c r="M81" s="73" t="n">
        <v>0</v>
      </c>
      <c r="N81" s="74" t="n">
        <f aca="false">O81/H81*100</f>
        <v>3.471875</v>
      </c>
      <c r="O81" s="73" t="n">
        <v>22.22</v>
      </c>
      <c r="P81" s="73" t="n">
        <v>0</v>
      </c>
      <c r="Q81" s="46" t="s">
        <v>43</v>
      </c>
      <c r="R81" s="46" t="s">
        <v>574</v>
      </c>
      <c r="S81" s="74"/>
      <c r="T81" s="73"/>
      <c r="U81" s="74"/>
      <c r="V81" s="74"/>
      <c r="W81" s="74"/>
      <c r="X81" s="74"/>
      <c r="Y81" s="74"/>
      <c r="Z81" s="74"/>
      <c r="AA81" s="73"/>
      <c r="AB81" s="74"/>
      <c r="AC81" s="73"/>
      <c r="AD81" s="46" t="n">
        <v>24.228</v>
      </c>
      <c r="AE81" s="46" t="n">
        <v>76.8026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</row>
    <row r="82" customFormat="false" ht="15" hidden="false" customHeight="false" outlineLevel="0" collapsed="false">
      <c r="A82" s="71" t="s">
        <v>415</v>
      </c>
      <c r="B82" s="71" t="s">
        <v>416</v>
      </c>
      <c r="C82" s="51" t="s">
        <v>571</v>
      </c>
      <c r="D82" s="71" t="s">
        <v>583</v>
      </c>
      <c r="E82" s="73" t="s">
        <v>584</v>
      </c>
      <c r="F82" s="73" t="n">
        <v>326.65</v>
      </c>
      <c r="G82" s="73" t="n">
        <v>127</v>
      </c>
      <c r="H82" s="73" t="n">
        <v>645</v>
      </c>
      <c r="I82" s="73" t="n">
        <v>325</v>
      </c>
      <c r="J82" s="73" t="n">
        <v>320</v>
      </c>
      <c r="K82" s="73" t="n">
        <v>49</v>
      </c>
      <c r="L82" s="74" t="n">
        <f aca="false">K82/H82*100</f>
        <v>7.5968992248062</v>
      </c>
      <c r="M82" s="73" t="n">
        <v>585</v>
      </c>
      <c r="N82" s="74" t="n">
        <f aca="false">O82/H82*100</f>
        <v>5.12403100775194</v>
      </c>
      <c r="O82" s="73" t="n">
        <v>33.05</v>
      </c>
      <c r="P82" s="73" t="n">
        <v>98.49</v>
      </c>
      <c r="Q82" s="46" t="s">
        <v>43</v>
      </c>
      <c r="R82" s="46" t="s">
        <v>577</v>
      </c>
      <c r="S82" s="74"/>
      <c r="T82" s="73"/>
      <c r="U82" s="74"/>
      <c r="V82" s="74"/>
      <c r="W82" s="74"/>
      <c r="X82" s="74"/>
      <c r="Y82" s="74"/>
      <c r="Z82" s="74"/>
      <c r="AA82" s="73"/>
      <c r="AB82" s="74"/>
      <c r="AC82" s="73"/>
      <c r="AD82" s="46" t="n">
        <v>24.2297</v>
      </c>
      <c r="AE82" s="46" t="n">
        <v>76.7556</v>
      </c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</row>
    <row r="83" customFormat="false" ht="15" hidden="false" customHeight="false" outlineLevel="0" collapsed="false">
      <c r="A83" s="71" t="s">
        <v>415</v>
      </c>
      <c r="B83" s="71" t="s">
        <v>416</v>
      </c>
      <c r="C83" s="51" t="s">
        <v>571</v>
      </c>
      <c r="D83" s="71" t="s">
        <v>109</v>
      </c>
      <c r="E83" s="73" t="s">
        <v>585</v>
      </c>
      <c r="F83" s="73" t="n">
        <v>184.96</v>
      </c>
      <c r="G83" s="73" t="n">
        <v>104</v>
      </c>
      <c r="H83" s="73" t="n">
        <v>461</v>
      </c>
      <c r="I83" s="73" t="n">
        <v>253</v>
      </c>
      <c r="J83" s="73" t="n">
        <v>208</v>
      </c>
      <c r="K83" s="73" t="n">
        <v>50</v>
      </c>
      <c r="L83" s="74" t="n">
        <f aca="false">K83/H83*100</f>
        <v>10.8459869848156</v>
      </c>
      <c r="M83" s="73" t="n">
        <v>226</v>
      </c>
      <c r="N83" s="74" t="n">
        <f aca="false">O83/H83*100</f>
        <v>2.62039045553145</v>
      </c>
      <c r="O83" s="73" t="n">
        <v>12.08</v>
      </c>
      <c r="P83" s="73" t="n">
        <v>37.56</v>
      </c>
      <c r="Q83" s="46" t="s">
        <v>43</v>
      </c>
      <c r="R83" s="46" t="s">
        <v>574</v>
      </c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46" t="n">
        <v>24.2407</v>
      </c>
      <c r="AE83" s="46" t="n">
        <v>76.7687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</row>
    <row r="84" customFormat="false" ht="15" hidden="false" customHeight="false" outlineLevel="0" collapsed="false">
      <c r="A84" s="71" t="s">
        <v>415</v>
      </c>
      <c r="B84" s="71" t="s">
        <v>416</v>
      </c>
      <c r="C84" s="51" t="s">
        <v>571</v>
      </c>
      <c r="D84" s="71" t="s">
        <v>586</v>
      </c>
      <c r="E84" s="73" t="s">
        <v>587</v>
      </c>
      <c r="F84" s="73" t="n">
        <v>135.29</v>
      </c>
      <c r="G84" s="73" t="n">
        <v>144</v>
      </c>
      <c r="H84" s="73" t="n">
        <v>625</v>
      </c>
      <c r="I84" s="73" t="n">
        <v>316</v>
      </c>
      <c r="J84" s="73" t="n">
        <v>309</v>
      </c>
      <c r="K84" s="73" t="n">
        <v>0</v>
      </c>
      <c r="L84" s="74" t="n">
        <f aca="false">K84/H84*100</f>
        <v>0</v>
      </c>
      <c r="M84" s="73" t="n">
        <v>0</v>
      </c>
      <c r="N84" s="74" t="n">
        <f aca="false">O84/H84*100</f>
        <v>2.088</v>
      </c>
      <c r="O84" s="73" t="n">
        <v>13.05</v>
      </c>
      <c r="P84" s="73" t="n">
        <v>7.57</v>
      </c>
      <c r="Q84" s="46" t="s">
        <v>43</v>
      </c>
      <c r="R84" s="46" t="s">
        <v>574</v>
      </c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46" t="n">
        <v>24.2461</v>
      </c>
      <c r="AE84" s="46" t="n">
        <v>76.772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</row>
    <row r="85" customFormat="false" ht="15" hidden="false" customHeight="false" outlineLevel="0" collapsed="false">
      <c r="A85" s="71" t="s">
        <v>415</v>
      </c>
      <c r="B85" s="71" t="s">
        <v>416</v>
      </c>
      <c r="C85" s="51" t="s">
        <v>571</v>
      </c>
      <c r="D85" s="71" t="s">
        <v>588</v>
      </c>
      <c r="E85" s="73" t="s">
        <v>589</v>
      </c>
      <c r="F85" s="73" t="n">
        <v>230.21</v>
      </c>
      <c r="G85" s="73" t="n">
        <v>103</v>
      </c>
      <c r="H85" s="73" t="n">
        <v>410</v>
      </c>
      <c r="I85" s="73" t="n">
        <v>216</v>
      </c>
      <c r="J85" s="73" t="n">
        <v>194</v>
      </c>
      <c r="K85" s="73" t="n">
        <v>28</v>
      </c>
      <c r="L85" s="74" t="n">
        <f aca="false">K85/H85*100</f>
        <v>6.82926829268293</v>
      </c>
      <c r="M85" s="73" t="n">
        <v>44</v>
      </c>
      <c r="N85" s="74" t="n">
        <f aca="false">O85/H85*100</f>
        <v>6.60243902439024</v>
      </c>
      <c r="O85" s="73" t="n">
        <v>27.07</v>
      </c>
      <c r="P85" s="73" t="n">
        <v>31.21</v>
      </c>
      <c r="Q85" s="46" t="s">
        <v>43</v>
      </c>
      <c r="R85" s="46" t="s">
        <v>577</v>
      </c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46" t="n">
        <v>24.2495</v>
      </c>
      <c r="AE85" s="46" t="n">
        <v>76.7781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</row>
    <row r="86" customFormat="false" ht="15" hidden="false" customHeight="false" outlineLevel="0" collapsed="false">
      <c r="A86" s="71" t="s">
        <v>415</v>
      </c>
      <c r="B86" s="71" t="s">
        <v>416</v>
      </c>
      <c r="C86" s="51" t="s">
        <v>590</v>
      </c>
      <c r="D86" s="72" t="s">
        <v>591</v>
      </c>
      <c r="E86" s="73" t="s">
        <v>592</v>
      </c>
      <c r="F86" s="73" t="n">
        <v>708.32</v>
      </c>
      <c r="G86" s="73" t="n">
        <v>410</v>
      </c>
      <c r="H86" s="73" t="n">
        <v>2246</v>
      </c>
      <c r="I86" s="73" t="n">
        <v>1107</v>
      </c>
      <c r="J86" s="73" t="n">
        <v>1139</v>
      </c>
      <c r="K86" s="73" t="n">
        <v>263</v>
      </c>
      <c r="L86" s="74" t="n">
        <f aca="false">K86/H86*100</f>
        <v>11.7097061442565</v>
      </c>
      <c r="M86" s="73" t="n">
        <v>94</v>
      </c>
      <c r="N86" s="74" t="n">
        <f aca="false">O86/H86*100</f>
        <v>1.21104185218166</v>
      </c>
      <c r="O86" s="73" t="n">
        <v>27.2</v>
      </c>
      <c r="P86" s="73" t="n">
        <v>5.62</v>
      </c>
      <c r="Q86" s="46"/>
      <c r="R86" s="46" t="s">
        <v>45</v>
      </c>
      <c r="S86" s="46"/>
      <c r="T86" s="74"/>
      <c r="U86" s="74" t="s">
        <v>49</v>
      </c>
      <c r="V86" s="74" t="s">
        <v>49</v>
      </c>
      <c r="W86" s="74"/>
      <c r="X86" s="74"/>
      <c r="Y86" s="74"/>
      <c r="Z86" s="74"/>
      <c r="AA86" s="74"/>
      <c r="AB86" s="74"/>
      <c r="AC86" s="74"/>
      <c r="AD86" s="46"/>
      <c r="AE86" s="4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</row>
    <row r="87" customFormat="false" ht="15" hidden="false" customHeight="false" outlineLevel="0" collapsed="false">
      <c r="A87" s="71" t="s">
        <v>415</v>
      </c>
      <c r="B87" s="71" t="s">
        <v>416</v>
      </c>
      <c r="C87" s="51" t="s">
        <v>590</v>
      </c>
      <c r="D87" s="71" t="s">
        <v>593</v>
      </c>
      <c r="E87" s="73" t="s">
        <v>594</v>
      </c>
      <c r="F87" s="73" t="n">
        <v>108.77</v>
      </c>
      <c r="G87" s="73" t="n">
        <v>14</v>
      </c>
      <c r="H87" s="73" t="n">
        <v>58</v>
      </c>
      <c r="I87" s="73" t="n">
        <v>30</v>
      </c>
      <c r="J87" s="73" t="n">
        <v>28</v>
      </c>
      <c r="K87" s="73" t="n">
        <v>0</v>
      </c>
      <c r="L87" s="74" t="n">
        <f aca="false">K87/H87*100</f>
        <v>0</v>
      </c>
      <c r="M87" s="73" t="n">
        <v>0</v>
      </c>
      <c r="N87" s="74" t="n">
        <f aca="false">O87/H87*100</f>
        <v>0</v>
      </c>
      <c r="O87" s="73" t="n">
        <v>0</v>
      </c>
      <c r="P87" s="73" t="n">
        <v>23.83</v>
      </c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</row>
    <row r="88" customFormat="false" ht="15" hidden="false" customHeight="false" outlineLevel="0" collapsed="false">
      <c r="A88" s="71" t="s">
        <v>415</v>
      </c>
      <c r="B88" s="71" t="s">
        <v>416</v>
      </c>
      <c r="C88" s="51" t="s">
        <v>590</v>
      </c>
      <c r="D88" s="71" t="s">
        <v>595</v>
      </c>
      <c r="E88" s="73" t="s">
        <v>596</v>
      </c>
      <c r="F88" s="73" t="n">
        <v>125.22</v>
      </c>
      <c r="G88" s="73" t="n">
        <v>130</v>
      </c>
      <c r="H88" s="73" t="n">
        <v>536</v>
      </c>
      <c r="I88" s="73" t="n">
        <v>266</v>
      </c>
      <c r="J88" s="73" t="n">
        <v>270</v>
      </c>
      <c r="K88" s="73" t="n">
        <v>25</v>
      </c>
      <c r="L88" s="74" t="n">
        <f aca="false">K88/H88*100</f>
        <v>4.66417910447761</v>
      </c>
      <c r="M88" s="73" t="n">
        <v>0</v>
      </c>
      <c r="N88" s="74" t="n">
        <f aca="false">O88/H88*100</f>
        <v>5.76492537313433</v>
      </c>
      <c r="O88" s="73" t="n">
        <v>30.9</v>
      </c>
      <c r="P88" s="73" t="n">
        <v>0</v>
      </c>
      <c r="Q88" s="46"/>
      <c r="R88" s="46" t="s">
        <v>45</v>
      </c>
      <c r="S88" s="46"/>
      <c r="T88" s="74" t="n">
        <v>30.96</v>
      </c>
      <c r="U88" s="74"/>
      <c r="V88" s="74"/>
      <c r="W88" s="74"/>
      <c r="X88" s="74"/>
      <c r="Y88" s="74"/>
      <c r="Z88" s="74"/>
      <c r="AA88" s="74"/>
      <c r="AB88" s="74"/>
      <c r="AC88" s="74"/>
      <c r="AD88" s="46"/>
      <c r="AE88" s="4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</row>
    <row r="89" s="26" customFormat="true" ht="15" hidden="false" customHeight="false" outlineLevel="0" collapsed="false">
      <c r="A89" s="51" t="s">
        <v>415</v>
      </c>
      <c r="B89" s="51" t="s">
        <v>416</v>
      </c>
      <c r="C89" s="51" t="s">
        <v>590</v>
      </c>
      <c r="D89" s="51" t="s">
        <v>595</v>
      </c>
      <c r="E89" s="73"/>
      <c r="F89" s="73"/>
      <c r="G89" s="73"/>
      <c r="H89" s="73"/>
      <c r="I89" s="73"/>
      <c r="J89" s="73"/>
      <c r="K89" s="73"/>
      <c r="L89" s="74" t="e">
        <f aca="false">K89/H89*100</f>
        <v>#DIV/0!</v>
      </c>
      <c r="M89" s="73"/>
      <c r="N89" s="74" t="e">
        <f aca="false">O89/H89*100</f>
        <v>#DIV/0!</v>
      </c>
      <c r="O89" s="73"/>
      <c r="P89" s="73"/>
      <c r="Q89" s="46"/>
      <c r="R89" s="46" t="s">
        <v>45</v>
      </c>
      <c r="S89" s="46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46" t="n">
        <v>24.3485</v>
      </c>
      <c r="AE89" s="46" t="n">
        <v>76.78292</v>
      </c>
    </row>
    <row r="90" customFormat="false" ht="15" hidden="false" customHeight="false" outlineLevel="0" collapsed="false">
      <c r="A90" s="71" t="s">
        <v>415</v>
      </c>
      <c r="B90" s="71" t="s">
        <v>416</v>
      </c>
      <c r="C90" s="51" t="s">
        <v>590</v>
      </c>
      <c r="D90" s="71" t="s">
        <v>597</v>
      </c>
      <c r="E90" s="73" t="s">
        <v>598</v>
      </c>
      <c r="F90" s="73" t="n">
        <v>158.31</v>
      </c>
      <c r="G90" s="73" t="n">
        <v>127</v>
      </c>
      <c r="H90" s="73" t="n">
        <v>621</v>
      </c>
      <c r="I90" s="73" t="n">
        <v>302</v>
      </c>
      <c r="J90" s="73" t="n">
        <v>319</v>
      </c>
      <c r="K90" s="73" t="n">
        <v>86</v>
      </c>
      <c r="L90" s="74" t="n">
        <f aca="false">K90/H90*100</f>
        <v>13.8486312399356</v>
      </c>
      <c r="M90" s="73" t="n">
        <v>194</v>
      </c>
      <c r="N90" s="74" t="n">
        <f aca="false">O90/H90*100</f>
        <v>4.63123993558776</v>
      </c>
      <c r="O90" s="73" t="n">
        <v>28.76</v>
      </c>
      <c r="P90" s="73" t="n">
        <v>0</v>
      </c>
      <c r="Q90" s="46"/>
      <c r="R90" s="46" t="s">
        <v>45</v>
      </c>
      <c r="S90" s="46"/>
      <c r="T90" s="46" t="n">
        <v>30.91</v>
      </c>
      <c r="U90" s="74"/>
      <c r="V90" s="74"/>
      <c r="W90" s="74"/>
      <c r="X90" s="74"/>
      <c r="Y90" s="74"/>
      <c r="Z90" s="74"/>
      <c r="AA90" s="46"/>
      <c r="AB90" s="46"/>
      <c r="AC90" s="46"/>
      <c r="AD90" s="46"/>
      <c r="AE90" s="4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</row>
    <row r="91" customFormat="false" ht="15" hidden="false" customHeight="false" outlineLevel="0" collapsed="false">
      <c r="A91" s="71" t="s">
        <v>415</v>
      </c>
      <c r="B91" s="71" t="s">
        <v>416</v>
      </c>
      <c r="C91" s="51" t="s">
        <v>590</v>
      </c>
      <c r="D91" s="71" t="s">
        <v>599</v>
      </c>
      <c r="E91" s="73" t="s">
        <v>600</v>
      </c>
      <c r="F91" s="73" t="n">
        <v>368</v>
      </c>
      <c r="G91" s="73" t="n">
        <v>307</v>
      </c>
      <c r="H91" s="73" t="n">
        <v>1409</v>
      </c>
      <c r="I91" s="73" t="n">
        <v>716</v>
      </c>
      <c r="J91" s="73" t="n">
        <v>693</v>
      </c>
      <c r="K91" s="73" t="n">
        <v>142</v>
      </c>
      <c r="L91" s="74" t="n">
        <f aca="false">K91/H91*100</f>
        <v>10.0780695528744</v>
      </c>
      <c r="M91" s="73" t="n">
        <v>121</v>
      </c>
      <c r="N91" s="74" t="n">
        <f aca="false">O91/H91*100</f>
        <v>3.02129169623847</v>
      </c>
      <c r="O91" s="73" t="n">
        <v>42.57</v>
      </c>
      <c r="P91" s="73" t="n">
        <v>0</v>
      </c>
      <c r="Q91" s="46"/>
      <c r="R91" s="46" t="s">
        <v>45</v>
      </c>
      <c r="S91" s="46"/>
      <c r="T91" s="74" t="n">
        <v>42.57</v>
      </c>
      <c r="U91" s="74"/>
      <c r="V91" s="74"/>
      <c r="W91" s="74"/>
      <c r="X91" s="74"/>
      <c r="Y91" s="74"/>
      <c r="Z91" s="74"/>
      <c r="AA91" s="74"/>
      <c r="AB91" s="74"/>
      <c r="AC91" s="74"/>
      <c r="AD91" s="46"/>
      <c r="AE91" s="4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</row>
    <row r="92" customFormat="false" ht="15" hidden="false" customHeight="false" outlineLevel="0" collapsed="false">
      <c r="A92" s="71" t="s">
        <v>415</v>
      </c>
      <c r="B92" s="71" t="s">
        <v>416</v>
      </c>
      <c r="C92" s="51" t="s">
        <v>590</v>
      </c>
      <c r="D92" s="71" t="s">
        <v>601</v>
      </c>
      <c r="E92" s="73" t="s">
        <v>602</v>
      </c>
      <c r="F92" s="73" t="n">
        <v>319.05</v>
      </c>
      <c r="G92" s="73" t="n">
        <v>206</v>
      </c>
      <c r="H92" s="73" t="n">
        <v>984</v>
      </c>
      <c r="I92" s="73" t="n">
        <v>503</v>
      </c>
      <c r="J92" s="73" t="n">
        <v>481</v>
      </c>
      <c r="K92" s="73" t="n">
        <v>94</v>
      </c>
      <c r="L92" s="74" t="n">
        <f aca="false">K92/H92*100</f>
        <v>9.55284552845528</v>
      </c>
      <c r="M92" s="73" t="n">
        <v>142</v>
      </c>
      <c r="N92" s="74" t="n">
        <f aca="false">O92/H92*100</f>
        <v>2.68292682926829</v>
      </c>
      <c r="O92" s="73" t="n">
        <v>26.4</v>
      </c>
      <c r="P92" s="73" t="n">
        <v>0</v>
      </c>
      <c r="Q92" s="46"/>
      <c r="R92" s="46" t="s">
        <v>45</v>
      </c>
      <c r="S92" s="46"/>
      <c r="T92" s="46"/>
      <c r="U92" s="74"/>
      <c r="V92" s="74"/>
      <c r="W92" s="74"/>
      <c r="X92" s="74"/>
      <c r="Y92" s="74"/>
      <c r="Z92" s="74"/>
      <c r="AA92" s="46" t="s">
        <v>150</v>
      </c>
      <c r="AB92" s="46" t="n">
        <v>1.4</v>
      </c>
      <c r="AC92" s="46"/>
      <c r="AD92" s="46"/>
      <c r="AE92" s="4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</row>
    <row r="93" customFormat="false" ht="15" hidden="false" customHeight="false" outlineLevel="0" collapsed="false">
      <c r="A93" s="71" t="s">
        <v>415</v>
      </c>
      <c r="B93" s="71" t="s">
        <v>416</v>
      </c>
      <c r="C93" s="51" t="s">
        <v>603</v>
      </c>
      <c r="D93" s="72" t="s">
        <v>604</v>
      </c>
      <c r="E93" s="73" t="s">
        <v>605</v>
      </c>
      <c r="F93" s="73" t="n">
        <v>542.84</v>
      </c>
      <c r="G93" s="73" t="n">
        <v>247</v>
      </c>
      <c r="H93" s="73" t="n">
        <v>1309</v>
      </c>
      <c r="I93" s="73" t="n">
        <v>670</v>
      </c>
      <c r="J93" s="73" t="n">
        <v>639</v>
      </c>
      <c r="K93" s="73" t="n">
        <v>200</v>
      </c>
      <c r="L93" s="74" t="n">
        <f aca="false">K93/H93*100</f>
        <v>15.2788388082506</v>
      </c>
      <c r="M93" s="73" t="n">
        <v>498</v>
      </c>
      <c r="N93" s="74" t="n">
        <f aca="false">O93/H93*100</f>
        <v>3.01069518716578</v>
      </c>
      <c r="O93" s="73" t="n">
        <v>39.41</v>
      </c>
      <c r="P93" s="73" t="n">
        <v>168.18</v>
      </c>
      <c r="Q93" s="82" t="s">
        <v>45</v>
      </c>
      <c r="R93" s="84" t="n">
        <v>44762</v>
      </c>
      <c r="S93" s="82"/>
      <c r="T93" s="46"/>
      <c r="U93" s="74"/>
      <c r="V93" s="74" t="s">
        <v>49</v>
      </c>
      <c r="W93" s="74"/>
      <c r="X93" s="74"/>
      <c r="Y93" s="74"/>
      <c r="Z93" s="74"/>
      <c r="AA93" s="46"/>
      <c r="AB93" s="46"/>
      <c r="AC93" s="46"/>
      <c r="AD93" s="82" t="n">
        <v>24.3637</v>
      </c>
      <c r="AE93" s="82" t="n">
        <v>76.690213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</row>
    <row r="94" customFormat="false" ht="15" hidden="false" customHeight="false" outlineLevel="0" collapsed="false">
      <c r="A94" s="71" t="s">
        <v>415</v>
      </c>
      <c r="B94" s="71" t="s">
        <v>416</v>
      </c>
      <c r="C94" s="51" t="s">
        <v>603</v>
      </c>
      <c r="D94" s="71" t="s">
        <v>120</v>
      </c>
      <c r="E94" s="73" t="s">
        <v>606</v>
      </c>
      <c r="F94" s="73" t="n">
        <v>385.85</v>
      </c>
      <c r="G94" s="73" t="n">
        <v>176</v>
      </c>
      <c r="H94" s="73" t="n">
        <v>963</v>
      </c>
      <c r="I94" s="73" t="n">
        <v>499</v>
      </c>
      <c r="J94" s="73" t="n">
        <v>464</v>
      </c>
      <c r="K94" s="73" t="n">
        <v>146</v>
      </c>
      <c r="L94" s="74" t="n">
        <f aca="false">K94/H94*100</f>
        <v>15.1609553478712</v>
      </c>
      <c r="M94" s="73" t="n">
        <v>411</v>
      </c>
      <c r="N94" s="74" t="n">
        <f aca="false">O94/H94*100</f>
        <v>5.41121495327103</v>
      </c>
      <c r="O94" s="73" t="n">
        <v>52.11</v>
      </c>
      <c r="P94" s="73" t="n">
        <v>69.91</v>
      </c>
      <c r="Q94" s="82" t="s">
        <v>45</v>
      </c>
      <c r="R94" s="85" t="n">
        <v>44762</v>
      </c>
      <c r="S94" s="82"/>
      <c r="T94" s="46" t="n">
        <v>42.57</v>
      </c>
      <c r="U94" s="74"/>
      <c r="V94" s="74"/>
      <c r="W94" s="74"/>
      <c r="X94" s="74"/>
      <c r="Y94" s="74"/>
      <c r="Z94" s="74"/>
      <c r="AA94" s="46" t="s">
        <v>45</v>
      </c>
      <c r="AB94" s="46" t="n">
        <v>14.5</v>
      </c>
      <c r="AC94" s="46"/>
      <c r="AD94" s="82" t="n">
        <v>24.376227</v>
      </c>
      <c r="AE94" s="82" t="n">
        <v>76.376227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</row>
    <row r="95" customFormat="false" ht="15" hidden="false" customHeight="false" outlineLevel="0" collapsed="false">
      <c r="A95" s="71" t="s">
        <v>415</v>
      </c>
      <c r="B95" s="71" t="s">
        <v>416</v>
      </c>
      <c r="C95" s="51" t="s">
        <v>603</v>
      </c>
      <c r="D95" s="71" t="s">
        <v>607</v>
      </c>
      <c r="E95" s="73" t="s">
        <v>608</v>
      </c>
      <c r="F95" s="73" t="n">
        <v>181.12</v>
      </c>
      <c r="G95" s="73" t="n">
        <v>115</v>
      </c>
      <c r="H95" s="73" t="n">
        <v>584</v>
      </c>
      <c r="I95" s="73" t="n">
        <v>292</v>
      </c>
      <c r="J95" s="73" t="n">
        <v>292</v>
      </c>
      <c r="K95" s="73" t="n">
        <v>37</v>
      </c>
      <c r="L95" s="74" t="n">
        <f aca="false">K95/H95*100</f>
        <v>6.33561643835616</v>
      </c>
      <c r="M95" s="73" t="n">
        <v>0</v>
      </c>
      <c r="N95" s="74" t="n">
        <f aca="false">O95/H95*100</f>
        <v>1.93664383561644</v>
      </c>
      <c r="O95" s="73" t="n">
        <v>11.31</v>
      </c>
      <c r="P95" s="73" t="n">
        <v>38.5</v>
      </c>
      <c r="Q95" s="82" t="s">
        <v>45</v>
      </c>
      <c r="R95" s="85" t="n">
        <v>44762</v>
      </c>
      <c r="S95" s="82"/>
      <c r="T95" s="46"/>
      <c r="U95" s="74"/>
      <c r="V95" s="74"/>
      <c r="W95" s="74"/>
      <c r="X95" s="74"/>
      <c r="Y95" s="74"/>
      <c r="Z95" s="74"/>
      <c r="AA95" s="46" t="s">
        <v>150</v>
      </c>
      <c r="AB95" s="46" t="n">
        <v>18</v>
      </c>
      <c r="AC95" s="46"/>
      <c r="AD95" s="82" t="n">
        <v>24.368182</v>
      </c>
      <c r="AE95" s="82" t="n">
        <v>76.715194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</row>
    <row r="96" customFormat="false" ht="15" hidden="false" customHeight="false" outlineLevel="0" collapsed="false">
      <c r="A96" s="71" t="s">
        <v>415</v>
      </c>
      <c r="B96" s="71" t="s">
        <v>416</v>
      </c>
      <c r="C96" s="51" t="s">
        <v>603</v>
      </c>
      <c r="D96" s="71" t="s">
        <v>609</v>
      </c>
      <c r="E96" s="73" t="s">
        <v>610</v>
      </c>
      <c r="F96" s="73" t="n">
        <v>348.94</v>
      </c>
      <c r="G96" s="73" t="n">
        <v>131</v>
      </c>
      <c r="H96" s="73" t="n">
        <v>654</v>
      </c>
      <c r="I96" s="73" t="n">
        <v>319</v>
      </c>
      <c r="J96" s="73" t="n">
        <v>335</v>
      </c>
      <c r="K96" s="73" t="n">
        <v>83</v>
      </c>
      <c r="L96" s="74" t="n">
        <f aca="false">K96/H96*100</f>
        <v>12.6911314984709</v>
      </c>
      <c r="M96" s="73" t="n">
        <v>304</v>
      </c>
      <c r="N96" s="74" t="n">
        <f aca="false">O96/H96*100</f>
        <v>5.1085626911315</v>
      </c>
      <c r="O96" s="73" t="n">
        <v>33.41</v>
      </c>
      <c r="P96" s="73" t="n">
        <v>97.56</v>
      </c>
      <c r="Q96" s="82" t="s">
        <v>45</v>
      </c>
      <c r="R96" s="84" t="n">
        <v>44762</v>
      </c>
      <c r="S96" s="82"/>
      <c r="T96" s="46" t="n">
        <v>30.15</v>
      </c>
      <c r="U96" s="74"/>
      <c r="V96" s="74"/>
      <c r="W96" s="74"/>
      <c r="X96" s="74"/>
      <c r="Y96" s="74"/>
      <c r="Z96" s="74"/>
      <c r="AA96" s="46" t="s">
        <v>45</v>
      </c>
      <c r="AB96" s="46" t="n">
        <v>36</v>
      </c>
      <c r="AC96" s="46" t="s">
        <v>485</v>
      </c>
      <c r="AD96" s="82" t="n">
        <v>24.381047</v>
      </c>
      <c r="AE96" s="82" t="n">
        <v>76.69496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</row>
    <row r="97" customFormat="false" ht="15" hidden="false" customHeight="false" outlineLevel="0" collapsed="false">
      <c r="A97" s="71" t="s">
        <v>415</v>
      </c>
      <c r="B97" s="71" t="s">
        <v>416</v>
      </c>
      <c r="C97" s="51" t="s">
        <v>603</v>
      </c>
      <c r="D97" s="71" t="s">
        <v>611</v>
      </c>
      <c r="E97" s="73" t="s">
        <v>612</v>
      </c>
      <c r="F97" s="73" t="n">
        <v>227.97</v>
      </c>
      <c r="G97" s="73" t="n">
        <v>103</v>
      </c>
      <c r="H97" s="73" t="n">
        <v>569</v>
      </c>
      <c r="I97" s="73" t="n">
        <v>298</v>
      </c>
      <c r="J97" s="73" t="n">
        <v>271</v>
      </c>
      <c r="K97" s="73" t="n">
        <v>21</v>
      </c>
      <c r="L97" s="74" t="n">
        <f aca="false">K97/H97*100</f>
        <v>3.69068541300527</v>
      </c>
      <c r="M97" s="73" t="n">
        <v>533</v>
      </c>
      <c r="N97" s="74" t="n">
        <f aca="false">O97/H97*100</f>
        <v>2.95079086115993</v>
      </c>
      <c r="O97" s="73" t="n">
        <v>16.79</v>
      </c>
      <c r="P97" s="73" t="n">
        <v>22.76</v>
      </c>
      <c r="Q97" s="82" t="s">
        <v>45</v>
      </c>
      <c r="R97" s="84" t="n">
        <v>44762</v>
      </c>
      <c r="S97" s="82"/>
      <c r="T97" s="82" t="n">
        <v>35.96</v>
      </c>
      <c r="U97" s="74"/>
      <c r="V97" s="74"/>
      <c r="W97" s="74"/>
      <c r="X97" s="74"/>
      <c r="Y97" s="74"/>
      <c r="Z97" s="74"/>
      <c r="AA97" s="82" t="s">
        <v>82</v>
      </c>
      <c r="AB97" s="82" t="n">
        <v>17</v>
      </c>
      <c r="AC97" s="82" t="s">
        <v>613</v>
      </c>
      <c r="AD97" s="82" t="n">
        <v>24.388701</v>
      </c>
      <c r="AE97" s="82" t="n">
        <v>76.697202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</row>
    <row r="98" customFormat="false" ht="15" hidden="false" customHeight="false" outlineLevel="0" collapsed="false">
      <c r="A98" s="71" t="s">
        <v>415</v>
      </c>
      <c r="B98" s="71" t="s">
        <v>416</v>
      </c>
      <c r="C98" s="51" t="s">
        <v>603</v>
      </c>
      <c r="D98" s="71" t="s">
        <v>614</v>
      </c>
      <c r="E98" s="73" t="s">
        <v>615</v>
      </c>
      <c r="F98" s="73" t="n">
        <v>276.93</v>
      </c>
      <c r="G98" s="73" t="n">
        <v>86</v>
      </c>
      <c r="H98" s="73" t="n">
        <v>356</v>
      </c>
      <c r="I98" s="73" t="n">
        <v>190</v>
      </c>
      <c r="J98" s="73" t="n">
        <v>166</v>
      </c>
      <c r="K98" s="73" t="n">
        <v>7</v>
      </c>
      <c r="L98" s="74" t="n">
        <f aca="false">K98/H98*100</f>
        <v>1.96629213483146</v>
      </c>
      <c r="M98" s="73" t="n">
        <v>48</v>
      </c>
      <c r="N98" s="74" t="n">
        <f aca="false">O98/H98*100</f>
        <v>3.88202247191011</v>
      </c>
      <c r="O98" s="73" t="n">
        <v>13.82</v>
      </c>
      <c r="P98" s="73" t="n">
        <v>62.02</v>
      </c>
      <c r="Q98" s="82" t="s">
        <v>45</v>
      </c>
      <c r="R98" s="84" t="n">
        <v>44762</v>
      </c>
      <c r="S98" s="82"/>
      <c r="T98" s="82" t="n">
        <v>10.3</v>
      </c>
      <c r="U98" s="74"/>
      <c r="V98" s="74"/>
      <c r="W98" s="74"/>
      <c r="X98" s="74"/>
      <c r="Y98" s="74"/>
      <c r="Z98" s="74"/>
      <c r="AA98" s="82" t="s">
        <v>43</v>
      </c>
      <c r="AB98" s="82" t="n">
        <v>20</v>
      </c>
      <c r="AC98" s="82"/>
      <c r="AD98" s="82" t="n">
        <v>24.390953</v>
      </c>
      <c r="AE98" s="82" t="n">
        <v>76.726257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</row>
    <row r="99" customFormat="false" ht="15" hidden="false" customHeight="false" outlineLevel="0" collapsed="false">
      <c r="A99" s="71" t="s">
        <v>415</v>
      </c>
      <c r="B99" s="71" t="s">
        <v>416</v>
      </c>
      <c r="C99" s="51" t="s">
        <v>603</v>
      </c>
      <c r="D99" s="71" t="s">
        <v>121</v>
      </c>
      <c r="E99" s="73" t="s">
        <v>616</v>
      </c>
      <c r="F99" s="73" t="n">
        <v>151.12</v>
      </c>
      <c r="G99" s="73" t="n">
        <v>55</v>
      </c>
      <c r="H99" s="73" t="n">
        <v>285</v>
      </c>
      <c r="I99" s="73" t="n">
        <v>146</v>
      </c>
      <c r="J99" s="73" t="n">
        <v>139</v>
      </c>
      <c r="K99" s="73" t="n">
        <v>48</v>
      </c>
      <c r="L99" s="74" t="n">
        <f aca="false">K99/H99*100</f>
        <v>16.8421052631579</v>
      </c>
      <c r="M99" s="73" t="n">
        <v>0</v>
      </c>
      <c r="N99" s="74" t="n">
        <f aca="false">O99/H99*100</f>
        <v>5.80701754385965</v>
      </c>
      <c r="O99" s="73" t="n">
        <v>16.55</v>
      </c>
      <c r="P99" s="73" t="n">
        <v>29.4</v>
      </c>
      <c r="Q99" s="82" t="s">
        <v>45</v>
      </c>
      <c r="R99" s="84" t="n">
        <v>44762</v>
      </c>
      <c r="S99" s="82"/>
      <c r="T99" s="46" t="n">
        <v>6.55</v>
      </c>
      <c r="U99" s="74"/>
      <c r="V99" s="74"/>
      <c r="W99" s="74"/>
      <c r="X99" s="74"/>
      <c r="Y99" s="74"/>
      <c r="Z99" s="74"/>
      <c r="AA99" s="46" t="s">
        <v>82</v>
      </c>
      <c r="AB99" s="46" t="n">
        <v>10</v>
      </c>
      <c r="AC99" s="46" t="s">
        <v>500</v>
      </c>
      <c r="AD99" s="82" t="n">
        <v>24.400857</v>
      </c>
      <c r="AE99" s="82" t="n">
        <v>76.710247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</row>
    <row r="100" customFormat="false" ht="15" hidden="false" customHeight="false" outlineLevel="0" collapsed="false">
      <c r="A100" s="71" t="s">
        <v>415</v>
      </c>
      <c r="B100" s="71" t="s">
        <v>416</v>
      </c>
      <c r="C100" s="51" t="s">
        <v>603</v>
      </c>
      <c r="D100" s="71" t="s">
        <v>617</v>
      </c>
      <c r="E100" s="73" t="s">
        <v>618</v>
      </c>
      <c r="F100" s="73" t="n">
        <v>232.48</v>
      </c>
      <c r="G100" s="73" t="n">
        <v>131</v>
      </c>
      <c r="H100" s="73" t="n">
        <v>676</v>
      </c>
      <c r="I100" s="73" t="n">
        <v>351</v>
      </c>
      <c r="J100" s="73" t="n">
        <v>325</v>
      </c>
      <c r="K100" s="73" t="n">
        <v>109</v>
      </c>
      <c r="L100" s="74" t="n">
        <f aca="false">K100/H100*100</f>
        <v>16.1242603550296</v>
      </c>
      <c r="M100" s="73" t="n">
        <v>424</v>
      </c>
      <c r="N100" s="74" t="n">
        <f aca="false">O100/H100*100</f>
        <v>5.27958579881657</v>
      </c>
      <c r="O100" s="73" t="n">
        <v>35.69</v>
      </c>
      <c r="P100" s="73" t="n">
        <v>30.32</v>
      </c>
      <c r="Q100" s="82" t="s">
        <v>45</v>
      </c>
      <c r="R100" s="85" t="n">
        <v>44762</v>
      </c>
      <c r="S100" s="82"/>
      <c r="T100" s="82" t="n">
        <v>10.36</v>
      </c>
      <c r="U100" s="74"/>
      <c r="V100" s="74"/>
      <c r="W100" s="74"/>
      <c r="X100" s="74"/>
      <c r="Y100" s="74"/>
      <c r="Z100" s="74"/>
      <c r="AA100" s="82" t="s">
        <v>45</v>
      </c>
      <c r="AB100" s="82" t="n">
        <v>5</v>
      </c>
      <c r="AC100" s="82"/>
      <c r="AD100" s="82" t="n">
        <v>24.39173</v>
      </c>
      <c r="AE100" s="82" t="n">
        <v>76.698398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</row>
    <row r="101" customFormat="false" ht="15" hidden="false" customHeight="false" outlineLevel="0" collapsed="false">
      <c r="A101" s="71" t="s">
        <v>415</v>
      </c>
      <c r="B101" s="71" t="s">
        <v>416</v>
      </c>
      <c r="C101" s="51" t="s">
        <v>619</v>
      </c>
      <c r="D101" s="72" t="s">
        <v>620</v>
      </c>
      <c r="E101" s="73" t="s">
        <v>621</v>
      </c>
      <c r="F101" s="73" t="n">
        <v>557.18</v>
      </c>
      <c r="G101" s="73" t="n">
        <v>296</v>
      </c>
      <c r="H101" s="73" t="n">
        <v>1402</v>
      </c>
      <c r="I101" s="73" t="n">
        <v>720</v>
      </c>
      <c r="J101" s="73" t="n">
        <v>682</v>
      </c>
      <c r="K101" s="73" t="n">
        <v>157</v>
      </c>
      <c r="L101" s="74" t="n">
        <f aca="false">K101/H101*100</f>
        <v>11.1982881597718</v>
      </c>
      <c r="M101" s="73" t="n">
        <v>0</v>
      </c>
      <c r="N101" s="74" t="n">
        <f aca="false">O101/H101*100</f>
        <v>6.4586305278174</v>
      </c>
      <c r="O101" s="73" t="n">
        <v>90.55</v>
      </c>
      <c r="P101" s="73" t="n">
        <v>0</v>
      </c>
      <c r="Q101" s="77" t="s">
        <v>45</v>
      </c>
      <c r="R101" s="46" t="s">
        <v>622</v>
      </c>
      <c r="S101" s="46"/>
      <c r="T101" s="46" t="n">
        <v>93.5064</v>
      </c>
      <c r="U101" s="74"/>
      <c r="V101" s="74"/>
      <c r="W101" s="74"/>
      <c r="X101" s="74"/>
      <c r="Y101" s="74"/>
      <c r="Z101" s="74"/>
      <c r="AA101" s="46" t="s">
        <v>45</v>
      </c>
      <c r="AB101" s="46" t="n">
        <v>16</v>
      </c>
      <c r="AC101" s="46" t="s">
        <v>129</v>
      </c>
      <c r="AD101" s="46" t="n">
        <v>24.20049</v>
      </c>
      <c r="AE101" s="46" t="n">
        <v>76.803878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</row>
    <row r="102" customFormat="false" ht="15" hidden="false" customHeight="false" outlineLevel="0" collapsed="false">
      <c r="A102" s="71" t="s">
        <v>415</v>
      </c>
      <c r="B102" s="71" t="s">
        <v>416</v>
      </c>
      <c r="C102" s="51" t="s">
        <v>619</v>
      </c>
      <c r="D102" s="71" t="s">
        <v>623</v>
      </c>
      <c r="E102" s="73" t="s">
        <v>624</v>
      </c>
      <c r="F102" s="73" t="n">
        <v>76.32</v>
      </c>
      <c r="G102" s="73" t="n">
        <v>39</v>
      </c>
      <c r="H102" s="73" t="n">
        <v>198</v>
      </c>
      <c r="I102" s="73" t="n">
        <v>99</v>
      </c>
      <c r="J102" s="73" t="n">
        <v>99</v>
      </c>
      <c r="K102" s="73" t="n">
        <v>21</v>
      </c>
      <c r="L102" s="74" t="n">
        <f aca="false">K102/H102*100</f>
        <v>10.6060606060606</v>
      </c>
      <c r="M102" s="73" t="n">
        <v>0</v>
      </c>
      <c r="N102" s="74" t="n">
        <f aca="false">O102/H102*100</f>
        <v>6.84343434343434</v>
      </c>
      <c r="O102" s="73" t="n">
        <v>13.55</v>
      </c>
      <c r="P102" s="73" t="n">
        <v>0</v>
      </c>
      <c r="Q102" s="77" t="s">
        <v>45</v>
      </c>
      <c r="R102" s="46" t="s">
        <v>622</v>
      </c>
      <c r="S102" s="46"/>
      <c r="T102" s="46"/>
      <c r="U102" s="74"/>
      <c r="V102" s="74"/>
      <c r="W102" s="74"/>
      <c r="X102" s="74"/>
      <c r="Y102" s="74"/>
      <c r="Z102" s="74"/>
      <c r="AA102" s="46" t="s">
        <v>150</v>
      </c>
      <c r="AB102" s="46" t="n">
        <v>4.425</v>
      </c>
      <c r="AC102" s="46"/>
      <c r="AD102" s="46"/>
      <c r="AE102" s="4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</row>
    <row r="103" customFormat="false" ht="15" hidden="false" customHeight="false" outlineLevel="0" collapsed="false">
      <c r="A103" s="71" t="s">
        <v>415</v>
      </c>
      <c r="B103" s="71" t="s">
        <v>416</v>
      </c>
      <c r="C103" s="51" t="s">
        <v>619</v>
      </c>
      <c r="D103" s="71" t="s">
        <v>625</v>
      </c>
      <c r="E103" s="73" t="s">
        <v>626</v>
      </c>
      <c r="F103" s="73" t="n">
        <v>70.29</v>
      </c>
      <c r="G103" s="73" t="n">
        <v>33</v>
      </c>
      <c r="H103" s="73" t="n">
        <v>201</v>
      </c>
      <c r="I103" s="73" t="n">
        <v>99</v>
      </c>
      <c r="J103" s="73" t="n">
        <v>102</v>
      </c>
      <c r="K103" s="73" t="n">
        <v>0</v>
      </c>
      <c r="L103" s="74" t="n">
        <f aca="false">K103/H103*100</f>
        <v>0</v>
      </c>
      <c r="M103" s="73" t="n">
        <v>0</v>
      </c>
      <c r="N103" s="74" t="n">
        <f aca="false">O103/H103*100</f>
        <v>4.20398009950249</v>
      </c>
      <c r="O103" s="73" t="n">
        <v>8.45</v>
      </c>
      <c r="P103" s="73" t="n">
        <v>0</v>
      </c>
      <c r="Q103" s="77" t="s">
        <v>45</v>
      </c>
      <c r="R103" s="46" t="s">
        <v>622</v>
      </c>
      <c r="S103" s="46"/>
      <c r="T103" s="82" t="n">
        <v>36</v>
      </c>
      <c r="U103" s="74"/>
      <c r="V103" s="74"/>
      <c r="W103" s="74"/>
      <c r="X103" s="74"/>
      <c r="Y103" s="74"/>
      <c r="Z103" s="74"/>
      <c r="AA103" s="82" t="s">
        <v>627</v>
      </c>
      <c r="AB103" s="82" t="n">
        <v>0</v>
      </c>
      <c r="AC103" s="82"/>
      <c r="AD103" s="46"/>
      <c r="AE103" s="4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</row>
    <row r="104" customFormat="false" ht="15" hidden="false" customHeight="false" outlineLevel="0" collapsed="false">
      <c r="A104" s="71" t="s">
        <v>415</v>
      </c>
      <c r="B104" s="71" t="s">
        <v>416</v>
      </c>
      <c r="C104" s="51" t="s">
        <v>619</v>
      </c>
      <c r="D104" s="71" t="s">
        <v>628</v>
      </c>
      <c r="E104" s="73" t="s">
        <v>629</v>
      </c>
      <c r="F104" s="73" t="n">
        <v>237.7</v>
      </c>
      <c r="G104" s="73" t="n">
        <v>94</v>
      </c>
      <c r="H104" s="73" t="n">
        <v>581</v>
      </c>
      <c r="I104" s="73" t="n">
        <v>301</v>
      </c>
      <c r="J104" s="73" t="n">
        <v>280</v>
      </c>
      <c r="K104" s="73" t="n">
        <v>91</v>
      </c>
      <c r="L104" s="74" t="n">
        <f aca="false">K104/H104*100</f>
        <v>15.6626506024096</v>
      </c>
      <c r="M104" s="73" t="n">
        <v>0</v>
      </c>
      <c r="N104" s="74" t="n">
        <f aca="false">O104/H104*100</f>
        <v>6.37865748709122</v>
      </c>
      <c r="O104" s="73" t="n">
        <v>37.06</v>
      </c>
      <c r="P104" s="73" t="n">
        <v>9.9</v>
      </c>
      <c r="Q104" s="77" t="s">
        <v>45</v>
      </c>
      <c r="R104" s="46" t="s">
        <v>622</v>
      </c>
      <c r="S104" s="46"/>
      <c r="T104" s="46" t="n">
        <v>93.5064</v>
      </c>
      <c r="U104" s="74"/>
      <c r="V104" s="74"/>
      <c r="W104" s="74"/>
      <c r="X104" s="74"/>
      <c r="Y104" s="74"/>
      <c r="Z104" s="74"/>
      <c r="AA104" s="46" t="s">
        <v>47</v>
      </c>
      <c r="AB104" s="46"/>
      <c r="AC104" s="46"/>
      <c r="AD104" s="46"/>
      <c r="AE104" s="4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</row>
    <row r="105" customFormat="false" ht="18.75" hidden="false" customHeight="false" outlineLevel="0" collapsed="false">
      <c r="A105" s="71" t="s">
        <v>415</v>
      </c>
      <c r="B105" s="71" t="s">
        <v>416</v>
      </c>
      <c r="C105" s="51" t="s">
        <v>619</v>
      </c>
      <c r="D105" s="71" t="s">
        <v>630</v>
      </c>
      <c r="E105" s="73" t="s">
        <v>631</v>
      </c>
      <c r="F105" s="73" t="n">
        <v>201.55</v>
      </c>
      <c r="G105" s="73" t="n">
        <v>61</v>
      </c>
      <c r="H105" s="73" t="n">
        <v>251</v>
      </c>
      <c r="I105" s="73" t="n">
        <v>127</v>
      </c>
      <c r="J105" s="73" t="n">
        <v>124</v>
      </c>
      <c r="K105" s="73" t="n">
        <v>0</v>
      </c>
      <c r="L105" s="74" t="n">
        <f aca="false">K105/H105*100</f>
        <v>0</v>
      </c>
      <c r="M105" s="73" t="n">
        <v>0</v>
      </c>
      <c r="N105" s="74" t="n">
        <f aca="false">O105/H105*100</f>
        <v>11.8685258964143</v>
      </c>
      <c r="O105" s="73" t="n">
        <v>29.79</v>
      </c>
      <c r="P105" s="73" t="n">
        <v>41.62</v>
      </c>
      <c r="Q105" s="77" t="s">
        <v>45</v>
      </c>
      <c r="R105" s="46" t="s">
        <v>622</v>
      </c>
      <c r="S105" s="75"/>
      <c r="T105" s="46"/>
      <c r="U105" s="74"/>
      <c r="V105" s="74"/>
      <c r="W105" s="74"/>
      <c r="X105" s="74"/>
      <c r="Y105" s="74"/>
      <c r="Z105" s="74"/>
      <c r="AA105" s="46" t="s">
        <v>43</v>
      </c>
      <c r="AB105" s="46" t="n">
        <v>16</v>
      </c>
      <c r="AC105" s="46" t="s">
        <v>632</v>
      </c>
      <c r="AD105" s="46"/>
      <c r="AE105" s="4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</row>
    <row r="106" customFormat="false" ht="15" hidden="false" customHeight="false" outlineLevel="0" collapsed="false">
      <c r="A106" s="71" t="s">
        <v>415</v>
      </c>
      <c r="B106" s="71" t="s">
        <v>416</v>
      </c>
      <c r="C106" s="51" t="s">
        <v>619</v>
      </c>
      <c r="D106" s="71" t="s">
        <v>633</v>
      </c>
      <c r="E106" s="73" t="s">
        <v>634</v>
      </c>
      <c r="F106" s="73" t="n">
        <v>112.49</v>
      </c>
      <c r="G106" s="73" t="n">
        <v>105</v>
      </c>
      <c r="H106" s="73" t="n">
        <v>430</v>
      </c>
      <c r="I106" s="73" t="n">
        <v>210</v>
      </c>
      <c r="J106" s="73" t="n">
        <v>220</v>
      </c>
      <c r="K106" s="73" t="n">
        <v>0</v>
      </c>
      <c r="L106" s="74" t="n">
        <f aca="false">K106/H106*100</f>
        <v>0</v>
      </c>
      <c r="M106" s="73" t="n">
        <v>0</v>
      </c>
      <c r="N106" s="74" t="n">
        <f aca="false">O106/H106*100</f>
        <v>1.24651162790698</v>
      </c>
      <c r="O106" s="73" t="n">
        <v>5.36</v>
      </c>
      <c r="P106" s="73" t="n">
        <v>0</v>
      </c>
      <c r="Q106" s="77" t="s">
        <v>45</v>
      </c>
      <c r="R106" s="46" t="s">
        <v>622</v>
      </c>
      <c r="S106" s="46"/>
      <c r="T106" s="46" t="n">
        <v>13.5489</v>
      </c>
      <c r="U106" s="74"/>
      <c r="V106" s="74"/>
      <c r="W106" s="74"/>
      <c r="X106" s="74"/>
      <c r="Y106" s="74"/>
      <c r="Z106" s="74"/>
      <c r="AA106" s="46" t="s">
        <v>47</v>
      </c>
      <c r="AB106" s="46"/>
      <c r="AC106" s="46"/>
      <c r="AD106" s="46"/>
      <c r="AE106" s="4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</row>
    <row r="107" customFormat="false" ht="15" hidden="false" customHeight="false" outlineLevel="0" collapsed="false">
      <c r="A107" s="71" t="s">
        <v>415</v>
      </c>
      <c r="B107" s="71" t="s">
        <v>416</v>
      </c>
      <c r="C107" s="51" t="s">
        <v>619</v>
      </c>
      <c r="D107" s="71" t="s">
        <v>635</v>
      </c>
      <c r="E107" s="73" t="s">
        <v>636</v>
      </c>
      <c r="F107" s="73" t="n">
        <v>124.3</v>
      </c>
      <c r="G107" s="73" t="n">
        <v>29</v>
      </c>
      <c r="H107" s="73" t="n">
        <v>170</v>
      </c>
      <c r="I107" s="73" t="n">
        <v>91</v>
      </c>
      <c r="J107" s="73" t="n">
        <v>79</v>
      </c>
      <c r="K107" s="73" t="n">
        <v>0</v>
      </c>
      <c r="L107" s="74" t="n">
        <f aca="false">K107/H107*100</f>
        <v>0</v>
      </c>
      <c r="M107" s="73" t="n">
        <v>0</v>
      </c>
      <c r="N107" s="74" t="n">
        <f aca="false">O107/H107*100</f>
        <v>9.09411764705882</v>
      </c>
      <c r="O107" s="73" t="n">
        <v>15.46</v>
      </c>
      <c r="P107" s="73" t="n">
        <v>31.04</v>
      </c>
      <c r="Q107" s="77" t="s">
        <v>45</v>
      </c>
      <c r="R107" s="46" t="s">
        <v>622</v>
      </c>
      <c r="S107" s="46"/>
      <c r="T107" s="46" t="n">
        <v>7.6405</v>
      </c>
      <c r="U107" s="74"/>
      <c r="V107" s="74"/>
      <c r="W107" s="74"/>
      <c r="X107" s="74"/>
      <c r="Y107" s="74"/>
      <c r="Z107" s="74"/>
      <c r="AA107" s="46" t="s">
        <v>47</v>
      </c>
      <c r="AB107" s="46"/>
      <c r="AC107" s="46"/>
      <c r="AD107" s="46"/>
      <c r="AE107" s="4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</row>
    <row r="108" customFormat="false" ht="15" hidden="false" customHeight="false" outlineLevel="0" collapsed="false">
      <c r="A108" s="71" t="s">
        <v>415</v>
      </c>
      <c r="B108" s="71" t="s">
        <v>416</v>
      </c>
      <c r="C108" s="51" t="s">
        <v>619</v>
      </c>
      <c r="D108" s="71" t="s">
        <v>376</v>
      </c>
      <c r="E108" s="73" t="s">
        <v>637</v>
      </c>
      <c r="F108" s="73" t="n">
        <v>80.09</v>
      </c>
      <c r="G108" s="73" t="n">
        <v>99</v>
      </c>
      <c r="H108" s="73" t="n">
        <v>445</v>
      </c>
      <c r="I108" s="73" t="n">
        <v>221</v>
      </c>
      <c r="J108" s="73" t="n">
        <v>224</v>
      </c>
      <c r="K108" s="73" t="n">
        <v>0</v>
      </c>
      <c r="L108" s="74" t="n">
        <f aca="false">K108/H108*100</f>
        <v>0</v>
      </c>
      <c r="M108" s="73" t="n">
        <v>0</v>
      </c>
      <c r="N108" s="74" t="n">
        <f aca="false">O108/H108*100</f>
        <v>5.67865168539326</v>
      </c>
      <c r="O108" s="73" t="n">
        <v>25.27</v>
      </c>
      <c r="P108" s="73" t="n">
        <v>0</v>
      </c>
      <c r="Q108" s="77" t="s">
        <v>45</v>
      </c>
      <c r="R108" s="46" t="s">
        <v>622</v>
      </c>
      <c r="S108" s="46"/>
      <c r="T108" s="46" t="n">
        <v>38.1538</v>
      </c>
      <c r="U108" s="74"/>
      <c r="V108" s="74"/>
      <c r="W108" s="74"/>
      <c r="X108" s="74"/>
      <c r="Y108" s="74"/>
      <c r="Z108" s="74"/>
      <c r="AA108" s="46" t="s">
        <v>47</v>
      </c>
      <c r="AB108" s="46"/>
      <c r="AC108" s="46"/>
      <c r="AD108" s="46"/>
      <c r="AE108" s="4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</row>
    <row r="109" customFormat="false" ht="21" hidden="false" customHeight="false" outlineLevel="0" collapsed="false">
      <c r="A109" s="71" t="s">
        <v>415</v>
      </c>
      <c r="B109" s="71" t="s">
        <v>416</v>
      </c>
      <c r="C109" s="51" t="s">
        <v>619</v>
      </c>
      <c r="D109" s="71" t="s">
        <v>638</v>
      </c>
      <c r="E109" s="73" t="s">
        <v>639</v>
      </c>
      <c r="F109" s="73" t="n">
        <v>544.55</v>
      </c>
      <c r="G109" s="73" t="n">
        <v>221</v>
      </c>
      <c r="H109" s="73" t="n">
        <v>1076</v>
      </c>
      <c r="I109" s="73" t="n">
        <v>527</v>
      </c>
      <c r="J109" s="73" t="n">
        <v>549</v>
      </c>
      <c r="K109" s="73" t="n">
        <v>70</v>
      </c>
      <c r="L109" s="74" t="n">
        <f aca="false">K109/H109*100</f>
        <v>6.50557620817844</v>
      </c>
      <c r="M109" s="73" t="n">
        <v>0</v>
      </c>
      <c r="N109" s="74" t="n">
        <f aca="false">O109/H109*100</f>
        <v>7.30204460966543</v>
      </c>
      <c r="O109" s="73" t="n">
        <v>78.57</v>
      </c>
      <c r="P109" s="73" t="n">
        <v>64.62</v>
      </c>
      <c r="Q109" s="77" t="s">
        <v>45</v>
      </c>
      <c r="R109" s="46" t="s">
        <v>622</v>
      </c>
      <c r="S109" s="46"/>
      <c r="T109" s="75"/>
      <c r="U109" s="74"/>
      <c r="V109" s="74"/>
      <c r="W109" s="74"/>
      <c r="X109" s="74"/>
      <c r="Y109" s="74"/>
      <c r="Z109" s="74"/>
      <c r="AA109" s="76"/>
      <c r="AB109" s="74"/>
      <c r="AC109" s="75"/>
      <c r="AD109" s="46" t="n">
        <v>24.20379</v>
      </c>
      <c r="AE109" s="46" t="n">
        <v>76.800924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</row>
    <row r="110" s="26" customFormat="true" ht="15" hidden="false" customHeight="false" outlineLevel="0" collapsed="false">
      <c r="A110" s="51" t="s">
        <v>415</v>
      </c>
      <c r="B110" s="51" t="s">
        <v>416</v>
      </c>
      <c r="C110" s="51" t="s">
        <v>619</v>
      </c>
      <c r="D110" s="51" t="s">
        <v>638</v>
      </c>
      <c r="E110" s="73"/>
      <c r="F110" s="73"/>
      <c r="G110" s="73"/>
      <c r="H110" s="73"/>
      <c r="I110" s="73"/>
      <c r="J110" s="73"/>
      <c r="K110" s="73"/>
      <c r="L110" s="74" t="e">
        <f aca="false">K110/H110*100</f>
        <v>#DIV/0!</v>
      </c>
      <c r="M110" s="73"/>
      <c r="N110" s="74" t="e">
        <f aca="false">O110/H110*100</f>
        <v>#DIV/0!</v>
      </c>
      <c r="O110" s="73"/>
      <c r="P110" s="73"/>
      <c r="Q110" s="77" t="s">
        <v>45</v>
      </c>
      <c r="R110" s="46" t="s">
        <v>622</v>
      </c>
      <c r="S110" s="46"/>
      <c r="T110" s="46" t="n">
        <v>5.358</v>
      </c>
      <c r="U110" s="74"/>
      <c r="V110" s="74"/>
      <c r="W110" s="74"/>
      <c r="X110" s="74"/>
      <c r="Y110" s="74"/>
      <c r="Z110" s="74"/>
      <c r="AA110" s="46" t="s">
        <v>47</v>
      </c>
      <c r="AB110" s="46"/>
      <c r="AC110" s="46"/>
      <c r="AD110" s="46" t="n">
        <v>24.205428</v>
      </c>
      <c r="AE110" s="46" t="n">
        <v>76.800743</v>
      </c>
    </row>
    <row r="111" customFormat="false" ht="15" hidden="false" customHeight="false" outlineLevel="0" collapsed="false">
      <c r="A111" s="71" t="s">
        <v>415</v>
      </c>
      <c r="B111" s="71" t="s">
        <v>416</v>
      </c>
      <c r="C111" s="51" t="s">
        <v>619</v>
      </c>
      <c r="D111" s="71" t="s">
        <v>640</v>
      </c>
      <c r="E111" s="73" t="s">
        <v>641</v>
      </c>
      <c r="F111" s="73" t="n">
        <v>65.13</v>
      </c>
      <c r="G111" s="73" t="n">
        <v>0</v>
      </c>
      <c r="H111" s="73" t="n">
        <v>0</v>
      </c>
      <c r="I111" s="73" t="n">
        <v>0</v>
      </c>
      <c r="J111" s="73" t="n">
        <v>0</v>
      </c>
      <c r="K111" s="73" t="n">
        <v>0</v>
      </c>
      <c r="L111" s="74" t="e">
        <f aca="false">K111/H111*100</f>
        <v>#DIV/0!</v>
      </c>
      <c r="M111" s="73" t="n">
        <v>0</v>
      </c>
      <c r="N111" s="74" t="e">
        <f aca="false">O111/H111*100</f>
        <v>#DIV/0!</v>
      </c>
      <c r="O111" s="73" t="n">
        <v>0</v>
      </c>
      <c r="P111" s="73" t="n">
        <v>0</v>
      </c>
      <c r="Q111" s="74"/>
      <c r="R111" s="74"/>
      <c r="S111" s="74"/>
      <c r="T111" s="46" t="n">
        <v>16.3493</v>
      </c>
      <c r="U111" s="74"/>
      <c r="V111" s="74"/>
      <c r="W111" s="74"/>
      <c r="X111" s="74"/>
      <c r="Y111" s="74"/>
      <c r="Z111" s="74"/>
      <c r="AA111" s="46" t="s">
        <v>47</v>
      </c>
      <c r="AB111" s="46"/>
      <c r="AC111" s="46"/>
      <c r="AD111" s="74"/>
      <c r="AE111" s="74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</row>
    <row r="112" customFormat="false" ht="15" hidden="false" customHeight="false" outlineLevel="0" collapsed="false">
      <c r="A112" s="71" t="s">
        <v>415</v>
      </c>
      <c r="B112" s="71" t="s">
        <v>416</v>
      </c>
      <c r="C112" s="51" t="s">
        <v>642</v>
      </c>
      <c r="D112" s="72" t="s">
        <v>235</v>
      </c>
      <c r="E112" s="73" t="s">
        <v>643</v>
      </c>
      <c r="F112" s="73" t="n">
        <v>656.73</v>
      </c>
      <c r="G112" s="73" t="n">
        <v>163</v>
      </c>
      <c r="H112" s="73" t="n">
        <v>779</v>
      </c>
      <c r="I112" s="73" t="n">
        <v>398</v>
      </c>
      <c r="J112" s="73" t="n">
        <v>381</v>
      </c>
      <c r="K112" s="73" t="n">
        <v>153</v>
      </c>
      <c r="L112" s="74" t="n">
        <f aca="false">K112/H112*100</f>
        <v>19.6405648267009</v>
      </c>
      <c r="M112" s="73" t="n">
        <v>98</v>
      </c>
      <c r="N112" s="74" t="n">
        <f aca="false">O112/H112*100</f>
        <v>15.6290115532734</v>
      </c>
      <c r="O112" s="73" t="n">
        <v>121.75</v>
      </c>
      <c r="P112" s="73" t="n">
        <v>94</v>
      </c>
      <c r="Q112" s="46" t="s">
        <v>45</v>
      </c>
      <c r="R112" s="46" t="s">
        <v>644</v>
      </c>
      <c r="S112" s="46"/>
      <c r="T112" s="46" t="n">
        <v>34.54</v>
      </c>
      <c r="U112" s="74"/>
      <c r="V112" s="74"/>
      <c r="W112" s="74"/>
      <c r="X112" s="74"/>
      <c r="Y112" s="74"/>
      <c r="Z112" s="74"/>
      <c r="AA112" s="46" t="s">
        <v>47</v>
      </c>
      <c r="AB112" s="46"/>
      <c r="AC112" s="46"/>
      <c r="AD112" s="46"/>
      <c r="AE112" s="4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</row>
    <row r="113" customFormat="false" ht="15" hidden="false" customHeight="false" outlineLevel="0" collapsed="false">
      <c r="A113" s="71" t="s">
        <v>415</v>
      </c>
      <c r="B113" s="71" t="s">
        <v>416</v>
      </c>
      <c r="C113" s="51" t="s">
        <v>642</v>
      </c>
      <c r="D113" s="71" t="s">
        <v>645</v>
      </c>
      <c r="E113" s="73" t="s">
        <v>646</v>
      </c>
      <c r="F113" s="73" t="n">
        <v>363.79</v>
      </c>
      <c r="G113" s="73" t="n">
        <v>82</v>
      </c>
      <c r="H113" s="73" t="n">
        <v>379</v>
      </c>
      <c r="I113" s="73" t="n">
        <v>184</v>
      </c>
      <c r="J113" s="73" t="n">
        <v>195</v>
      </c>
      <c r="K113" s="73" t="n">
        <v>18</v>
      </c>
      <c r="L113" s="74" t="n">
        <f aca="false">K113/H113*100</f>
        <v>4.74934036939314</v>
      </c>
      <c r="M113" s="73" t="n">
        <v>0</v>
      </c>
      <c r="N113" s="74" t="n">
        <f aca="false">O113/H113*100</f>
        <v>7.87071240105541</v>
      </c>
      <c r="O113" s="73" t="n">
        <v>29.83</v>
      </c>
      <c r="P113" s="73" t="n">
        <v>190.67</v>
      </c>
      <c r="Q113" s="46" t="s">
        <v>45</v>
      </c>
      <c r="R113" s="46" t="s">
        <v>644</v>
      </c>
      <c r="S113" s="46"/>
      <c r="T113" s="46"/>
      <c r="U113" s="74"/>
      <c r="V113" s="74"/>
      <c r="W113" s="74"/>
      <c r="X113" s="74"/>
      <c r="Y113" s="74"/>
      <c r="Z113" s="74"/>
      <c r="AA113" s="46" t="s">
        <v>82</v>
      </c>
      <c r="AB113" s="46" t="n">
        <v>15</v>
      </c>
      <c r="AC113" s="46" t="s">
        <v>647</v>
      </c>
      <c r="AD113" s="46" t="n">
        <v>24.38361</v>
      </c>
      <c r="AE113" s="46" t="n">
        <v>76.8314</v>
      </c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</row>
    <row r="114" customFormat="false" ht="15" hidden="false" customHeight="false" outlineLevel="0" collapsed="false">
      <c r="A114" s="71" t="s">
        <v>415</v>
      </c>
      <c r="B114" s="71" t="s">
        <v>416</v>
      </c>
      <c r="C114" s="51" t="s">
        <v>642</v>
      </c>
      <c r="D114" s="71" t="s">
        <v>648</v>
      </c>
      <c r="E114" s="73" t="s">
        <v>649</v>
      </c>
      <c r="F114" s="73" t="n">
        <v>268.09</v>
      </c>
      <c r="G114" s="73" t="n">
        <v>103</v>
      </c>
      <c r="H114" s="73" t="n">
        <v>439</v>
      </c>
      <c r="I114" s="73" t="n">
        <v>227</v>
      </c>
      <c r="J114" s="73" t="n">
        <v>212</v>
      </c>
      <c r="K114" s="73" t="n">
        <v>50</v>
      </c>
      <c r="L114" s="74" t="n">
        <f aca="false">K114/H114*100</f>
        <v>11.3895216400911</v>
      </c>
      <c r="M114" s="73" t="n">
        <v>204</v>
      </c>
      <c r="N114" s="74" t="n">
        <f aca="false">O114/H114*100</f>
        <v>7.48519362186788</v>
      </c>
      <c r="O114" s="73" t="n">
        <v>32.86</v>
      </c>
      <c r="P114" s="73" t="n">
        <v>87.23</v>
      </c>
      <c r="Q114" s="46" t="s">
        <v>45</v>
      </c>
      <c r="R114" s="46" t="s">
        <v>644</v>
      </c>
      <c r="S114" s="46"/>
      <c r="T114" s="46" t="n">
        <v>34.54</v>
      </c>
      <c r="U114" s="74"/>
      <c r="V114" s="74"/>
      <c r="W114" s="74"/>
      <c r="X114" s="74"/>
      <c r="Y114" s="74"/>
      <c r="Z114" s="74"/>
      <c r="AA114" s="46"/>
      <c r="AB114" s="46"/>
      <c r="AC114" s="46"/>
      <c r="AD114" s="46"/>
      <c r="AE114" s="4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</row>
    <row r="115" customFormat="false" ht="15" hidden="false" customHeight="false" outlineLevel="0" collapsed="false">
      <c r="A115" s="71" t="s">
        <v>415</v>
      </c>
      <c r="B115" s="71" t="s">
        <v>416</v>
      </c>
      <c r="C115" s="51" t="s">
        <v>642</v>
      </c>
      <c r="D115" s="71" t="s">
        <v>264</v>
      </c>
      <c r="E115" s="73" t="s">
        <v>650</v>
      </c>
      <c r="F115" s="73" t="n">
        <v>282.33</v>
      </c>
      <c r="G115" s="73" t="n">
        <v>77</v>
      </c>
      <c r="H115" s="73" t="n">
        <v>305</v>
      </c>
      <c r="I115" s="73" t="n">
        <v>141</v>
      </c>
      <c r="J115" s="73" t="n">
        <v>164</v>
      </c>
      <c r="K115" s="73" t="n">
        <v>29</v>
      </c>
      <c r="L115" s="74" t="n">
        <f aca="false">K115/H115*100</f>
        <v>9.50819672131147</v>
      </c>
      <c r="M115" s="73" t="n">
        <v>0</v>
      </c>
      <c r="N115" s="74" t="n">
        <f aca="false">O115/H115*100</f>
        <v>15.9639344262295</v>
      </c>
      <c r="O115" s="73" t="n">
        <v>48.69</v>
      </c>
      <c r="P115" s="73" t="n">
        <v>89.38</v>
      </c>
      <c r="Q115" s="46" t="s">
        <v>45</v>
      </c>
      <c r="R115" s="46" t="s">
        <v>644</v>
      </c>
      <c r="S115" s="46"/>
      <c r="T115" s="46"/>
      <c r="U115" s="74"/>
      <c r="V115" s="74"/>
      <c r="W115" s="74"/>
      <c r="X115" s="74"/>
      <c r="Y115" s="74"/>
      <c r="Z115" s="74"/>
      <c r="AA115" s="46" t="s">
        <v>150</v>
      </c>
      <c r="AB115" s="46" t="n">
        <v>7.248</v>
      </c>
      <c r="AC115" s="46"/>
      <c r="AD115" s="46"/>
      <c r="AE115" s="4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</row>
    <row r="116" customFormat="false" ht="15" hidden="false" customHeight="false" outlineLevel="0" collapsed="false">
      <c r="A116" s="71" t="s">
        <v>415</v>
      </c>
      <c r="B116" s="71" t="s">
        <v>416</v>
      </c>
      <c r="C116" s="51" t="s">
        <v>642</v>
      </c>
      <c r="D116" s="71" t="s">
        <v>651</v>
      </c>
      <c r="E116" s="73" t="s">
        <v>652</v>
      </c>
      <c r="F116" s="73" t="n">
        <v>318.66</v>
      </c>
      <c r="G116" s="73" t="n">
        <v>71</v>
      </c>
      <c r="H116" s="73" t="n">
        <v>400</v>
      </c>
      <c r="I116" s="73" t="n">
        <v>206</v>
      </c>
      <c r="J116" s="73" t="n">
        <v>194</v>
      </c>
      <c r="K116" s="73" t="n">
        <v>0</v>
      </c>
      <c r="L116" s="74" t="n">
        <f aca="false">K116/H116*100</f>
        <v>0</v>
      </c>
      <c r="M116" s="73" t="n">
        <v>168</v>
      </c>
      <c r="N116" s="74" t="n">
        <f aca="false">O116/H116*100</f>
        <v>13.5375</v>
      </c>
      <c r="O116" s="73" t="n">
        <v>54.15</v>
      </c>
      <c r="P116" s="73" t="n">
        <v>91.8</v>
      </c>
      <c r="Q116" s="46" t="s">
        <v>45</v>
      </c>
      <c r="R116" s="46" t="s">
        <v>644</v>
      </c>
      <c r="S116" s="46"/>
      <c r="T116" s="46" t="n">
        <v>8.29</v>
      </c>
      <c r="U116" s="74"/>
      <c r="V116" s="74"/>
      <c r="W116" s="74"/>
      <c r="X116" s="74"/>
      <c r="Y116" s="74"/>
      <c r="Z116" s="74"/>
      <c r="AA116" s="46"/>
      <c r="AB116" s="46"/>
      <c r="AC116" s="46"/>
      <c r="AD116" s="46"/>
      <c r="AE116" s="4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</row>
    <row r="117" s="26" customFormat="true" ht="15" hidden="false" customHeight="false" outlineLevel="0" collapsed="false">
      <c r="A117" s="51" t="s">
        <v>415</v>
      </c>
      <c r="B117" s="51" t="s">
        <v>416</v>
      </c>
      <c r="C117" s="51" t="s">
        <v>642</v>
      </c>
      <c r="D117" s="51" t="s">
        <v>651</v>
      </c>
      <c r="E117" s="73"/>
      <c r="F117" s="73"/>
      <c r="G117" s="73"/>
      <c r="H117" s="73"/>
      <c r="I117" s="73"/>
      <c r="J117" s="73"/>
      <c r="K117" s="73"/>
      <c r="L117" s="74" t="e">
        <f aca="false">K117/H117*100</f>
        <v>#DIV/0!</v>
      </c>
      <c r="M117" s="73"/>
      <c r="N117" s="74" t="e">
        <f aca="false">O117/H117*100</f>
        <v>#DIV/0!</v>
      </c>
      <c r="O117" s="73"/>
      <c r="P117" s="73"/>
      <c r="Q117" s="46" t="s">
        <v>45</v>
      </c>
      <c r="R117" s="46" t="s">
        <v>644</v>
      </c>
      <c r="S117" s="46"/>
      <c r="T117" s="46"/>
      <c r="U117" s="74"/>
      <c r="V117" s="74"/>
      <c r="W117" s="74"/>
      <c r="X117" s="74"/>
      <c r="Y117" s="74"/>
      <c r="Z117" s="74"/>
      <c r="AA117" s="46" t="s">
        <v>150</v>
      </c>
      <c r="AB117" s="46" t="n">
        <v>5.92</v>
      </c>
      <c r="AC117" s="46"/>
      <c r="AD117" s="46" t="n">
        <v>24.37757</v>
      </c>
      <c r="AE117" s="46" t="n">
        <v>76.82837</v>
      </c>
    </row>
    <row r="118" customFormat="false" ht="15" hidden="false" customHeight="false" outlineLevel="0" collapsed="false">
      <c r="A118" s="71" t="s">
        <v>415</v>
      </c>
      <c r="B118" s="71" t="s">
        <v>416</v>
      </c>
      <c r="C118" s="51" t="s">
        <v>642</v>
      </c>
      <c r="D118" s="71" t="s">
        <v>653</v>
      </c>
      <c r="E118" s="73" t="s">
        <v>654</v>
      </c>
      <c r="F118" s="73" t="n">
        <v>387.33</v>
      </c>
      <c r="G118" s="73" t="n">
        <v>122</v>
      </c>
      <c r="H118" s="73" t="n">
        <v>591</v>
      </c>
      <c r="I118" s="73" t="n">
        <v>303</v>
      </c>
      <c r="J118" s="73" t="n">
        <v>288</v>
      </c>
      <c r="K118" s="73" t="n">
        <v>42</v>
      </c>
      <c r="L118" s="74" t="n">
        <f aca="false">K118/H118*100</f>
        <v>7.10659898477157</v>
      </c>
      <c r="M118" s="73" t="n">
        <v>545</v>
      </c>
      <c r="N118" s="74" t="n">
        <f aca="false">O118/H118*100</f>
        <v>4.40947546531303</v>
      </c>
      <c r="O118" s="73" t="n">
        <v>26.06</v>
      </c>
      <c r="P118" s="73" t="n">
        <v>77.29</v>
      </c>
      <c r="Q118" s="46" t="s">
        <v>45</v>
      </c>
      <c r="R118" s="46" t="s">
        <v>644</v>
      </c>
      <c r="S118" s="46"/>
      <c r="T118" s="46" t="n">
        <v>32.86</v>
      </c>
      <c r="U118" s="74"/>
      <c r="V118" s="74"/>
      <c r="W118" s="74"/>
      <c r="X118" s="74"/>
      <c r="Y118" s="74"/>
      <c r="Z118" s="74"/>
      <c r="AA118" s="46"/>
      <c r="AB118" s="46"/>
      <c r="AC118" s="46"/>
      <c r="AD118" s="46"/>
      <c r="AE118" s="4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</row>
    <row r="119" s="26" customFormat="true" ht="15" hidden="false" customHeight="false" outlineLevel="0" collapsed="false">
      <c r="A119" s="51" t="s">
        <v>415</v>
      </c>
      <c r="B119" s="51" t="s">
        <v>416</v>
      </c>
      <c r="C119" s="51" t="s">
        <v>642</v>
      </c>
      <c r="D119" s="51" t="s">
        <v>653</v>
      </c>
      <c r="E119" s="73"/>
      <c r="F119" s="73"/>
      <c r="G119" s="73"/>
      <c r="H119" s="73"/>
      <c r="I119" s="73"/>
      <c r="J119" s="73"/>
      <c r="K119" s="73"/>
      <c r="L119" s="74" t="e">
        <f aca="false">K119/H119*100</f>
        <v>#DIV/0!</v>
      </c>
      <c r="M119" s="73"/>
      <c r="N119" s="74" t="e">
        <f aca="false">O119/H119*100</f>
        <v>#DIV/0!</v>
      </c>
      <c r="O119" s="73"/>
      <c r="P119" s="73"/>
      <c r="Q119" s="46" t="s">
        <v>45</v>
      </c>
      <c r="R119" s="46" t="s">
        <v>644</v>
      </c>
      <c r="S119" s="46"/>
      <c r="T119" s="46" t="n">
        <v>48.69</v>
      </c>
      <c r="U119" s="74"/>
      <c r="V119" s="74"/>
      <c r="W119" s="74"/>
      <c r="X119" s="74"/>
      <c r="Y119" s="74"/>
      <c r="Z119" s="74"/>
      <c r="AA119" s="46"/>
      <c r="AB119" s="46"/>
      <c r="AC119" s="46"/>
      <c r="AD119" s="46" t="n">
        <v>24.38956</v>
      </c>
      <c r="AE119" s="46" t="n">
        <v>76.82239</v>
      </c>
    </row>
    <row r="120" customFormat="false" ht="18.75" hidden="false" customHeight="false" outlineLevel="0" collapsed="false">
      <c r="A120" s="71" t="s">
        <v>415</v>
      </c>
      <c r="B120" s="71" t="s">
        <v>416</v>
      </c>
      <c r="C120" s="51" t="s">
        <v>642</v>
      </c>
      <c r="D120" s="71" t="s">
        <v>655</v>
      </c>
      <c r="E120" s="73" t="s">
        <v>656</v>
      </c>
      <c r="F120" s="73" t="n">
        <v>177.77</v>
      </c>
      <c r="G120" s="73" t="n">
        <v>0</v>
      </c>
      <c r="H120" s="73" t="n">
        <v>0</v>
      </c>
      <c r="I120" s="73" t="n">
        <v>0</v>
      </c>
      <c r="J120" s="73" t="n">
        <v>0</v>
      </c>
      <c r="K120" s="73" t="n">
        <v>0</v>
      </c>
      <c r="L120" s="74" t="e">
        <f aca="false">K120/H120*100</f>
        <v>#DIV/0!</v>
      </c>
      <c r="M120" s="73" t="n">
        <v>0</v>
      </c>
      <c r="N120" s="74" t="e">
        <f aca="false">O120/H120*100</f>
        <v>#DIV/0!</v>
      </c>
      <c r="O120" s="73" t="n">
        <v>15</v>
      </c>
      <c r="P120" s="73" t="n">
        <v>53.15</v>
      </c>
      <c r="Q120" s="86"/>
      <c r="R120" s="84"/>
      <c r="S120" s="75"/>
      <c r="T120" s="46" t="n">
        <v>14.52</v>
      </c>
      <c r="U120" s="74"/>
      <c r="V120" s="74"/>
      <c r="W120" s="74"/>
      <c r="X120" s="74"/>
      <c r="Y120" s="74"/>
      <c r="Z120" s="74"/>
      <c r="AA120" s="46"/>
      <c r="AB120" s="46"/>
      <c r="AC120" s="46"/>
      <c r="AD120" s="75"/>
      <c r="AE120" s="75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</row>
    <row r="121" customFormat="false" ht="15" hidden="false" customHeight="false" outlineLevel="0" collapsed="false">
      <c r="A121" s="71" t="s">
        <v>415</v>
      </c>
      <c r="B121" s="71" t="s">
        <v>416</v>
      </c>
      <c r="C121" s="51" t="s">
        <v>642</v>
      </c>
      <c r="D121" s="71" t="s">
        <v>657</v>
      </c>
      <c r="E121" s="73" t="s">
        <v>658</v>
      </c>
      <c r="F121" s="73" t="n">
        <v>77.63</v>
      </c>
      <c r="G121" s="73" t="n">
        <v>32</v>
      </c>
      <c r="H121" s="73" t="n">
        <v>146</v>
      </c>
      <c r="I121" s="73" t="n">
        <v>70</v>
      </c>
      <c r="J121" s="73" t="n">
        <v>76</v>
      </c>
      <c r="K121" s="73" t="n">
        <v>0</v>
      </c>
      <c r="L121" s="74" t="n">
        <f aca="false">K121/H121*100</f>
        <v>0</v>
      </c>
      <c r="M121" s="73" t="n">
        <v>0</v>
      </c>
      <c r="N121" s="74" t="n">
        <f aca="false">O121/H121*100</f>
        <v>14.9794520547945</v>
      </c>
      <c r="O121" s="73" t="n">
        <v>21.87</v>
      </c>
      <c r="P121" s="73" t="n">
        <v>0</v>
      </c>
      <c r="Q121" s="46" t="s">
        <v>45</v>
      </c>
      <c r="R121" s="46" t="s">
        <v>644</v>
      </c>
      <c r="S121" s="46"/>
      <c r="T121" s="46"/>
      <c r="U121" s="74"/>
      <c r="V121" s="74"/>
      <c r="W121" s="74"/>
      <c r="X121" s="74"/>
      <c r="Y121" s="74"/>
      <c r="Z121" s="74"/>
      <c r="AA121" s="46" t="s">
        <v>150</v>
      </c>
      <c r="AB121" s="46" t="n">
        <v>3.108</v>
      </c>
      <c r="AC121" s="46"/>
      <c r="AD121" s="46"/>
      <c r="AE121" s="4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</row>
    <row r="122" s="26" customFormat="true" ht="15" hidden="false" customHeight="false" outlineLevel="0" collapsed="false">
      <c r="A122" s="51" t="s">
        <v>415</v>
      </c>
      <c r="B122" s="51" t="s">
        <v>416</v>
      </c>
      <c r="C122" s="51" t="s">
        <v>642</v>
      </c>
      <c r="D122" s="51" t="s">
        <v>657</v>
      </c>
      <c r="E122" s="73"/>
      <c r="F122" s="73"/>
      <c r="G122" s="73"/>
      <c r="H122" s="73"/>
      <c r="I122" s="73"/>
      <c r="J122" s="73"/>
      <c r="K122" s="73"/>
      <c r="L122" s="74" t="e">
        <f aca="false">K122/H122*100</f>
        <v>#DIV/0!</v>
      </c>
      <c r="M122" s="73"/>
      <c r="N122" s="74" t="e">
        <f aca="false">O122/H122*100</f>
        <v>#DIV/0!</v>
      </c>
      <c r="O122" s="73"/>
      <c r="P122" s="73"/>
      <c r="Q122" s="46" t="s">
        <v>45</v>
      </c>
      <c r="R122" s="46" t="s">
        <v>644</v>
      </c>
      <c r="S122" s="46"/>
      <c r="T122" s="46" t="n">
        <v>26.06</v>
      </c>
      <c r="U122" s="74"/>
      <c r="V122" s="74"/>
      <c r="W122" s="74"/>
      <c r="X122" s="74"/>
      <c r="Y122" s="74"/>
      <c r="Z122" s="74"/>
      <c r="AA122" s="46"/>
      <c r="AB122" s="46"/>
      <c r="AC122" s="46"/>
      <c r="AD122" s="46" t="n">
        <v>24.40383</v>
      </c>
      <c r="AE122" s="46" t="n">
        <v>76.83397</v>
      </c>
    </row>
    <row r="123" customFormat="false" ht="15" hidden="false" customHeight="false" outlineLevel="0" collapsed="false">
      <c r="A123" s="71" t="s">
        <v>415</v>
      </c>
      <c r="B123" s="71" t="s">
        <v>416</v>
      </c>
      <c r="C123" s="51" t="s">
        <v>642</v>
      </c>
      <c r="D123" s="71" t="s">
        <v>561</v>
      </c>
      <c r="E123" s="73" t="s">
        <v>659</v>
      </c>
      <c r="F123" s="73" t="n">
        <v>261.08</v>
      </c>
      <c r="G123" s="73" t="n">
        <v>170</v>
      </c>
      <c r="H123" s="73" t="n">
        <v>796</v>
      </c>
      <c r="I123" s="73" t="n">
        <v>424</v>
      </c>
      <c r="J123" s="73" t="n">
        <v>372</v>
      </c>
      <c r="K123" s="73" t="n">
        <v>0</v>
      </c>
      <c r="L123" s="74" t="n">
        <f aca="false">K123/H123*100</f>
        <v>0</v>
      </c>
      <c r="M123" s="73" t="n">
        <v>611</v>
      </c>
      <c r="N123" s="74" t="n">
        <f aca="false">O123/H123*100</f>
        <v>8.91331658291457</v>
      </c>
      <c r="O123" s="73" t="n">
        <v>70.95</v>
      </c>
      <c r="P123" s="73" t="n">
        <v>0</v>
      </c>
      <c r="Q123" s="46" t="s">
        <v>45</v>
      </c>
      <c r="R123" s="46" t="s">
        <v>644</v>
      </c>
      <c r="S123" s="46"/>
      <c r="T123" s="46"/>
      <c r="U123" s="74"/>
      <c r="V123" s="74"/>
      <c r="W123" s="74"/>
      <c r="X123" s="74"/>
      <c r="Y123" s="74"/>
      <c r="Z123" s="74"/>
      <c r="AA123" s="46" t="s">
        <v>150</v>
      </c>
      <c r="AB123" s="46" t="n">
        <v>3.59</v>
      </c>
      <c r="AC123" s="46"/>
      <c r="AD123" s="46"/>
      <c r="AE123" s="4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</row>
    <row r="124" s="26" customFormat="true" ht="21" hidden="false" customHeight="false" outlineLevel="0" collapsed="false">
      <c r="A124" s="51" t="s">
        <v>415</v>
      </c>
      <c r="B124" s="51" t="s">
        <v>416</v>
      </c>
      <c r="C124" s="51" t="s">
        <v>642</v>
      </c>
      <c r="D124" s="51" t="s">
        <v>561</v>
      </c>
      <c r="E124" s="73"/>
      <c r="F124" s="73"/>
      <c r="G124" s="73"/>
      <c r="H124" s="73"/>
      <c r="I124" s="73"/>
      <c r="J124" s="73"/>
      <c r="K124" s="73"/>
      <c r="L124" s="74" t="e">
        <f aca="false">K124/H124*100</f>
        <v>#DIV/0!</v>
      </c>
      <c r="M124" s="73"/>
      <c r="N124" s="74" t="e">
        <f aca="false">O124/H124*100</f>
        <v>#DIV/0!</v>
      </c>
      <c r="O124" s="73"/>
      <c r="P124" s="73"/>
      <c r="Q124" s="46" t="s">
        <v>45</v>
      </c>
      <c r="R124" s="46" t="s">
        <v>644</v>
      </c>
      <c r="S124" s="46"/>
      <c r="T124" s="75"/>
      <c r="U124" s="74"/>
      <c r="V124" s="74"/>
      <c r="W124" s="74"/>
      <c r="X124" s="74"/>
      <c r="Y124" s="74"/>
      <c r="Z124" s="74"/>
      <c r="AA124" s="76"/>
      <c r="AB124" s="74"/>
      <c r="AC124" s="75"/>
      <c r="AD124" s="46" t="n">
        <v>24.3992</v>
      </c>
      <c r="AE124" s="46" t="n">
        <v>76.8169</v>
      </c>
    </row>
    <row r="125" customFormat="false" ht="15" hidden="false" customHeight="false" outlineLevel="0" collapsed="false">
      <c r="A125" s="71" t="s">
        <v>415</v>
      </c>
      <c r="B125" s="71" t="s">
        <v>416</v>
      </c>
      <c r="C125" s="51" t="s">
        <v>642</v>
      </c>
      <c r="D125" s="71" t="s">
        <v>660</v>
      </c>
      <c r="E125" s="73" t="s">
        <v>661</v>
      </c>
      <c r="F125" s="73" t="n">
        <v>153.95</v>
      </c>
      <c r="G125" s="73" t="n">
        <v>137</v>
      </c>
      <c r="H125" s="73" t="n">
        <v>676</v>
      </c>
      <c r="I125" s="73" t="n">
        <v>347</v>
      </c>
      <c r="J125" s="73" t="n">
        <v>329</v>
      </c>
      <c r="K125" s="73" t="n">
        <v>131</v>
      </c>
      <c r="L125" s="74" t="n">
        <f aca="false">K125/H125*100</f>
        <v>19.3786982248521</v>
      </c>
      <c r="M125" s="73" t="n">
        <v>56</v>
      </c>
      <c r="N125" s="74" t="n">
        <f aca="false">O125/H125*100</f>
        <v>5.94378698224852</v>
      </c>
      <c r="O125" s="73" t="n">
        <v>40.18</v>
      </c>
      <c r="P125" s="73" t="n">
        <v>0</v>
      </c>
      <c r="Q125" s="46" t="s">
        <v>45</v>
      </c>
      <c r="R125" s="46" t="s">
        <v>644</v>
      </c>
      <c r="S125" s="46"/>
      <c r="T125" s="46" t="n">
        <v>23.01</v>
      </c>
      <c r="U125" s="74"/>
      <c r="V125" s="74"/>
      <c r="W125" s="74"/>
      <c r="X125" s="74"/>
      <c r="Y125" s="74"/>
      <c r="Z125" s="74"/>
      <c r="AA125" s="46"/>
      <c r="AB125" s="46"/>
      <c r="AC125" s="46"/>
      <c r="AD125" s="46"/>
      <c r="AE125" s="4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</row>
    <row r="126" customFormat="false" ht="15" hidden="false" customHeight="false" outlineLevel="0" collapsed="false">
      <c r="A126" s="71" t="s">
        <v>415</v>
      </c>
      <c r="B126" s="71" t="s">
        <v>416</v>
      </c>
      <c r="C126" s="51" t="s">
        <v>642</v>
      </c>
      <c r="D126" s="71" t="s">
        <v>662</v>
      </c>
      <c r="E126" s="73" t="s">
        <v>663</v>
      </c>
      <c r="F126" s="73" t="n">
        <v>218.81</v>
      </c>
      <c r="G126" s="73" t="n">
        <v>32</v>
      </c>
      <c r="H126" s="73" t="n">
        <v>152</v>
      </c>
      <c r="I126" s="73" t="n">
        <v>77</v>
      </c>
      <c r="J126" s="73" t="n">
        <v>75</v>
      </c>
      <c r="K126" s="73" t="n">
        <v>0</v>
      </c>
      <c r="L126" s="74" t="n">
        <f aca="false">K126/H126*100</f>
        <v>0</v>
      </c>
      <c r="M126" s="73" t="n">
        <v>0</v>
      </c>
      <c r="N126" s="74" t="n">
        <f aca="false">O126/H126*100</f>
        <v>15.8815789473684</v>
      </c>
      <c r="O126" s="73" t="n">
        <v>24.14</v>
      </c>
      <c r="P126" s="73" t="n">
        <v>0</v>
      </c>
      <c r="Q126" s="46" t="s">
        <v>45</v>
      </c>
      <c r="R126" s="46" t="s">
        <v>644</v>
      </c>
      <c r="S126" s="46"/>
      <c r="T126" s="46" t="n">
        <v>8.712</v>
      </c>
      <c r="U126" s="74"/>
      <c r="V126" s="74"/>
      <c r="W126" s="74"/>
      <c r="X126" s="74"/>
      <c r="Y126" s="74"/>
      <c r="Z126" s="74"/>
      <c r="AA126" s="46"/>
      <c r="AB126" s="46"/>
      <c r="AC126" s="46"/>
      <c r="AD126" s="46"/>
      <c r="AE126" s="4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</row>
    <row r="127" customFormat="false" ht="15" hidden="false" customHeight="false" outlineLevel="0" collapsed="false">
      <c r="A127" s="71" t="s">
        <v>415</v>
      </c>
      <c r="B127" s="71" t="s">
        <v>416</v>
      </c>
      <c r="C127" s="51" t="s">
        <v>642</v>
      </c>
      <c r="D127" s="71" t="s">
        <v>660</v>
      </c>
      <c r="E127" s="73"/>
      <c r="F127" s="73"/>
      <c r="G127" s="73"/>
      <c r="H127" s="73"/>
      <c r="I127" s="73"/>
      <c r="J127" s="73"/>
      <c r="K127" s="73"/>
      <c r="L127" s="74" t="e">
        <f aca="false">K127/H127*100</f>
        <v>#DIV/0!</v>
      </c>
      <c r="M127" s="73"/>
      <c r="N127" s="74" t="e">
        <f aca="false">O127/H127*100</f>
        <v>#DIV/0!</v>
      </c>
      <c r="O127" s="73"/>
      <c r="P127" s="73"/>
      <c r="Q127" s="46" t="s">
        <v>45</v>
      </c>
      <c r="R127" s="46" t="s">
        <v>644</v>
      </c>
      <c r="S127" s="46"/>
      <c r="T127" s="46" t="n">
        <v>8.24</v>
      </c>
      <c r="U127" s="74"/>
      <c r="V127" s="74"/>
      <c r="W127" s="74"/>
      <c r="X127" s="74"/>
      <c r="Y127" s="74"/>
      <c r="Z127" s="74"/>
      <c r="AA127" s="46"/>
      <c r="AB127" s="46"/>
      <c r="AC127" s="46"/>
      <c r="AD127" s="46" t="n">
        <v>24.41708</v>
      </c>
      <c r="AE127" s="46" t="n">
        <v>76.8194</v>
      </c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</row>
    <row r="128" customFormat="false" ht="15" hidden="false" customHeight="false" outlineLevel="0" collapsed="false">
      <c r="A128" s="71" t="s">
        <v>415</v>
      </c>
      <c r="B128" s="71" t="s">
        <v>416</v>
      </c>
      <c r="C128" s="51" t="s">
        <v>642</v>
      </c>
      <c r="D128" s="71" t="s">
        <v>183</v>
      </c>
      <c r="E128" s="73" t="s">
        <v>664</v>
      </c>
      <c r="F128" s="73" t="n">
        <v>705.53</v>
      </c>
      <c r="G128" s="73" t="n">
        <v>70</v>
      </c>
      <c r="H128" s="73" t="n">
        <v>340</v>
      </c>
      <c r="I128" s="73" t="n">
        <v>176</v>
      </c>
      <c r="J128" s="73" t="n">
        <v>164</v>
      </c>
      <c r="K128" s="73" t="n">
        <v>0</v>
      </c>
      <c r="L128" s="74" t="n">
        <f aca="false">K128/H128*100</f>
        <v>0</v>
      </c>
      <c r="M128" s="73" t="n">
        <v>339</v>
      </c>
      <c r="N128" s="74" t="n">
        <f aca="false">O128/H128*100</f>
        <v>4.01470588235294</v>
      </c>
      <c r="O128" s="73" t="n">
        <v>13.65</v>
      </c>
      <c r="P128" s="73" t="n">
        <v>411.97</v>
      </c>
      <c r="Q128" s="46" t="s">
        <v>45</v>
      </c>
      <c r="R128" s="46" t="s">
        <v>644</v>
      </c>
      <c r="S128" s="46"/>
      <c r="T128" s="46"/>
      <c r="U128" s="74"/>
      <c r="V128" s="74"/>
      <c r="W128" s="74"/>
      <c r="X128" s="74"/>
      <c r="Y128" s="74"/>
      <c r="Z128" s="74"/>
      <c r="AA128" s="46" t="s">
        <v>150</v>
      </c>
      <c r="AB128" s="46" t="n">
        <v>3.36</v>
      </c>
      <c r="AC128" s="46"/>
      <c r="AD128" s="46"/>
      <c r="AE128" s="4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</row>
    <row r="129" customFormat="false" ht="15" hidden="false" customHeight="false" outlineLevel="0" collapsed="false">
      <c r="A129" s="71" t="s">
        <v>415</v>
      </c>
      <c r="B129" s="71" t="s">
        <v>416</v>
      </c>
      <c r="C129" s="51" t="s">
        <v>642</v>
      </c>
      <c r="D129" s="71" t="s">
        <v>665</v>
      </c>
      <c r="E129" s="73" t="s">
        <v>666</v>
      </c>
      <c r="F129" s="73" t="n">
        <v>348.27</v>
      </c>
      <c r="G129" s="73" t="n">
        <v>109</v>
      </c>
      <c r="H129" s="73" t="n">
        <v>511</v>
      </c>
      <c r="I129" s="73" t="n">
        <v>250</v>
      </c>
      <c r="J129" s="73" t="n">
        <v>261</v>
      </c>
      <c r="K129" s="73" t="n">
        <v>6</v>
      </c>
      <c r="L129" s="74" t="n">
        <f aca="false">K129/H129*100</f>
        <v>1.17416829745597</v>
      </c>
      <c r="M129" s="73" t="n">
        <v>505</v>
      </c>
      <c r="N129" s="74" t="n">
        <f aca="false">O129/H129*100</f>
        <v>15.3816046966732</v>
      </c>
      <c r="O129" s="73" t="n">
        <v>78.6</v>
      </c>
      <c r="P129" s="73" t="n">
        <v>56.38</v>
      </c>
      <c r="Q129" s="46" t="s">
        <v>45</v>
      </c>
      <c r="R129" s="46" t="s">
        <v>644</v>
      </c>
      <c r="S129" s="46"/>
      <c r="T129" s="46" t="n">
        <v>9.62</v>
      </c>
      <c r="U129" s="74"/>
      <c r="V129" s="74"/>
      <c r="W129" s="74"/>
      <c r="X129" s="74"/>
      <c r="Y129" s="74"/>
      <c r="Z129" s="74"/>
      <c r="AA129" s="46"/>
      <c r="AB129" s="46"/>
      <c r="AC129" s="46"/>
      <c r="AD129" s="46"/>
      <c r="AE129" s="4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</row>
    <row r="130" customFormat="false" ht="15" hidden="false" customHeight="false" outlineLevel="0" collapsed="false">
      <c r="A130" s="71" t="s">
        <v>415</v>
      </c>
      <c r="B130" s="71" t="s">
        <v>416</v>
      </c>
      <c r="C130" s="51" t="s">
        <v>667</v>
      </c>
      <c r="D130" s="72" t="s">
        <v>668</v>
      </c>
      <c r="E130" s="73" t="s">
        <v>669</v>
      </c>
      <c r="F130" s="73" t="n">
        <v>310.92</v>
      </c>
      <c r="G130" s="73" t="n">
        <v>199</v>
      </c>
      <c r="H130" s="73" t="n">
        <v>852</v>
      </c>
      <c r="I130" s="73" t="n">
        <v>444</v>
      </c>
      <c r="J130" s="73" t="n">
        <v>408</v>
      </c>
      <c r="K130" s="73" t="n">
        <v>49</v>
      </c>
      <c r="L130" s="74" t="n">
        <f aca="false">K130/H130*100</f>
        <v>5.75117370892019</v>
      </c>
      <c r="M130" s="73" t="n">
        <v>0</v>
      </c>
      <c r="N130" s="74" t="n">
        <f aca="false">O130/H130*100</f>
        <v>3.7406103286385</v>
      </c>
      <c r="O130" s="73" t="n">
        <v>31.87</v>
      </c>
      <c r="P130" s="73" t="n">
        <v>63.39</v>
      </c>
      <c r="Q130" s="46" t="s">
        <v>45</v>
      </c>
      <c r="R130" s="46" t="s">
        <v>420</v>
      </c>
      <c r="S130" s="46"/>
      <c r="T130" s="46" t="n">
        <v>22.51</v>
      </c>
      <c r="U130" s="74"/>
      <c r="V130" s="74"/>
      <c r="W130" s="74"/>
      <c r="X130" s="74"/>
      <c r="Y130" s="74"/>
      <c r="Z130" s="74"/>
      <c r="AA130" s="46"/>
      <c r="AB130" s="46"/>
      <c r="AC130" s="46"/>
      <c r="AD130" s="46" t="n">
        <v>24.218358</v>
      </c>
      <c r="AE130" s="46" t="n">
        <v>76.873548</v>
      </c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</row>
    <row r="131" customFormat="false" ht="15" hidden="false" customHeight="false" outlineLevel="0" collapsed="false">
      <c r="A131" s="71" t="s">
        <v>415</v>
      </c>
      <c r="B131" s="71" t="s">
        <v>416</v>
      </c>
      <c r="C131" s="51" t="s">
        <v>667</v>
      </c>
      <c r="D131" s="71" t="s">
        <v>74</v>
      </c>
      <c r="E131" s="73" t="s">
        <v>670</v>
      </c>
      <c r="F131" s="73" t="n">
        <v>375.13</v>
      </c>
      <c r="G131" s="73" t="n">
        <v>186</v>
      </c>
      <c r="H131" s="73" t="n">
        <v>855</v>
      </c>
      <c r="I131" s="73" t="n">
        <v>417</v>
      </c>
      <c r="J131" s="73" t="n">
        <v>438</v>
      </c>
      <c r="K131" s="73" t="n">
        <v>25</v>
      </c>
      <c r="L131" s="74" t="n">
        <f aca="false">K131/H131*100</f>
        <v>2.92397660818713</v>
      </c>
      <c r="M131" s="73" t="n">
        <v>0</v>
      </c>
      <c r="N131" s="74" t="n">
        <f aca="false">O131/H131*100</f>
        <v>6.4046783625731</v>
      </c>
      <c r="O131" s="73" t="n">
        <v>54.76</v>
      </c>
      <c r="P131" s="73" t="n">
        <v>24.66</v>
      </c>
      <c r="Q131" s="46" t="s">
        <v>43</v>
      </c>
      <c r="R131" s="46" t="s">
        <v>420</v>
      </c>
      <c r="S131" s="46"/>
      <c r="T131" s="46"/>
      <c r="U131" s="74"/>
      <c r="V131" s="74"/>
      <c r="W131" s="74"/>
      <c r="X131" s="74"/>
      <c r="Y131" s="74"/>
      <c r="Z131" s="74"/>
      <c r="AA131" s="46" t="s">
        <v>150</v>
      </c>
      <c r="AB131" s="46" t="n">
        <v>9.02</v>
      </c>
      <c r="AC131" s="46"/>
      <c r="AD131" s="46" t="n">
        <v>24.201131</v>
      </c>
      <c r="AE131" s="46" t="n">
        <v>76.872677</v>
      </c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</row>
    <row r="132" customFormat="false" ht="18.75" hidden="false" customHeight="false" outlineLevel="0" collapsed="false">
      <c r="A132" s="71" t="s">
        <v>415</v>
      </c>
      <c r="B132" s="71" t="s">
        <v>416</v>
      </c>
      <c r="C132" s="51" t="s">
        <v>667</v>
      </c>
      <c r="D132" s="71" t="s">
        <v>671</v>
      </c>
      <c r="E132" s="73" t="s">
        <v>672</v>
      </c>
      <c r="F132" s="73" t="n">
        <v>147.73</v>
      </c>
      <c r="G132" s="73" t="n">
        <v>34</v>
      </c>
      <c r="H132" s="73" t="n">
        <v>169</v>
      </c>
      <c r="I132" s="73" t="n">
        <v>87</v>
      </c>
      <c r="J132" s="73" t="n">
        <v>82</v>
      </c>
      <c r="K132" s="73" t="n">
        <v>14</v>
      </c>
      <c r="L132" s="74" t="n">
        <f aca="false">K132/H132*100</f>
        <v>8.28402366863906</v>
      </c>
      <c r="M132" s="73" t="n">
        <v>0</v>
      </c>
      <c r="N132" s="74" t="n">
        <f aca="false">O132/H132*100</f>
        <v>14.1597633136095</v>
      </c>
      <c r="O132" s="73" t="n">
        <v>23.93</v>
      </c>
      <c r="P132" s="73" t="n">
        <v>31.07</v>
      </c>
      <c r="Q132" s="86"/>
      <c r="R132" s="74"/>
      <c r="S132" s="75"/>
      <c r="T132" s="46" t="n">
        <v>13.65</v>
      </c>
      <c r="U132" s="74"/>
      <c r="V132" s="74"/>
      <c r="W132" s="74"/>
      <c r="X132" s="74"/>
      <c r="Y132" s="74"/>
      <c r="Z132" s="74"/>
      <c r="AA132" s="46"/>
      <c r="AB132" s="46"/>
      <c r="AC132" s="46"/>
      <c r="AD132" s="75"/>
      <c r="AE132" s="75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</row>
    <row r="133" customFormat="false" ht="15" hidden="false" customHeight="false" outlineLevel="0" collapsed="false">
      <c r="A133" s="71" t="s">
        <v>415</v>
      </c>
      <c r="B133" s="71" t="s">
        <v>416</v>
      </c>
      <c r="C133" s="51" t="s">
        <v>667</v>
      </c>
      <c r="D133" s="71" t="s">
        <v>673</v>
      </c>
      <c r="E133" s="73" t="s">
        <v>674</v>
      </c>
      <c r="F133" s="73" t="n">
        <v>124.39</v>
      </c>
      <c r="G133" s="73" t="n">
        <v>100</v>
      </c>
      <c r="H133" s="73" t="n">
        <v>544</v>
      </c>
      <c r="I133" s="73" t="n">
        <v>264</v>
      </c>
      <c r="J133" s="73" t="n">
        <v>280</v>
      </c>
      <c r="K133" s="73" t="n">
        <v>54</v>
      </c>
      <c r="L133" s="74" t="n">
        <f aca="false">K133/H133*100</f>
        <v>9.92647058823529</v>
      </c>
      <c r="M133" s="73" t="n">
        <v>0</v>
      </c>
      <c r="N133" s="74" t="n">
        <f aca="false">O133/H133*100</f>
        <v>4.25183823529412</v>
      </c>
      <c r="O133" s="73" t="n">
        <v>23.13</v>
      </c>
      <c r="P133" s="73" t="n">
        <v>0</v>
      </c>
      <c r="Q133" s="46" t="s">
        <v>45</v>
      </c>
      <c r="R133" s="46" t="s">
        <v>420</v>
      </c>
      <c r="S133" s="46"/>
      <c r="T133" s="46" t="n">
        <v>24.37</v>
      </c>
      <c r="U133" s="74"/>
      <c r="V133" s="74"/>
      <c r="W133" s="74"/>
      <c r="X133" s="74"/>
      <c r="Y133" s="74"/>
      <c r="Z133" s="74"/>
      <c r="AA133" s="46"/>
      <c r="AB133" s="46"/>
      <c r="AC133" s="46"/>
      <c r="AD133" s="46" t="n">
        <v>24.217579</v>
      </c>
      <c r="AE133" s="46" t="n">
        <v>76.835805</v>
      </c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</row>
    <row r="134" customFormat="false" ht="15" hidden="false" customHeight="false" outlineLevel="0" collapsed="false">
      <c r="A134" s="71" t="s">
        <v>415</v>
      </c>
      <c r="B134" s="71" t="s">
        <v>416</v>
      </c>
      <c r="C134" s="51" t="s">
        <v>667</v>
      </c>
      <c r="D134" s="71" t="s">
        <v>675</v>
      </c>
      <c r="E134" s="73" t="s">
        <v>676</v>
      </c>
      <c r="F134" s="73" t="n">
        <v>285.48</v>
      </c>
      <c r="G134" s="73" t="n">
        <v>116</v>
      </c>
      <c r="H134" s="73" t="n">
        <v>582</v>
      </c>
      <c r="I134" s="73" t="n">
        <v>273</v>
      </c>
      <c r="J134" s="73" t="n">
        <v>309</v>
      </c>
      <c r="K134" s="73" t="n">
        <v>101</v>
      </c>
      <c r="L134" s="74" t="n">
        <f aca="false">K134/H134*100</f>
        <v>17.3539518900344</v>
      </c>
      <c r="M134" s="73" t="n">
        <v>0</v>
      </c>
      <c r="N134" s="74" t="n">
        <f aca="false">O134/H134*100</f>
        <v>8.34879725085911</v>
      </c>
      <c r="O134" s="73" t="n">
        <v>48.59</v>
      </c>
      <c r="P134" s="73" t="n">
        <v>57.22</v>
      </c>
      <c r="Q134" s="46" t="s">
        <v>43</v>
      </c>
      <c r="R134" s="46" t="s">
        <v>420</v>
      </c>
      <c r="S134" s="46"/>
      <c r="T134" s="46" t="n">
        <v>33.265</v>
      </c>
      <c r="U134" s="74"/>
      <c r="V134" s="74"/>
      <c r="W134" s="74"/>
      <c r="X134" s="74"/>
      <c r="Y134" s="74"/>
      <c r="Z134" s="74"/>
      <c r="AA134" s="46" t="s">
        <v>80</v>
      </c>
      <c r="AB134" s="46" t="n">
        <v>0</v>
      </c>
      <c r="AC134" s="46" t="s">
        <v>423</v>
      </c>
      <c r="AD134" s="46" t="n">
        <v>24.218202</v>
      </c>
      <c r="AE134" s="46" t="n">
        <v>76.874345</v>
      </c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</row>
    <row r="135" customFormat="false" ht="15" hidden="false" customHeight="false" outlineLevel="0" collapsed="false">
      <c r="A135" s="71" t="s">
        <v>415</v>
      </c>
      <c r="B135" s="71" t="s">
        <v>416</v>
      </c>
      <c r="C135" s="51" t="s">
        <v>667</v>
      </c>
      <c r="D135" s="71" t="s">
        <v>532</v>
      </c>
      <c r="E135" s="73" t="s">
        <v>677</v>
      </c>
      <c r="F135" s="73" t="n">
        <v>153.83</v>
      </c>
      <c r="G135" s="73" t="n">
        <v>34</v>
      </c>
      <c r="H135" s="73" t="n">
        <v>135</v>
      </c>
      <c r="I135" s="73" t="n">
        <v>71</v>
      </c>
      <c r="J135" s="73" t="n">
        <v>64</v>
      </c>
      <c r="K135" s="73" t="n">
        <v>34</v>
      </c>
      <c r="L135" s="74" t="n">
        <f aca="false">K135/H135*100</f>
        <v>25.1851851851852</v>
      </c>
      <c r="M135" s="73" t="n">
        <v>0</v>
      </c>
      <c r="N135" s="74" t="n">
        <f aca="false">O135/H135*100</f>
        <v>14.5851851851852</v>
      </c>
      <c r="O135" s="73" t="n">
        <v>19.69</v>
      </c>
      <c r="P135" s="73" t="n">
        <v>30.14</v>
      </c>
      <c r="Q135" s="46" t="s">
        <v>45</v>
      </c>
      <c r="R135" s="46" t="s">
        <v>420</v>
      </c>
      <c r="S135" s="46"/>
      <c r="T135" s="46" t="n">
        <v>55.2476</v>
      </c>
      <c r="U135" s="74"/>
      <c r="V135" s="74"/>
      <c r="W135" s="74"/>
      <c r="X135" s="74"/>
      <c r="Y135" s="74"/>
      <c r="Z135" s="74"/>
      <c r="AA135" s="46" t="s">
        <v>47</v>
      </c>
      <c r="AB135" s="46" t="n">
        <v>0</v>
      </c>
      <c r="AC135" s="46"/>
      <c r="AD135" s="46" t="n">
        <v>24.224388</v>
      </c>
      <c r="AE135" s="46" t="n">
        <v>76.875148</v>
      </c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</row>
    <row r="136" customFormat="false" ht="21" hidden="false" customHeight="false" outlineLevel="0" collapsed="false">
      <c r="A136" s="71" t="s">
        <v>415</v>
      </c>
      <c r="B136" s="71" t="s">
        <v>416</v>
      </c>
      <c r="C136" s="51" t="s">
        <v>667</v>
      </c>
      <c r="D136" s="71" t="s">
        <v>678</v>
      </c>
      <c r="E136" s="73" t="s">
        <v>679</v>
      </c>
      <c r="F136" s="73" t="n">
        <v>303.92</v>
      </c>
      <c r="G136" s="73" t="n">
        <v>137</v>
      </c>
      <c r="H136" s="73" t="n">
        <v>669</v>
      </c>
      <c r="I136" s="73" t="n">
        <v>350</v>
      </c>
      <c r="J136" s="73" t="n">
        <v>319</v>
      </c>
      <c r="K136" s="73" t="n">
        <v>74</v>
      </c>
      <c r="L136" s="74" t="n">
        <f aca="false">K136/H136*100</f>
        <v>11.0612855007474</v>
      </c>
      <c r="M136" s="73" t="n">
        <v>198</v>
      </c>
      <c r="N136" s="74" t="n">
        <f aca="false">O136/H136*100</f>
        <v>7.17189835575486</v>
      </c>
      <c r="O136" s="73" t="n">
        <v>47.98</v>
      </c>
      <c r="P136" s="73" t="n">
        <v>61.03</v>
      </c>
      <c r="Q136" s="46" t="s">
        <v>45</v>
      </c>
      <c r="R136" s="46" t="s">
        <v>420</v>
      </c>
      <c r="S136" s="46"/>
      <c r="T136" s="75"/>
      <c r="U136" s="74"/>
      <c r="V136" s="74"/>
      <c r="W136" s="74"/>
      <c r="X136" s="74"/>
      <c r="Y136" s="74"/>
      <c r="Z136" s="74"/>
      <c r="AA136" s="76"/>
      <c r="AB136" s="74"/>
      <c r="AC136" s="75"/>
      <c r="AD136" s="46"/>
      <c r="AE136" s="4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</row>
    <row r="137" customFormat="false" ht="15" hidden="false" customHeight="false" outlineLevel="0" collapsed="false">
      <c r="A137" s="71" t="s">
        <v>415</v>
      </c>
      <c r="B137" s="71" t="s">
        <v>416</v>
      </c>
      <c r="C137" s="51" t="s">
        <v>667</v>
      </c>
      <c r="D137" s="71" t="s">
        <v>680</v>
      </c>
      <c r="E137" s="73" t="s">
        <v>681</v>
      </c>
      <c r="F137" s="73" t="n">
        <v>39.9</v>
      </c>
      <c r="G137" s="73" t="n">
        <v>85</v>
      </c>
      <c r="H137" s="73" t="n">
        <v>362</v>
      </c>
      <c r="I137" s="73" t="n">
        <v>202</v>
      </c>
      <c r="J137" s="73" t="n">
        <v>160</v>
      </c>
      <c r="K137" s="73" t="n">
        <v>19</v>
      </c>
      <c r="L137" s="74" t="n">
        <f aca="false">K137/H137*100</f>
        <v>5.24861878453039</v>
      </c>
      <c r="M137" s="73" t="n">
        <v>0</v>
      </c>
      <c r="N137" s="74" t="n">
        <f aca="false">O137/H137*100</f>
        <v>0</v>
      </c>
      <c r="O137" s="73" t="n">
        <v>0</v>
      </c>
      <c r="P137" s="73" t="n">
        <v>7.15</v>
      </c>
      <c r="Q137" s="46" t="s">
        <v>43</v>
      </c>
      <c r="R137" s="46" t="s">
        <v>420</v>
      </c>
      <c r="S137" s="46"/>
      <c r="T137" s="46" t="n">
        <v>23.8927</v>
      </c>
      <c r="U137" s="74"/>
      <c r="V137" s="74"/>
      <c r="W137" s="74"/>
      <c r="X137" s="74"/>
      <c r="Y137" s="74"/>
      <c r="Z137" s="74"/>
      <c r="AA137" s="46" t="s">
        <v>80</v>
      </c>
      <c r="AB137" s="46" t="n">
        <v>0</v>
      </c>
      <c r="AC137" s="46"/>
      <c r="AD137" s="46" t="n">
        <v>24.223829</v>
      </c>
      <c r="AE137" s="46" t="n">
        <v>76.876478</v>
      </c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</row>
    <row r="138" customFormat="false" ht="15" hidden="false" customHeight="false" outlineLevel="0" collapsed="false">
      <c r="A138" s="71" t="s">
        <v>415</v>
      </c>
      <c r="B138" s="71" t="s">
        <v>416</v>
      </c>
      <c r="C138" s="51" t="s">
        <v>667</v>
      </c>
      <c r="D138" s="71" t="s">
        <v>682</v>
      </c>
      <c r="E138" s="73" t="s">
        <v>683</v>
      </c>
      <c r="F138" s="73" t="n">
        <v>290.63</v>
      </c>
      <c r="G138" s="73" t="n">
        <v>190</v>
      </c>
      <c r="H138" s="73" t="n">
        <v>973</v>
      </c>
      <c r="I138" s="73" t="n">
        <v>479</v>
      </c>
      <c r="J138" s="73" t="n">
        <v>494</v>
      </c>
      <c r="K138" s="73" t="n">
        <v>45</v>
      </c>
      <c r="L138" s="74" t="n">
        <f aca="false">K138/H138*100</f>
        <v>4.62487153134635</v>
      </c>
      <c r="M138" s="73" t="n">
        <v>793</v>
      </c>
      <c r="N138" s="74" t="n">
        <f aca="false">O138/H138*100</f>
        <v>4.7327852004111</v>
      </c>
      <c r="O138" s="73" t="n">
        <v>46.05</v>
      </c>
      <c r="P138" s="73" t="n">
        <v>81.31</v>
      </c>
      <c r="Q138" s="46" t="s">
        <v>45</v>
      </c>
      <c r="R138" s="46" t="s">
        <v>684</v>
      </c>
      <c r="S138" s="46"/>
      <c r="T138" s="46" t="n">
        <v>51.0227</v>
      </c>
      <c r="U138" s="74"/>
      <c r="V138" s="74"/>
      <c r="W138" s="74"/>
      <c r="X138" s="74"/>
      <c r="Y138" s="74"/>
      <c r="Z138" s="74"/>
      <c r="AA138" s="46" t="s">
        <v>82</v>
      </c>
      <c r="AB138" s="46" t="n">
        <v>5</v>
      </c>
      <c r="AC138" s="46" t="s">
        <v>685</v>
      </c>
      <c r="AD138" s="46" t="n">
        <v>24.244263</v>
      </c>
      <c r="AE138" s="46" t="n">
        <v>76.882769</v>
      </c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</row>
    <row r="139" customFormat="false" ht="15" hidden="false" customHeight="false" outlineLevel="0" collapsed="false">
      <c r="A139" s="71" t="s">
        <v>415</v>
      </c>
      <c r="B139" s="71" t="s">
        <v>416</v>
      </c>
      <c r="C139" s="51" t="s">
        <v>667</v>
      </c>
      <c r="D139" s="71" t="s">
        <v>686</v>
      </c>
      <c r="E139" s="73" t="s">
        <v>687</v>
      </c>
      <c r="F139" s="73" t="n">
        <v>448.72</v>
      </c>
      <c r="G139" s="73" t="n">
        <v>96</v>
      </c>
      <c r="H139" s="73" t="n">
        <v>425</v>
      </c>
      <c r="I139" s="73" t="n">
        <v>216</v>
      </c>
      <c r="J139" s="73" t="n">
        <v>209</v>
      </c>
      <c r="K139" s="73" t="n">
        <v>27</v>
      </c>
      <c r="L139" s="74" t="n">
        <f aca="false">K139/H139*100</f>
        <v>6.35294117647059</v>
      </c>
      <c r="M139" s="73" t="n">
        <v>117</v>
      </c>
      <c r="N139" s="74" t="n">
        <f aca="false">O139/H139*100</f>
        <v>5.78823529411765</v>
      </c>
      <c r="O139" s="73" t="n">
        <v>24.6</v>
      </c>
      <c r="P139" s="73" t="n">
        <v>166.62</v>
      </c>
      <c r="Q139" s="46" t="s">
        <v>45</v>
      </c>
      <c r="R139" s="46" t="s">
        <v>420</v>
      </c>
      <c r="S139" s="46"/>
      <c r="T139" s="46" t="n">
        <v>20.3394</v>
      </c>
      <c r="U139" s="74"/>
      <c r="V139" s="74"/>
      <c r="W139" s="74"/>
      <c r="X139" s="74"/>
      <c r="Y139" s="74"/>
      <c r="Z139" s="74"/>
      <c r="AA139" s="46" t="s">
        <v>80</v>
      </c>
      <c r="AB139" s="46" t="n">
        <v>0</v>
      </c>
      <c r="AC139" s="46"/>
      <c r="AD139" s="46" t="n">
        <v>24.218202</v>
      </c>
      <c r="AE139" s="46" t="n">
        <v>76.874345</v>
      </c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</row>
    <row r="140" customFormat="false" ht="15" hidden="false" customHeight="false" outlineLevel="0" collapsed="false">
      <c r="A140" s="71" t="s">
        <v>415</v>
      </c>
      <c r="B140" s="71" t="s">
        <v>416</v>
      </c>
      <c r="C140" s="51" t="s">
        <v>688</v>
      </c>
      <c r="D140" s="72" t="s">
        <v>689</v>
      </c>
      <c r="E140" s="73" t="s">
        <v>690</v>
      </c>
      <c r="F140" s="73" t="n">
        <v>828.04</v>
      </c>
      <c r="G140" s="73" t="n">
        <v>465</v>
      </c>
      <c r="H140" s="73" t="n">
        <v>2272</v>
      </c>
      <c r="I140" s="73" t="n">
        <v>1175</v>
      </c>
      <c r="J140" s="73" t="n">
        <v>1097</v>
      </c>
      <c r="K140" s="73" t="n">
        <v>308</v>
      </c>
      <c r="L140" s="74" t="n">
        <f aca="false">K140/H140*100</f>
        <v>13.556338028169</v>
      </c>
      <c r="M140" s="73" t="n">
        <v>437</v>
      </c>
      <c r="N140" s="74" t="n">
        <f aca="false">O140/H140*100</f>
        <v>3.94674295774648</v>
      </c>
      <c r="O140" s="73" t="n">
        <v>89.67</v>
      </c>
      <c r="P140" s="73" t="n">
        <v>314.94</v>
      </c>
      <c r="Q140" s="46" t="s">
        <v>43</v>
      </c>
      <c r="R140" s="46" t="s">
        <v>691</v>
      </c>
      <c r="S140" s="46"/>
      <c r="T140" s="46" t="n">
        <v>48.8831</v>
      </c>
      <c r="U140" s="74"/>
      <c r="V140" s="74" t="s">
        <v>49</v>
      </c>
      <c r="W140" s="74"/>
      <c r="X140" s="74"/>
      <c r="Y140" s="74"/>
      <c r="Z140" s="74"/>
      <c r="AA140" s="46" t="s">
        <v>80</v>
      </c>
      <c r="AB140" s="46" t="n">
        <v>0</v>
      </c>
      <c r="AC140" s="46"/>
      <c r="AD140" s="46" t="n">
        <v>24.2135</v>
      </c>
      <c r="AE140" s="46" t="n">
        <v>76.6932</v>
      </c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</row>
    <row r="141" customFormat="false" ht="15" hidden="false" customHeight="false" outlineLevel="0" collapsed="false">
      <c r="A141" s="71" t="s">
        <v>415</v>
      </c>
      <c r="B141" s="71" t="s">
        <v>416</v>
      </c>
      <c r="C141" s="51" t="s">
        <v>688</v>
      </c>
      <c r="D141" s="71" t="s">
        <v>692</v>
      </c>
      <c r="E141" s="73" t="s">
        <v>693</v>
      </c>
      <c r="F141" s="73" t="n">
        <v>467.99</v>
      </c>
      <c r="G141" s="73" t="n">
        <v>198</v>
      </c>
      <c r="H141" s="73" t="n">
        <v>840</v>
      </c>
      <c r="I141" s="73" t="n">
        <v>425</v>
      </c>
      <c r="J141" s="73" t="n">
        <v>415</v>
      </c>
      <c r="K141" s="73" t="n">
        <v>71</v>
      </c>
      <c r="L141" s="74" t="n">
        <f aca="false">K141/H141*100</f>
        <v>8.45238095238095</v>
      </c>
      <c r="M141" s="73" t="n">
        <v>0</v>
      </c>
      <c r="N141" s="74" t="n">
        <f aca="false">O141/H141*100</f>
        <v>6.10833333333333</v>
      </c>
      <c r="O141" s="73" t="n">
        <v>51.31</v>
      </c>
      <c r="P141" s="73" t="n">
        <v>0</v>
      </c>
      <c r="Q141" s="46" t="s">
        <v>43</v>
      </c>
      <c r="R141" s="46" t="s">
        <v>691</v>
      </c>
      <c r="S141" s="46"/>
      <c r="T141" s="46"/>
      <c r="U141" s="74"/>
      <c r="V141" s="74"/>
      <c r="W141" s="74"/>
      <c r="X141" s="74"/>
      <c r="Y141" s="74"/>
      <c r="Z141" s="74"/>
      <c r="AA141" s="46"/>
      <c r="AB141" s="46"/>
      <c r="AC141" s="46"/>
      <c r="AD141" s="46"/>
      <c r="AE141" s="4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</row>
    <row r="142" customFormat="false" ht="15" hidden="false" customHeight="false" outlineLevel="0" collapsed="false">
      <c r="A142" s="71" t="s">
        <v>415</v>
      </c>
      <c r="B142" s="71" t="s">
        <v>416</v>
      </c>
      <c r="C142" s="51" t="s">
        <v>688</v>
      </c>
      <c r="D142" s="71" t="s">
        <v>694</v>
      </c>
      <c r="E142" s="73" t="s">
        <v>695</v>
      </c>
      <c r="F142" s="73" t="n">
        <v>149.92</v>
      </c>
      <c r="G142" s="73" t="n">
        <v>140</v>
      </c>
      <c r="H142" s="73" t="n">
        <v>571</v>
      </c>
      <c r="I142" s="73" t="n">
        <v>284</v>
      </c>
      <c r="J142" s="73" t="n">
        <v>287</v>
      </c>
      <c r="K142" s="73" t="n">
        <v>33</v>
      </c>
      <c r="L142" s="74" t="n">
        <f aca="false">K142/H142*100</f>
        <v>5.77933450087566</v>
      </c>
      <c r="M142" s="73" t="n">
        <v>0</v>
      </c>
      <c r="N142" s="74" t="n">
        <f aca="false">O142/H142*100</f>
        <v>5.9492119089317</v>
      </c>
      <c r="O142" s="73" t="n">
        <v>33.97</v>
      </c>
      <c r="P142" s="73" t="n">
        <v>0</v>
      </c>
      <c r="Q142" s="46" t="s">
        <v>43</v>
      </c>
      <c r="R142" s="46" t="s">
        <v>691</v>
      </c>
      <c r="S142" s="46"/>
      <c r="T142" s="46" t="n">
        <v>49.5416</v>
      </c>
      <c r="U142" s="74"/>
      <c r="V142" s="74"/>
      <c r="W142" s="74"/>
      <c r="X142" s="74"/>
      <c r="Y142" s="74"/>
      <c r="Z142" s="74"/>
      <c r="AA142" s="46" t="s">
        <v>80</v>
      </c>
      <c r="AB142" s="46" t="n">
        <v>0</v>
      </c>
      <c r="AC142" s="46" t="s">
        <v>423</v>
      </c>
      <c r="AD142" s="46"/>
      <c r="AE142" s="4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</row>
    <row r="143" customFormat="false" ht="15" hidden="false" customHeight="false" outlineLevel="0" collapsed="false">
      <c r="A143" s="71" t="s">
        <v>415</v>
      </c>
      <c r="B143" s="71" t="s">
        <v>416</v>
      </c>
      <c r="C143" s="51" t="s">
        <v>688</v>
      </c>
      <c r="D143" s="71" t="s">
        <v>696</v>
      </c>
      <c r="E143" s="73" t="s">
        <v>697</v>
      </c>
      <c r="F143" s="73" t="n">
        <v>165.07</v>
      </c>
      <c r="G143" s="73" t="n">
        <v>136</v>
      </c>
      <c r="H143" s="73" t="n">
        <v>605</v>
      </c>
      <c r="I143" s="73" t="n">
        <v>301</v>
      </c>
      <c r="J143" s="73" t="n">
        <v>304</v>
      </c>
      <c r="K143" s="73" t="n">
        <v>31</v>
      </c>
      <c r="L143" s="74" t="n">
        <f aca="false">K143/H143*100</f>
        <v>5.12396694214876</v>
      </c>
      <c r="M143" s="73" t="n">
        <v>0</v>
      </c>
      <c r="N143" s="74" t="n">
        <f aca="false">O143/H143*100</f>
        <v>5.94710743801653</v>
      </c>
      <c r="O143" s="73" t="n">
        <v>35.98</v>
      </c>
      <c r="P143" s="73" t="n">
        <v>0</v>
      </c>
      <c r="Q143" s="46" t="s">
        <v>43</v>
      </c>
      <c r="R143" s="46" t="s">
        <v>691</v>
      </c>
      <c r="S143" s="46"/>
      <c r="T143" s="46" t="n">
        <v>24.6048</v>
      </c>
      <c r="U143" s="74"/>
      <c r="V143" s="74"/>
      <c r="W143" s="74"/>
      <c r="X143" s="74"/>
      <c r="Y143" s="74"/>
      <c r="Z143" s="74"/>
      <c r="AA143" s="46" t="s">
        <v>80</v>
      </c>
      <c r="AB143" s="46" t="n">
        <v>0</v>
      </c>
      <c r="AC143" s="46" t="s">
        <v>423</v>
      </c>
      <c r="AD143" s="46"/>
      <c r="AE143" s="4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</row>
    <row r="144" customFormat="false" ht="15" hidden="false" customHeight="false" outlineLevel="0" collapsed="false">
      <c r="A144" s="71" t="s">
        <v>415</v>
      </c>
      <c r="B144" s="71" t="s">
        <v>416</v>
      </c>
      <c r="C144" s="51" t="s">
        <v>688</v>
      </c>
      <c r="D144" s="71" t="s">
        <v>698</v>
      </c>
      <c r="E144" s="73" t="s">
        <v>699</v>
      </c>
      <c r="F144" s="73" t="n">
        <v>612.29</v>
      </c>
      <c r="G144" s="73" t="n">
        <v>334</v>
      </c>
      <c r="H144" s="73" t="n">
        <v>1585</v>
      </c>
      <c r="I144" s="73" t="n">
        <v>783</v>
      </c>
      <c r="J144" s="73" t="n">
        <v>802</v>
      </c>
      <c r="K144" s="73" t="n">
        <v>28</v>
      </c>
      <c r="L144" s="74" t="n">
        <f aca="false">K144/H144*100</f>
        <v>1.76656151419558</v>
      </c>
      <c r="M144" s="73" t="n">
        <v>1313</v>
      </c>
      <c r="N144" s="74" t="n">
        <f aca="false">O144/H144*100</f>
        <v>4.38044164037855</v>
      </c>
      <c r="O144" s="73" t="n">
        <v>69.43</v>
      </c>
      <c r="P144" s="73" t="n">
        <v>80.38</v>
      </c>
      <c r="Q144" s="46" t="s">
        <v>43</v>
      </c>
      <c r="R144" s="46" t="s">
        <v>691</v>
      </c>
      <c r="S144" s="46"/>
      <c r="T144" s="46" t="n">
        <v>89.6781</v>
      </c>
      <c r="U144" s="74"/>
      <c r="V144" s="74"/>
      <c r="W144" s="74"/>
      <c r="X144" s="74"/>
      <c r="Y144" s="74"/>
      <c r="Z144" s="74"/>
      <c r="AA144" s="46" t="s">
        <v>47</v>
      </c>
      <c r="AB144" s="46" t="n">
        <v>0</v>
      </c>
      <c r="AC144" s="46"/>
      <c r="AD144" s="46" t="n">
        <v>24.1948</v>
      </c>
      <c r="AE144" s="46" t="n">
        <v>76.6897</v>
      </c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</row>
    <row r="145" customFormat="false" ht="15" hidden="false" customHeight="false" outlineLevel="0" collapsed="false">
      <c r="A145" s="71" t="s">
        <v>415</v>
      </c>
      <c r="B145" s="71" t="s">
        <v>416</v>
      </c>
      <c r="C145" s="51" t="s">
        <v>700</v>
      </c>
      <c r="D145" s="72" t="s">
        <v>701</v>
      </c>
      <c r="E145" s="73" t="s">
        <v>702</v>
      </c>
      <c r="F145" s="73" t="n">
        <v>1015.35</v>
      </c>
      <c r="G145" s="73" t="n">
        <v>365</v>
      </c>
      <c r="H145" s="73" t="n">
        <v>1952</v>
      </c>
      <c r="I145" s="73" t="n">
        <v>997</v>
      </c>
      <c r="J145" s="73" t="n">
        <v>955</v>
      </c>
      <c r="K145" s="73" t="n">
        <v>124</v>
      </c>
      <c r="L145" s="74" t="n">
        <f aca="false">K145/H145*100</f>
        <v>6.35245901639344</v>
      </c>
      <c r="M145" s="73" t="n">
        <v>357</v>
      </c>
      <c r="N145" s="74" t="n">
        <f aca="false">O145/H145*100</f>
        <v>5.99129098360656</v>
      </c>
      <c r="O145" s="73" t="n">
        <v>116.95</v>
      </c>
      <c r="P145" s="73" t="n">
        <v>341.98</v>
      </c>
      <c r="Q145" s="46" t="s">
        <v>45</v>
      </c>
      <c r="R145" s="46" t="s">
        <v>464</v>
      </c>
      <c r="S145" s="46"/>
      <c r="T145" s="46" t="n">
        <v>52.2773</v>
      </c>
      <c r="U145" s="74"/>
      <c r="V145" s="74"/>
      <c r="W145" s="74"/>
      <c r="X145" s="74"/>
      <c r="Y145" s="74"/>
      <c r="Z145" s="74"/>
      <c r="AA145" s="46" t="s">
        <v>47</v>
      </c>
      <c r="AB145" s="46" t="n">
        <v>0</v>
      </c>
      <c r="AC145" s="46"/>
      <c r="AD145" s="46" t="n">
        <v>24.214505</v>
      </c>
      <c r="AE145" s="46" t="n">
        <v>76.71065</v>
      </c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</row>
    <row r="146" customFormat="false" ht="15" hidden="false" customHeight="false" outlineLevel="0" collapsed="false">
      <c r="A146" s="71" t="s">
        <v>415</v>
      </c>
      <c r="B146" s="71" t="s">
        <v>416</v>
      </c>
      <c r="C146" s="51" t="s">
        <v>700</v>
      </c>
      <c r="D146" s="71" t="s">
        <v>703</v>
      </c>
      <c r="E146" s="73" t="s">
        <v>704</v>
      </c>
      <c r="F146" s="73" t="n">
        <v>406.57</v>
      </c>
      <c r="G146" s="73" t="n">
        <v>71</v>
      </c>
      <c r="H146" s="73" t="n">
        <v>322</v>
      </c>
      <c r="I146" s="73" t="n">
        <v>169</v>
      </c>
      <c r="J146" s="73" t="n">
        <v>153</v>
      </c>
      <c r="K146" s="73" t="n">
        <v>33</v>
      </c>
      <c r="L146" s="74" t="n">
        <f aca="false">K146/H146*100</f>
        <v>10.2484472049689</v>
      </c>
      <c r="M146" s="73" t="n">
        <v>74</v>
      </c>
      <c r="N146" s="74" t="n">
        <f aca="false">O146/H146*100</f>
        <v>6.58695652173913</v>
      </c>
      <c r="O146" s="73" t="n">
        <v>21.21</v>
      </c>
      <c r="P146" s="73" t="n">
        <v>203.58</v>
      </c>
      <c r="Q146" s="46" t="s">
        <v>45</v>
      </c>
      <c r="R146" s="46" t="s">
        <v>464</v>
      </c>
      <c r="S146" s="46"/>
      <c r="T146" s="46" t="n">
        <v>33.9692</v>
      </c>
      <c r="U146" s="74"/>
      <c r="V146" s="74"/>
      <c r="W146" s="74"/>
      <c r="X146" s="74"/>
      <c r="Y146" s="74"/>
      <c r="Z146" s="74"/>
      <c r="AA146" s="46" t="s">
        <v>47</v>
      </c>
      <c r="AB146" s="46" t="n">
        <v>0</v>
      </c>
      <c r="AC146" s="46"/>
      <c r="AD146" s="46"/>
      <c r="AE146" s="4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</row>
    <row r="147" customFormat="false" ht="15" hidden="false" customHeight="false" outlineLevel="0" collapsed="false">
      <c r="A147" s="71" t="s">
        <v>415</v>
      </c>
      <c r="B147" s="71" t="s">
        <v>416</v>
      </c>
      <c r="C147" s="51" t="s">
        <v>700</v>
      </c>
      <c r="D147" s="71" t="s">
        <v>705</v>
      </c>
      <c r="E147" s="73" t="s">
        <v>706</v>
      </c>
      <c r="F147" s="73" t="n">
        <v>509.94</v>
      </c>
      <c r="G147" s="73" t="n">
        <v>148</v>
      </c>
      <c r="H147" s="73" t="n">
        <v>711</v>
      </c>
      <c r="I147" s="73" t="n">
        <v>364</v>
      </c>
      <c r="J147" s="73" t="n">
        <v>347</v>
      </c>
      <c r="K147" s="73" t="n">
        <v>37</v>
      </c>
      <c r="L147" s="74" t="n">
        <f aca="false">K147/H147*100</f>
        <v>5.20393811533052</v>
      </c>
      <c r="M147" s="73" t="n">
        <v>450</v>
      </c>
      <c r="N147" s="74" t="n">
        <f aca="false">O147/H147*100</f>
        <v>4.83122362869198</v>
      </c>
      <c r="O147" s="73" t="n">
        <v>34.35</v>
      </c>
      <c r="P147" s="73" t="n">
        <v>191.97</v>
      </c>
      <c r="Q147" s="46" t="s">
        <v>45</v>
      </c>
      <c r="R147" s="46" t="s">
        <v>464</v>
      </c>
      <c r="S147" s="46"/>
      <c r="T147" s="46" t="n">
        <v>36.9559</v>
      </c>
      <c r="U147" s="74"/>
      <c r="V147" s="74"/>
      <c r="W147" s="74"/>
      <c r="X147" s="74"/>
      <c r="Y147" s="74"/>
      <c r="Z147" s="74"/>
      <c r="AA147" s="46" t="s">
        <v>47</v>
      </c>
      <c r="AB147" s="46" t="n">
        <v>0</v>
      </c>
      <c r="AC147" s="46"/>
      <c r="AD147" s="46"/>
      <c r="AE147" s="4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</row>
    <row r="148" s="26" customFormat="true" ht="15" hidden="false" customHeight="false" outlineLevel="0" collapsed="false">
      <c r="A148" s="51" t="s">
        <v>415</v>
      </c>
      <c r="B148" s="51" t="s">
        <v>416</v>
      </c>
      <c r="C148" s="51" t="s">
        <v>700</v>
      </c>
      <c r="D148" s="51" t="s">
        <v>705</v>
      </c>
      <c r="E148" s="73"/>
      <c r="F148" s="73"/>
      <c r="G148" s="73"/>
      <c r="H148" s="73"/>
      <c r="I148" s="73"/>
      <c r="J148" s="73"/>
      <c r="K148" s="73"/>
      <c r="L148" s="74" t="e">
        <f aca="false">K148/H148*100</f>
        <v>#DIV/0!</v>
      </c>
      <c r="M148" s="73"/>
      <c r="N148" s="74" t="e">
        <f aca="false">O148/H148*100</f>
        <v>#DIV/0!</v>
      </c>
      <c r="O148" s="73"/>
      <c r="P148" s="73"/>
      <c r="Q148" s="46" t="s">
        <v>45</v>
      </c>
      <c r="R148" s="46" t="s">
        <v>464</v>
      </c>
      <c r="S148" s="46"/>
      <c r="T148" s="46" t="n">
        <v>86.1169</v>
      </c>
      <c r="U148" s="74"/>
      <c r="V148" s="74"/>
      <c r="W148" s="74"/>
      <c r="X148" s="74"/>
      <c r="Y148" s="74"/>
      <c r="Z148" s="74"/>
      <c r="AA148" s="46" t="s">
        <v>47</v>
      </c>
      <c r="AB148" s="46" t="n">
        <v>0</v>
      </c>
      <c r="AC148" s="46"/>
      <c r="AD148" s="46" t="n">
        <v>24.248269</v>
      </c>
      <c r="AE148" s="46" t="n">
        <v>76.732346</v>
      </c>
    </row>
    <row r="149" customFormat="false" ht="15" hidden="false" customHeight="false" outlineLevel="0" collapsed="false">
      <c r="A149" s="71" t="s">
        <v>415</v>
      </c>
      <c r="B149" s="71" t="s">
        <v>416</v>
      </c>
      <c r="C149" s="51" t="s">
        <v>700</v>
      </c>
      <c r="D149" s="71" t="s">
        <v>707</v>
      </c>
      <c r="E149" s="73" t="s">
        <v>708</v>
      </c>
      <c r="F149" s="73" t="n">
        <v>315.58</v>
      </c>
      <c r="G149" s="73" t="n">
        <v>138</v>
      </c>
      <c r="H149" s="73" t="n">
        <v>645</v>
      </c>
      <c r="I149" s="73" t="n">
        <v>319</v>
      </c>
      <c r="J149" s="73" t="n">
        <v>326</v>
      </c>
      <c r="K149" s="73" t="n">
        <v>90</v>
      </c>
      <c r="L149" s="74" t="n">
        <f aca="false">K149/H149*100</f>
        <v>13.953488372093</v>
      </c>
      <c r="M149" s="73" t="n">
        <v>0</v>
      </c>
      <c r="N149" s="74" t="n">
        <f aca="false">O149/H149*100</f>
        <v>5.2</v>
      </c>
      <c r="O149" s="73" t="n">
        <v>33.54</v>
      </c>
      <c r="P149" s="73" t="n">
        <v>150.06</v>
      </c>
      <c r="Q149" s="46" t="s">
        <v>45</v>
      </c>
      <c r="R149" s="46" t="s">
        <v>464</v>
      </c>
      <c r="S149" s="46"/>
      <c r="T149" s="46" t="n">
        <v>121.6242</v>
      </c>
      <c r="U149" s="74"/>
      <c r="V149" s="74"/>
      <c r="W149" s="74"/>
      <c r="X149" s="74"/>
      <c r="Y149" s="74"/>
      <c r="Z149" s="74"/>
      <c r="AA149" s="46" t="s">
        <v>150</v>
      </c>
      <c r="AB149" s="46" t="n">
        <v>12.3024</v>
      </c>
      <c r="AC149" s="46"/>
      <c r="AD149" s="46" t="n">
        <v>24.260653</v>
      </c>
      <c r="AE149" s="46" t="n">
        <v>76.702778</v>
      </c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</row>
    <row r="150" customFormat="false" ht="15" hidden="false" customHeight="false" outlineLevel="0" collapsed="false">
      <c r="A150" s="71" t="s">
        <v>415</v>
      </c>
      <c r="B150" s="71" t="s">
        <v>416</v>
      </c>
      <c r="C150" s="51" t="s">
        <v>700</v>
      </c>
      <c r="D150" s="71" t="s">
        <v>709</v>
      </c>
      <c r="E150" s="73" t="s">
        <v>710</v>
      </c>
      <c r="F150" s="73" t="n">
        <v>476.25</v>
      </c>
      <c r="G150" s="73" t="n">
        <v>182</v>
      </c>
      <c r="H150" s="73" t="n">
        <v>951</v>
      </c>
      <c r="I150" s="73" t="n">
        <v>466</v>
      </c>
      <c r="J150" s="73" t="n">
        <v>485</v>
      </c>
      <c r="K150" s="73" t="n">
        <v>100</v>
      </c>
      <c r="L150" s="74" t="n">
        <f aca="false">K150/H150*100</f>
        <v>10.515247108307</v>
      </c>
      <c r="M150" s="73" t="n">
        <v>0</v>
      </c>
      <c r="N150" s="74" t="n">
        <f aca="false">O150/H150*100</f>
        <v>6.06940063091483</v>
      </c>
      <c r="O150" s="73" t="n">
        <v>57.72</v>
      </c>
      <c r="P150" s="73" t="n">
        <v>136.31</v>
      </c>
      <c r="Q150" s="46" t="s">
        <v>45</v>
      </c>
      <c r="R150" s="46" t="s">
        <v>464</v>
      </c>
      <c r="S150" s="46"/>
      <c r="T150" s="46"/>
      <c r="U150" s="74"/>
      <c r="V150" s="74"/>
      <c r="W150" s="74"/>
      <c r="X150" s="74"/>
      <c r="Y150" s="74"/>
      <c r="Z150" s="74"/>
      <c r="AA150" s="46" t="s">
        <v>272</v>
      </c>
      <c r="AB150" s="46" t="n">
        <v>0</v>
      </c>
      <c r="AC150" s="46"/>
      <c r="AD150" s="46"/>
      <c r="AE150" s="4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</row>
    <row r="151" customFormat="false" ht="15" hidden="false" customHeight="false" outlineLevel="0" collapsed="false">
      <c r="A151" s="71" t="s">
        <v>415</v>
      </c>
      <c r="B151" s="71" t="s">
        <v>416</v>
      </c>
      <c r="C151" s="51" t="s">
        <v>416</v>
      </c>
      <c r="D151" s="72" t="s">
        <v>711</v>
      </c>
      <c r="E151" s="73" t="s">
        <v>712</v>
      </c>
      <c r="F151" s="73" t="n">
        <v>0</v>
      </c>
      <c r="G151" s="73" t="n">
        <v>0</v>
      </c>
      <c r="H151" s="73" t="n">
        <v>0</v>
      </c>
      <c r="I151" s="73" t="n">
        <v>0</v>
      </c>
      <c r="J151" s="73" t="n">
        <v>0</v>
      </c>
      <c r="K151" s="73" t="n">
        <v>0</v>
      </c>
      <c r="L151" s="74" t="e">
        <f aca="false">K151/H151*100</f>
        <v>#DIV/0!</v>
      </c>
      <c r="M151" s="73" t="n">
        <v>0</v>
      </c>
      <c r="N151" s="74" t="e">
        <f aca="false">O151/H151*100</f>
        <v>#DIV/0!</v>
      </c>
      <c r="O151" s="73" t="n">
        <v>0</v>
      </c>
      <c r="P151" s="73" t="n">
        <v>0</v>
      </c>
      <c r="Q151" s="46" t="s">
        <v>43</v>
      </c>
      <c r="R151" s="46" t="s">
        <v>97</v>
      </c>
      <c r="S151" s="56"/>
      <c r="T151" s="46"/>
      <c r="U151" s="74"/>
      <c r="V151" s="74"/>
      <c r="W151" s="74"/>
      <c r="X151" s="74"/>
      <c r="Y151" s="74"/>
      <c r="Z151" s="74"/>
      <c r="AA151" s="46" t="s">
        <v>272</v>
      </c>
      <c r="AB151" s="46" t="n">
        <v>0</v>
      </c>
      <c r="AC151" s="46"/>
      <c r="AD151" s="47" t="n">
        <v>24.237922</v>
      </c>
      <c r="AE151" s="47" t="n">
        <v>76.815832</v>
      </c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</row>
    <row r="152" customFormat="false" ht="15" hidden="false" customHeight="false" outlineLevel="0" collapsed="false">
      <c r="A152" s="71" t="s">
        <v>415</v>
      </c>
      <c r="B152" s="71" t="s">
        <v>416</v>
      </c>
      <c r="C152" s="51" t="s">
        <v>713</v>
      </c>
      <c r="D152" s="72" t="s">
        <v>714</v>
      </c>
      <c r="E152" s="73" t="s">
        <v>715</v>
      </c>
      <c r="F152" s="73" t="n">
        <v>480.98</v>
      </c>
      <c r="G152" s="73" t="n">
        <v>249</v>
      </c>
      <c r="H152" s="73" t="n">
        <v>1052</v>
      </c>
      <c r="I152" s="73" t="n">
        <v>526</v>
      </c>
      <c r="J152" s="73" t="n">
        <v>526</v>
      </c>
      <c r="K152" s="73" t="n">
        <v>228</v>
      </c>
      <c r="L152" s="74" t="n">
        <f aca="false">K152/H152*100</f>
        <v>21.6730038022814</v>
      </c>
      <c r="M152" s="73" t="n">
        <v>3</v>
      </c>
      <c r="N152" s="74" t="n">
        <f aca="false">O152/H152*100</f>
        <v>8.18250950570342</v>
      </c>
      <c r="O152" s="73" t="n">
        <v>86.08</v>
      </c>
      <c r="P152" s="73" t="n">
        <v>0</v>
      </c>
      <c r="Q152" s="46" t="s">
        <v>45</v>
      </c>
      <c r="R152" s="46" t="s">
        <v>716</v>
      </c>
      <c r="S152" s="46"/>
      <c r="T152" s="46"/>
      <c r="U152" s="74"/>
      <c r="V152" s="74"/>
      <c r="W152" s="74"/>
      <c r="X152" s="74"/>
      <c r="Y152" s="74"/>
      <c r="Z152" s="74"/>
      <c r="AA152" s="46" t="s">
        <v>43</v>
      </c>
      <c r="AB152" s="46" t="n">
        <v>15</v>
      </c>
      <c r="AC152" s="46" t="s">
        <v>717</v>
      </c>
      <c r="AD152" s="46" t="n">
        <v>24.233</v>
      </c>
      <c r="AE152" s="46" t="n">
        <v>76.81</v>
      </c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</row>
    <row r="153" customFormat="false" ht="15" hidden="false" customHeight="false" outlineLevel="0" collapsed="false">
      <c r="A153" s="71" t="s">
        <v>415</v>
      </c>
      <c r="B153" s="71" t="s">
        <v>416</v>
      </c>
      <c r="C153" s="51" t="s">
        <v>713</v>
      </c>
      <c r="D153" s="71" t="s">
        <v>718</v>
      </c>
      <c r="E153" s="73" t="s">
        <v>719</v>
      </c>
      <c r="F153" s="73" t="n">
        <v>376.23</v>
      </c>
      <c r="G153" s="73" t="n">
        <v>165</v>
      </c>
      <c r="H153" s="73" t="n">
        <v>659</v>
      </c>
      <c r="I153" s="73" t="n">
        <v>362</v>
      </c>
      <c r="J153" s="73" t="n">
        <v>297</v>
      </c>
      <c r="K153" s="73" t="n">
        <v>96</v>
      </c>
      <c r="L153" s="74" t="n">
        <f aca="false">K153/H153*100</f>
        <v>14.567526555387</v>
      </c>
      <c r="M153" s="73" t="n">
        <v>0</v>
      </c>
      <c r="N153" s="74" t="n">
        <f aca="false">O153/H153*100</f>
        <v>9.20940819423369</v>
      </c>
      <c r="O153" s="73" t="n">
        <v>60.69</v>
      </c>
      <c r="P153" s="73" t="n">
        <v>0</v>
      </c>
      <c r="Q153" s="46" t="s">
        <v>45</v>
      </c>
      <c r="R153" s="46" t="s">
        <v>716</v>
      </c>
      <c r="S153" s="46"/>
      <c r="T153" s="46" t="n">
        <v>33.6293</v>
      </c>
      <c r="U153" s="74"/>
      <c r="V153" s="74"/>
      <c r="W153" s="74"/>
      <c r="X153" s="74"/>
      <c r="Y153" s="74"/>
      <c r="Z153" s="74"/>
      <c r="AA153" s="46" t="s">
        <v>150</v>
      </c>
      <c r="AB153" s="46" t="n">
        <v>33.6293</v>
      </c>
      <c r="AC153" s="46"/>
      <c r="AD153" s="46" t="n">
        <v>24.1574</v>
      </c>
      <c r="AE153" s="46" t="n">
        <v>76.7814</v>
      </c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</row>
    <row r="154" customFormat="false" ht="15" hidden="false" customHeight="false" outlineLevel="0" collapsed="false">
      <c r="A154" s="71" t="s">
        <v>415</v>
      </c>
      <c r="B154" s="71" t="s">
        <v>416</v>
      </c>
      <c r="C154" s="51" t="s">
        <v>713</v>
      </c>
      <c r="D154" s="71" t="s">
        <v>397</v>
      </c>
      <c r="E154" s="73" t="s">
        <v>720</v>
      </c>
      <c r="F154" s="73" t="n">
        <v>163.47</v>
      </c>
      <c r="G154" s="73" t="n">
        <v>107</v>
      </c>
      <c r="H154" s="73" t="n">
        <v>457</v>
      </c>
      <c r="I154" s="73" t="n">
        <v>221</v>
      </c>
      <c r="J154" s="73" t="n">
        <v>236</v>
      </c>
      <c r="K154" s="73" t="n">
        <v>40</v>
      </c>
      <c r="L154" s="74" t="n">
        <f aca="false">K154/H154*100</f>
        <v>8.7527352297593</v>
      </c>
      <c r="M154" s="73" t="n">
        <v>0</v>
      </c>
      <c r="N154" s="74" t="n">
        <f aca="false">O154/H154*100</f>
        <v>4.63894967177243</v>
      </c>
      <c r="O154" s="73" t="n">
        <v>21.2</v>
      </c>
      <c r="P154" s="73" t="n">
        <v>0</v>
      </c>
      <c r="Q154" s="46" t="s">
        <v>45</v>
      </c>
      <c r="R154" s="46" t="s">
        <v>716</v>
      </c>
      <c r="S154" s="46"/>
      <c r="T154" s="46"/>
      <c r="U154" s="74"/>
      <c r="V154" s="74"/>
      <c r="W154" s="74"/>
      <c r="X154" s="74"/>
      <c r="Y154" s="74"/>
      <c r="Z154" s="74"/>
      <c r="AA154" s="46" t="s">
        <v>272</v>
      </c>
      <c r="AB154" s="46" t="n">
        <v>0</v>
      </c>
      <c r="AC154" s="46"/>
      <c r="AD154" s="46" t="n">
        <v>24.1654</v>
      </c>
      <c r="AE154" s="46" t="n">
        <v>76.304</v>
      </c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</row>
    <row r="155" customFormat="false" ht="15" hidden="false" customHeight="false" outlineLevel="0" collapsed="false">
      <c r="A155" s="71" t="s">
        <v>415</v>
      </c>
      <c r="B155" s="71" t="s">
        <v>416</v>
      </c>
      <c r="C155" s="51" t="s">
        <v>713</v>
      </c>
      <c r="D155" s="71" t="s">
        <v>345</v>
      </c>
      <c r="E155" s="73" t="s">
        <v>721</v>
      </c>
      <c r="F155" s="73" t="n">
        <v>41.54</v>
      </c>
      <c r="G155" s="73" t="n">
        <v>52</v>
      </c>
      <c r="H155" s="73" t="n">
        <v>254</v>
      </c>
      <c r="I155" s="73" t="n">
        <v>136</v>
      </c>
      <c r="J155" s="73" t="n">
        <v>118</v>
      </c>
      <c r="K155" s="73" t="n">
        <v>32</v>
      </c>
      <c r="L155" s="74" t="n">
        <f aca="false">K155/H155*100</f>
        <v>12.5984251968504</v>
      </c>
      <c r="M155" s="73" t="n">
        <v>0</v>
      </c>
      <c r="N155" s="74" t="n">
        <f aca="false">O155/H155*100</f>
        <v>0</v>
      </c>
      <c r="O155" s="73" t="n">
        <v>0</v>
      </c>
      <c r="P155" s="73" t="n">
        <v>0</v>
      </c>
      <c r="Q155" s="46" t="s">
        <v>45</v>
      </c>
      <c r="R155" s="46" t="s">
        <v>716</v>
      </c>
      <c r="S155" s="87"/>
      <c r="T155" s="56" t="n">
        <v>154.88</v>
      </c>
      <c r="U155" s="74"/>
      <c r="V155" s="74"/>
      <c r="W155" s="74"/>
      <c r="X155" s="74"/>
      <c r="Y155" s="74"/>
      <c r="Z155" s="74"/>
      <c r="AA155" s="46" t="s">
        <v>82</v>
      </c>
      <c r="AB155" s="46" t="n">
        <v>70</v>
      </c>
      <c r="AC155" s="46"/>
      <c r="AD155" s="87"/>
      <c r="AE155" s="87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</row>
    <row r="156" customFormat="false" ht="15" hidden="false" customHeight="false" outlineLevel="0" collapsed="false">
      <c r="A156" s="71" t="s">
        <v>415</v>
      </c>
      <c r="B156" s="71" t="s">
        <v>416</v>
      </c>
      <c r="C156" s="51" t="s">
        <v>713</v>
      </c>
      <c r="D156" s="71" t="s">
        <v>176</v>
      </c>
      <c r="E156" s="73" t="s">
        <v>722</v>
      </c>
      <c r="F156" s="73" t="n">
        <v>222.99</v>
      </c>
      <c r="G156" s="73" t="n">
        <v>107</v>
      </c>
      <c r="H156" s="73" t="n">
        <v>511</v>
      </c>
      <c r="I156" s="73" t="n">
        <v>264</v>
      </c>
      <c r="J156" s="73" t="n">
        <v>247</v>
      </c>
      <c r="K156" s="73" t="n">
        <v>8</v>
      </c>
      <c r="L156" s="74" t="n">
        <f aca="false">K156/H156*100</f>
        <v>1.56555772994129</v>
      </c>
      <c r="M156" s="73" t="n">
        <v>0</v>
      </c>
      <c r="N156" s="74" t="n">
        <f aca="false">O156/H156*100</f>
        <v>2.00391389432485</v>
      </c>
      <c r="O156" s="73" t="n">
        <v>10.24</v>
      </c>
      <c r="P156" s="73" t="n">
        <v>0</v>
      </c>
      <c r="Q156" s="46" t="s">
        <v>45</v>
      </c>
      <c r="R156" s="46" t="s">
        <v>716</v>
      </c>
      <c r="S156" s="46"/>
      <c r="T156" s="46" t="n">
        <v>84.55</v>
      </c>
      <c r="U156" s="74"/>
      <c r="V156" s="74"/>
      <c r="W156" s="74"/>
      <c r="X156" s="74"/>
      <c r="Y156" s="74"/>
      <c r="Z156" s="74"/>
      <c r="AA156" s="46" t="s">
        <v>82</v>
      </c>
      <c r="AB156" s="46" t="n">
        <v>2</v>
      </c>
      <c r="AC156" s="46" t="s">
        <v>723</v>
      </c>
      <c r="AD156" s="46" t="n">
        <v>24.1616</v>
      </c>
      <c r="AE156" s="46" t="n">
        <v>76.7757</v>
      </c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</row>
    <row r="157" customFormat="false" ht="15" hidden="false" customHeight="false" outlineLevel="0" collapsed="false">
      <c r="A157" s="71" t="s">
        <v>415</v>
      </c>
      <c r="B157" s="71" t="s">
        <v>416</v>
      </c>
      <c r="C157" s="51" t="s">
        <v>713</v>
      </c>
      <c r="D157" s="71" t="s">
        <v>279</v>
      </c>
      <c r="E157" s="73" t="s">
        <v>724</v>
      </c>
      <c r="F157" s="73" t="n">
        <v>181.83</v>
      </c>
      <c r="G157" s="73" t="n">
        <v>86</v>
      </c>
      <c r="H157" s="73" t="n">
        <v>359</v>
      </c>
      <c r="I157" s="73" t="n">
        <v>198</v>
      </c>
      <c r="J157" s="73" t="n">
        <v>161</v>
      </c>
      <c r="K157" s="73" t="n">
        <v>0</v>
      </c>
      <c r="L157" s="74" t="n">
        <f aca="false">K157/H157*100</f>
        <v>0</v>
      </c>
      <c r="M157" s="73" t="n">
        <v>0</v>
      </c>
      <c r="N157" s="74" t="n">
        <f aca="false">O157/H157*100</f>
        <v>9.71030640668524</v>
      </c>
      <c r="O157" s="73" t="n">
        <v>34.86</v>
      </c>
      <c r="P157" s="73" t="n">
        <v>0</v>
      </c>
      <c r="Q157" s="46" t="s">
        <v>45</v>
      </c>
      <c r="R157" s="46" t="s">
        <v>716</v>
      </c>
      <c r="S157" s="46"/>
      <c r="T157" s="46" t="n">
        <v>61.633</v>
      </c>
      <c r="U157" s="74"/>
      <c r="V157" s="74"/>
      <c r="W157" s="74"/>
      <c r="X157" s="74"/>
      <c r="Y157" s="74"/>
      <c r="Z157" s="74"/>
      <c r="AA157" s="46" t="s">
        <v>80</v>
      </c>
      <c r="AB157" s="46" t="n">
        <v>0</v>
      </c>
      <c r="AC157" s="46"/>
      <c r="AD157" s="46" t="n">
        <v>24.169</v>
      </c>
      <c r="AE157" s="46" t="n">
        <v>76.7752</v>
      </c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</row>
    <row r="158" customFormat="false" ht="15" hidden="false" customHeight="false" outlineLevel="0" collapsed="false">
      <c r="A158" s="71" t="s">
        <v>415</v>
      </c>
      <c r="B158" s="71" t="s">
        <v>416</v>
      </c>
      <c r="C158" s="51" t="s">
        <v>713</v>
      </c>
      <c r="D158" s="71" t="s">
        <v>725</v>
      </c>
      <c r="E158" s="73" t="s">
        <v>726</v>
      </c>
      <c r="F158" s="73" t="n">
        <v>490.79</v>
      </c>
      <c r="G158" s="73" t="n">
        <v>150</v>
      </c>
      <c r="H158" s="73" t="n">
        <v>824</v>
      </c>
      <c r="I158" s="73" t="n">
        <v>429</v>
      </c>
      <c r="J158" s="73" t="n">
        <v>395</v>
      </c>
      <c r="K158" s="73" t="n">
        <v>21</v>
      </c>
      <c r="L158" s="74" t="n">
        <f aca="false">K158/H158*100</f>
        <v>2.54854368932039</v>
      </c>
      <c r="M158" s="73" t="n">
        <v>802</v>
      </c>
      <c r="N158" s="74" t="n">
        <f aca="false">O158/H158*100</f>
        <v>6.375</v>
      </c>
      <c r="O158" s="73" t="n">
        <v>52.53</v>
      </c>
      <c r="P158" s="73" t="n">
        <v>76.54</v>
      </c>
      <c r="Q158" s="46" t="s">
        <v>45</v>
      </c>
      <c r="R158" s="46" t="s">
        <v>716</v>
      </c>
      <c r="S158" s="46"/>
      <c r="T158" s="46" t="n">
        <v>27.43</v>
      </c>
      <c r="U158" s="74"/>
      <c r="V158" s="74"/>
      <c r="W158" s="74"/>
      <c r="X158" s="74"/>
      <c r="Y158" s="74"/>
      <c r="Z158" s="74"/>
      <c r="AA158" s="46" t="s">
        <v>82</v>
      </c>
      <c r="AB158" s="46" t="n">
        <v>1</v>
      </c>
      <c r="AC158" s="46" t="s">
        <v>129</v>
      </c>
      <c r="AD158" s="46" t="n">
        <v>24.1721</v>
      </c>
      <c r="AE158" s="46" t="n">
        <v>76.8253</v>
      </c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</row>
    <row r="159" customFormat="false" ht="15" hidden="false" customHeight="false" outlineLevel="0" collapsed="false">
      <c r="A159" s="71" t="s">
        <v>415</v>
      </c>
      <c r="B159" s="71" t="s">
        <v>416</v>
      </c>
      <c r="C159" s="51" t="s">
        <v>713</v>
      </c>
      <c r="D159" s="71" t="s">
        <v>727</v>
      </c>
      <c r="E159" s="73" t="s">
        <v>728</v>
      </c>
      <c r="F159" s="73" t="n">
        <v>392.15</v>
      </c>
      <c r="G159" s="73" t="n">
        <v>119</v>
      </c>
      <c r="H159" s="73" t="n">
        <v>559</v>
      </c>
      <c r="I159" s="73" t="n">
        <v>293</v>
      </c>
      <c r="J159" s="73" t="n">
        <v>266</v>
      </c>
      <c r="K159" s="73" t="n">
        <v>22</v>
      </c>
      <c r="L159" s="74" t="n">
        <f aca="false">K159/H159*100</f>
        <v>3.93559928443649</v>
      </c>
      <c r="M159" s="73" t="n">
        <v>0</v>
      </c>
      <c r="N159" s="74" t="n">
        <f aca="false">O159/H159*100</f>
        <v>9.7567084078712</v>
      </c>
      <c r="O159" s="73" t="n">
        <v>54.54</v>
      </c>
      <c r="P159" s="73" t="n">
        <v>132.33</v>
      </c>
      <c r="Q159" s="46" t="s">
        <v>45</v>
      </c>
      <c r="R159" s="46" t="s">
        <v>716</v>
      </c>
      <c r="S159" s="46"/>
      <c r="T159" s="87" t="n">
        <v>0</v>
      </c>
      <c r="U159" s="74"/>
      <c r="V159" s="74"/>
      <c r="W159" s="74"/>
      <c r="X159" s="74"/>
      <c r="Y159" s="74"/>
      <c r="Z159" s="74"/>
      <c r="AA159" s="87" t="s">
        <v>47</v>
      </c>
      <c r="AB159" s="74" t="n">
        <v>0</v>
      </c>
      <c r="AC159" s="87"/>
      <c r="AD159" s="46" t="n">
        <v>24.175</v>
      </c>
      <c r="AE159" s="46" t="n">
        <v>76.7721</v>
      </c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</row>
    <row r="160" customFormat="false" ht="15" hidden="false" customHeight="false" outlineLevel="0" collapsed="false">
      <c r="A160" s="71" t="s">
        <v>415</v>
      </c>
      <c r="B160" s="71" t="s">
        <v>416</v>
      </c>
      <c r="C160" s="51" t="s">
        <v>713</v>
      </c>
      <c r="D160" s="71" t="s">
        <v>729</v>
      </c>
      <c r="E160" s="73" t="s">
        <v>730</v>
      </c>
      <c r="F160" s="73" t="n">
        <v>262.93</v>
      </c>
      <c r="G160" s="73" t="n">
        <v>94</v>
      </c>
      <c r="H160" s="73" t="n">
        <v>384</v>
      </c>
      <c r="I160" s="73" t="n">
        <v>194</v>
      </c>
      <c r="J160" s="73" t="n">
        <v>190</v>
      </c>
      <c r="K160" s="73" t="n">
        <v>7</v>
      </c>
      <c r="L160" s="74" t="n">
        <f aca="false">K160/H160*100</f>
        <v>1.82291666666667</v>
      </c>
      <c r="M160" s="73" t="n">
        <v>0</v>
      </c>
      <c r="N160" s="74" t="n">
        <f aca="false">O160/H160*100</f>
        <v>9.72135416666667</v>
      </c>
      <c r="O160" s="73" t="n">
        <v>37.33</v>
      </c>
      <c r="P160" s="73" t="n">
        <v>77.77</v>
      </c>
      <c r="Q160" s="46" t="s">
        <v>45</v>
      </c>
      <c r="R160" s="46" t="s">
        <v>716</v>
      </c>
      <c r="S160" s="46"/>
      <c r="T160" s="46" t="n">
        <v>22.99</v>
      </c>
      <c r="U160" s="74"/>
      <c r="V160" s="74"/>
      <c r="W160" s="74"/>
      <c r="X160" s="74"/>
      <c r="Y160" s="74"/>
      <c r="Z160" s="74"/>
      <c r="AA160" s="46" t="s">
        <v>82</v>
      </c>
      <c r="AB160" s="46" t="n">
        <v>2</v>
      </c>
      <c r="AC160" s="46" t="s">
        <v>129</v>
      </c>
      <c r="AD160" s="46" t="n">
        <v>24.1783</v>
      </c>
      <c r="AE160" s="46" t="n">
        <v>76.7608</v>
      </c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</row>
    <row r="161" customFormat="false" ht="15" hidden="false" customHeight="false" outlineLevel="0" collapsed="false">
      <c r="A161" s="71" t="s">
        <v>415</v>
      </c>
      <c r="B161" s="71" t="s">
        <v>416</v>
      </c>
      <c r="C161" s="51" t="s">
        <v>731</v>
      </c>
      <c r="D161" s="72" t="s">
        <v>732</v>
      </c>
      <c r="E161" s="73" t="s">
        <v>733</v>
      </c>
      <c r="F161" s="73" t="n">
        <v>540.12</v>
      </c>
      <c r="G161" s="73" t="n">
        <v>138</v>
      </c>
      <c r="H161" s="73" t="n">
        <v>635</v>
      </c>
      <c r="I161" s="73" t="n">
        <v>320</v>
      </c>
      <c r="J161" s="73" t="n">
        <v>315</v>
      </c>
      <c r="K161" s="73" t="n">
        <v>81</v>
      </c>
      <c r="L161" s="74" t="n">
        <f aca="false">K161/H161*100</f>
        <v>12.755905511811</v>
      </c>
      <c r="M161" s="73" t="n">
        <v>0</v>
      </c>
      <c r="N161" s="74" t="n">
        <f aca="false">O161/H161*100</f>
        <v>11.2488188976378</v>
      </c>
      <c r="O161" s="73" t="n">
        <v>71.43</v>
      </c>
      <c r="P161" s="73" t="n">
        <v>142.99</v>
      </c>
      <c r="Q161" s="46" t="s">
        <v>45</v>
      </c>
      <c r="R161" s="46" t="s">
        <v>464</v>
      </c>
      <c r="S161" s="46"/>
      <c r="T161" s="46" t="n">
        <v>34.35</v>
      </c>
      <c r="U161" s="74"/>
      <c r="V161" s="74" t="s">
        <v>49</v>
      </c>
      <c r="W161" s="74" t="s">
        <v>49</v>
      </c>
      <c r="X161" s="74" t="s">
        <v>49</v>
      </c>
      <c r="Y161" s="74" t="s">
        <v>49</v>
      </c>
      <c r="Z161" s="74" t="s">
        <v>49</v>
      </c>
      <c r="AA161" s="46" t="s">
        <v>82</v>
      </c>
      <c r="AB161" s="46" t="n">
        <v>2</v>
      </c>
      <c r="AC161" s="46" t="s">
        <v>129</v>
      </c>
      <c r="AD161" s="46"/>
      <c r="AE161" s="4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</row>
    <row r="162" customFormat="false" ht="15" hidden="false" customHeight="false" outlineLevel="0" collapsed="false">
      <c r="A162" s="71" t="s">
        <v>415</v>
      </c>
      <c r="B162" s="71" t="s">
        <v>416</v>
      </c>
      <c r="C162" s="51" t="s">
        <v>731</v>
      </c>
      <c r="D162" s="71" t="s">
        <v>734</v>
      </c>
      <c r="E162" s="73" t="s">
        <v>735</v>
      </c>
      <c r="F162" s="73" t="n">
        <v>486.97</v>
      </c>
      <c r="G162" s="73" t="n">
        <v>201</v>
      </c>
      <c r="H162" s="73" t="n">
        <v>897</v>
      </c>
      <c r="I162" s="73" t="n">
        <v>472</v>
      </c>
      <c r="J162" s="73" t="n">
        <v>425</v>
      </c>
      <c r="K162" s="73" t="n">
        <v>0</v>
      </c>
      <c r="L162" s="74" t="n">
        <f aca="false">K162/H162*100</f>
        <v>0</v>
      </c>
      <c r="M162" s="73" t="n">
        <v>518</v>
      </c>
      <c r="N162" s="74" t="n">
        <f aca="false">O162/H162*100</f>
        <v>3.95094760312152</v>
      </c>
      <c r="O162" s="73" t="n">
        <v>35.44</v>
      </c>
      <c r="P162" s="73" t="n">
        <v>30.91</v>
      </c>
      <c r="Q162" s="46" t="s">
        <v>45</v>
      </c>
      <c r="R162" s="46" t="s">
        <v>464</v>
      </c>
      <c r="S162" s="46"/>
      <c r="T162" s="46" t="n">
        <v>51.19</v>
      </c>
      <c r="U162" s="74"/>
      <c r="V162" s="74"/>
      <c r="W162" s="74"/>
      <c r="X162" s="74"/>
      <c r="Y162" s="74"/>
      <c r="Z162" s="74"/>
      <c r="AA162" s="46" t="s">
        <v>82</v>
      </c>
      <c r="AB162" s="46" t="n">
        <v>2</v>
      </c>
      <c r="AC162" s="46" t="s">
        <v>129</v>
      </c>
      <c r="AD162" s="46"/>
      <c r="AE162" s="4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</row>
    <row r="163" s="26" customFormat="true" ht="15" hidden="false" customHeight="false" outlineLevel="0" collapsed="false">
      <c r="A163" s="51" t="s">
        <v>415</v>
      </c>
      <c r="B163" s="51" t="s">
        <v>416</v>
      </c>
      <c r="C163" s="51" t="s">
        <v>731</v>
      </c>
      <c r="D163" s="51" t="s">
        <v>734</v>
      </c>
      <c r="E163" s="73"/>
      <c r="F163" s="73"/>
      <c r="G163" s="73"/>
      <c r="H163" s="73"/>
      <c r="I163" s="73"/>
      <c r="J163" s="73"/>
      <c r="K163" s="73"/>
      <c r="L163" s="74" t="e">
        <f aca="false">K163/H163*100</f>
        <v>#DIV/0!</v>
      </c>
      <c r="M163" s="73"/>
      <c r="N163" s="74" t="e">
        <f aca="false">O163/H163*100</f>
        <v>#DIV/0!</v>
      </c>
      <c r="O163" s="73"/>
      <c r="P163" s="73"/>
      <c r="Q163" s="46" t="s">
        <v>45</v>
      </c>
      <c r="R163" s="46" t="s">
        <v>464</v>
      </c>
      <c r="S163" s="46"/>
      <c r="T163" s="46" t="n">
        <v>66.46</v>
      </c>
      <c r="U163" s="74"/>
      <c r="V163" s="74"/>
      <c r="W163" s="74"/>
      <c r="X163" s="74"/>
      <c r="Y163" s="74"/>
      <c r="Z163" s="74"/>
      <c r="AA163" s="46" t="s">
        <v>82</v>
      </c>
      <c r="AB163" s="46" t="n">
        <v>1</v>
      </c>
      <c r="AC163" s="46" t="s">
        <v>129</v>
      </c>
      <c r="AD163" s="46" t="n">
        <v>24.186188</v>
      </c>
      <c r="AE163" s="46" t="n">
        <v>76.875042</v>
      </c>
    </row>
    <row r="164" customFormat="false" ht="15" hidden="false" customHeight="false" outlineLevel="0" collapsed="false">
      <c r="A164" s="71" t="s">
        <v>415</v>
      </c>
      <c r="B164" s="71" t="s">
        <v>416</v>
      </c>
      <c r="C164" s="51" t="s">
        <v>731</v>
      </c>
      <c r="D164" s="71" t="s">
        <v>736</v>
      </c>
      <c r="E164" s="73" t="s">
        <v>737</v>
      </c>
      <c r="F164" s="73" t="n">
        <v>207.04</v>
      </c>
      <c r="G164" s="73" t="n">
        <v>121</v>
      </c>
      <c r="H164" s="73" t="n">
        <v>577</v>
      </c>
      <c r="I164" s="73" t="n">
        <v>303</v>
      </c>
      <c r="J164" s="73" t="n">
        <v>274</v>
      </c>
      <c r="K164" s="73" t="n">
        <v>22</v>
      </c>
      <c r="L164" s="74" t="n">
        <f aca="false">K164/H164*100</f>
        <v>3.81282495667244</v>
      </c>
      <c r="M164" s="73" t="n">
        <v>32</v>
      </c>
      <c r="N164" s="74" t="n">
        <f aca="false">O164/H164*100</f>
        <v>5.19064124783362</v>
      </c>
      <c r="O164" s="73" t="n">
        <v>29.95</v>
      </c>
      <c r="P164" s="73" t="n">
        <v>0</v>
      </c>
      <c r="Q164" s="74"/>
      <c r="R164" s="74"/>
      <c r="S164" s="74"/>
      <c r="T164" s="46" t="n">
        <v>36.09</v>
      </c>
      <c r="U164" s="74"/>
      <c r="V164" s="74"/>
      <c r="W164" s="74"/>
      <c r="X164" s="74"/>
      <c r="Y164" s="74"/>
      <c r="Z164" s="74"/>
      <c r="AA164" s="46" t="s">
        <v>82</v>
      </c>
      <c r="AB164" s="46" t="n">
        <v>2</v>
      </c>
      <c r="AC164" s="46" t="s">
        <v>129</v>
      </c>
      <c r="AD164" s="74"/>
      <c r="AE164" s="74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</row>
    <row r="165" customFormat="false" ht="15" hidden="false" customHeight="false" outlineLevel="0" collapsed="false">
      <c r="A165" s="71" t="s">
        <v>415</v>
      </c>
      <c r="B165" s="71" t="s">
        <v>416</v>
      </c>
      <c r="C165" s="51" t="s">
        <v>731</v>
      </c>
      <c r="D165" s="71" t="s">
        <v>738</v>
      </c>
      <c r="E165" s="73" t="s">
        <v>739</v>
      </c>
      <c r="F165" s="73" t="n">
        <v>569.21</v>
      </c>
      <c r="G165" s="73" t="n">
        <v>264</v>
      </c>
      <c r="H165" s="73" t="n">
        <v>1292</v>
      </c>
      <c r="I165" s="73" t="n">
        <v>686</v>
      </c>
      <c r="J165" s="73" t="n">
        <v>606</v>
      </c>
      <c r="K165" s="73" t="n">
        <v>37</v>
      </c>
      <c r="L165" s="74" t="n">
        <f aca="false">K165/H165*100</f>
        <v>2.86377708978328</v>
      </c>
      <c r="M165" s="73" t="n">
        <v>1252</v>
      </c>
      <c r="N165" s="74" t="n">
        <f aca="false">O165/H165*100</f>
        <v>2.74148606811146</v>
      </c>
      <c r="O165" s="73" t="n">
        <v>35.42</v>
      </c>
      <c r="P165" s="73" t="n">
        <v>88.84</v>
      </c>
      <c r="Q165" s="46" t="s">
        <v>45</v>
      </c>
      <c r="R165" s="46" t="s">
        <v>464</v>
      </c>
      <c r="S165" s="46"/>
      <c r="T165" s="46"/>
      <c r="U165" s="74"/>
      <c r="V165" s="74"/>
      <c r="W165" s="74"/>
      <c r="X165" s="74"/>
      <c r="Y165" s="74"/>
      <c r="Z165" s="74"/>
      <c r="AA165" s="46" t="s">
        <v>272</v>
      </c>
      <c r="AB165" s="46" t="n">
        <v>0</v>
      </c>
      <c r="AC165" s="46"/>
      <c r="AD165" s="46"/>
      <c r="AE165" s="4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</row>
    <row r="166" customFormat="false" ht="15" hidden="false" customHeight="false" outlineLevel="0" collapsed="false">
      <c r="A166" s="71" t="s">
        <v>415</v>
      </c>
      <c r="B166" s="71" t="s">
        <v>416</v>
      </c>
      <c r="C166" s="51" t="s">
        <v>731</v>
      </c>
      <c r="D166" s="71" t="s">
        <v>740</v>
      </c>
      <c r="E166" s="73" t="s">
        <v>741</v>
      </c>
      <c r="F166" s="73" t="n">
        <v>530.27</v>
      </c>
      <c r="G166" s="73" t="n">
        <v>313</v>
      </c>
      <c r="H166" s="73" t="n">
        <v>1586</v>
      </c>
      <c r="I166" s="73" t="n">
        <v>782</v>
      </c>
      <c r="J166" s="73" t="n">
        <v>804</v>
      </c>
      <c r="K166" s="73" t="n">
        <v>21</v>
      </c>
      <c r="L166" s="74" t="n">
        <f aca="false">K166/H166*100</f>
        <v>1.32408575031526</v>
      </c>
      <c r="M166" s="73" t="n">
        <v>1554</v>
      </c>
      <c r="N166" s="74" t="n">
        <f aca="false">O166/H166*100</f>
        <v>5.72635561160151</v>
      </c>
      <c r="O166" s="73" t="n">
        <v>90.82</v>
      </c>
      <c r="P166" s="73" t="n">
        <v>0</v>
      </c>
      <c r="Q166" s="46" t="s">
        <v>45</v>
      </c>
      <c r="R166" s="46" t="s">
        <v>464</v>
      </c>
      <c r="S166" s="46"/>
      <c r="T166" s="46"/>
      <c r="U166" s="74"/>
      <c r="V166" s="74"/>
      <c r="W166" s="74"/>
      <c r="X166" s="74"/>
      <c r="Y166" s="74"/>
      <c r="Z166" s="74"/>
      <c r="AA166" s="46" t="s">
        <v>272</v>
      </c>
      <c r="AB166" s="46" t="n">
        <v>0</v>
      </c>
      <c r="AC166" s="46"/>
      <c r="AD166" s="46"/>
      <c r="AE166" s="4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</row>
    <row r="167" customFormat="false" ht="15" hidden="false" customHeight="false" outlineLevel="0" collapsed="false">
      <c r="A167" s="71" t="s">
        <v>415</v>
      </c>
      <c r="B167" s="71" t="s">
        <v>416</v>
      </c>
      <c r="C167" s="51" t="s">
        <v>731</v>
      </c>
      <c r="D167" s="71" t="s">
        <v>742</v>
      </c>
      <c r="E167" s="73" t="s">
        <v>743</v>
      </c>
      <c r="F167" s="73" t="n">
        <v>82.66</v>
      </c>
      <c r="G167" s="73" t="n">
        <v>88</v>
      </c>
      <c r="H167" s="73" t="n">
        <v>396</v>
      </c>
      <c r="I167" s="73" t="n">
        <v>202</v>
      </c>
      <c r="J167" s="73" t="n">
        <v>194</v>
      </c>
      <c r="K167" s="73" t="n">
        <v>49</v>
      </c>
      <c r="L167" s="74" t="n">
        <f aca="false">K167/H167*100</f>
        <v>12.3737373737374</v>
      </c>
      <c r="M167" s="73" t="n">
        <v>0</v>
      </c>
      <c r="N167" s="74" t="n">
        <f aca="false">O167/H167*100</f>
        <v>0</v>
      </c>
      <c r="O167" s="73" t="n">
        <v>0</v>
      </c>
      <c r="P167" s="73" t="n">
        <v>0</v>
      </c>
      <c r="Q167" s="46" t="s">
        <v>45</v>
      </c>
      <c r="R167" s="46" t="s">
        <v>464</v>
      </c>
      <c r="S167" s="46"/>
      <c r="T167" s="46"/>
      <c r="U167" s="74"/>
      <c r="V167" s="74"/>
      <c r="W167" s="74" t="s">
        <v>49</v>
      </c>
      <c r="X167" s="74" t="s">
        <v>49</v>
      </c>
      <c r="Y167" s="74" t="s">
        <v>49</v>
      </c>
      <c r="Z167" s="74" t="s">
        <v>49</v>
      </c>
      <c r="AA167" s="46" t="s">
        <v>150</v>
      </c>
      <c r="AB167" s="46" t="n">
        <v>15</v>
      </c>
      <c r="AC167" s="46" t="s">
        <v>744</v>
      </c>
      <c r="AD167" s="46"/>
      <c r="AE167" s="4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</row>
    <row r="168" customFormat="false" ht="15" hidden="false" customHeight="false" outlineLevel="0" collapsed="false">
      <c r="A168" s="71" t="s">
        <v>415</v>
      </c>
      <c r="B168" s="71" t="s">
        <v>416</v>
      </c>
      <c r="C168" s="51" t="s">
        <v>731</v>
      </c>
      <c r="D168" s="71" t="s">
        <v>99</v>
      </c>
      <c r="E168" s="73" t="s">
        <v>745</v>
      </c>
      <c r="F168" s="73" t="n">
        <v>736.28</v>
      </c>
      <c r="G168" s="73" t="n">
        <v>157</v>
      </c>
      <c r="H168" s="73" t="n">
        <v>719</v>
      </c>
      <c r="I168" s="73" t="n">
        <v>360</v>
      </c>
      <c r="J168" s="73" t="n">
        <v>359</v>
      </c>
      <c r="K168" s="73" t="n">
        <v>40</v>
      </c>
      <c r="L168" s="74" t="n">
        <f aca="false">K168/H168*100</f>
        <v>5.56328233657858</v>
      </c>
      <c r="M168" s="73" t="n">
        <v>179</v>
      </c>
      <c r="N168" s="74" t="n">
        <f aca="false">O168/H168*100</f>
        <v>12.0778859527121</v>
      </c>
      <c r="O168" s="73" t="n">
        <v>86.84</v>
      </c>
      <c r="P168" s="73" t="n">
        <v>329.75</v>
      </c>
      <c r="Q168" s="46" t="s">
        <v>45</v>
      </c>
      <c r="R168" s="46" t="s">
        <v>464</v>
      </c>
      <c r="S168" s="46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46"/>
      <c r="AE168" s="4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</row>
    <row r="169" customFormat="false" ht="15" hidden="false" customHeight="false" outlineLevel="0" collapsed="false">
      <c r="A169" s="71" t="s">
        <v>415</v>
      </c>
      <c r="B169" s="71" t="s">
        <v>416</v>
      </c>
      <c r="C169" s="51" t="s">
        <v>746</v>
      </c>
      <c r="D169" s="72" t="s">
        <v>747</v>
      </c>
      <c r="E169" s="73" t="s">
        <v>748</v>
      </c>
      <c r="F169" s="73" t="n">
        <v>318.72</v>
      </c>
      <c r="G169" s="73" t="n">
        <v>190</v>
      </c>
      <c r="H169" s="73" t="n">
        <v>905</v>
      </c>
      <c r="I169" s="73" t="n">
        <v>465</v>
      </c>
      <c r="J169" s="73" t="n">
        <v>440</v>
      </c>
      <c r="K169" s="73" t="n">
        <v>81</v>
      </c>
      <c r="L169" s="74" t="n">
        <f aca="false">K169/H169*100</f>
        <v>8.95027624309392</v>
      </c>
      <c r="M169" s="73" t="n">
        <v>45</v>
      </c>
      <c r="N169" s="74" t="n">
        <f aca="false">O169/H169*100</f>
        <v>5.31381215469613</v>
      </c>
      <c r="O169" s="73" t="n">
        <v>48.09</v>
      </c>
      <c r="P169" s="73" t="n">
        <v>0</v>
      </c>
      <c r="Q169" s="46" t="s">
        <v>45</v>
      </c>
      <c r="R169" s="46" t="s">
        <v>749</v>
      </c>
      <c r="S169" s="46"/>
      <c r="T169" s="46" t="n">
        <v>32.7228</v>
      </c>
      <c r="U169" s="74"/>
      <c r="V169" s="74"/>
      <c r="W169" s="74" t="s">
        <v>49</v>
      </c>
      <c r="X169" s="74" t="s">
        <v>49</v>
      </c>
      <c r="Y169" s="74" t="s">
        <v>49</v>
      </c>
      <c r="Z169" s="74" t="s">
        <v>49</v>
      </c>
      <c r="AA169" s="46" t="s">
        <v>82</v>
      </c>
      <c r="AB169" s="46" t="n">
        <v>32.7228</v>
      </c>
      <c r="AC169" s="46"/>
      <c r="AD169" s="46"/>
      <c r="AE169" s="4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</row>
    <row r="170" s="26" customFormat="true" ht="15" hidden="false" customHeight="false" outlineLevel="0" collapsed="false">
      <c r="A170" s="51" t="s">
        <v>415</v>
      </c>
      <c r="B170" s="51" t="s">
        <v>416</v>
      </c>
      <c r="C170" s="51" t="s">
        <v>746</v>
      </c>
      <c r="D170" s="51" t="s">
        <v>747</v>
      </c>
      <c r="E170" s="73"/>
      <c r="F170" s="73"/>
      <c r="G170" s="73"/>
      <c r="H170" s="73"/>
      <c r="I170" s="73"/>
      <c r="J170" s="73"/>
      <c r="K170" s="73"/>
      <c r="L170" s="74" t="e">
        <f aca="false">K170/H170*100</f>
        <v>#DIV/0!</v>
      </c>
      <c r="M170" s="73"/>
      <c r="N170" s="74" t="e">
        <f aca="false">O170/H170*100</f>
        <v>#DIV/0!</v>
      </c>
      <c r="O170" s="73"/>
      <c r="P170" s="73"/>
      <c r="Q170" s="46" t="s">
        <v>43</v>
      </c>
      <c r="R170" s="46"/>
      <c r="S170" s="46"/>
      <c r="T170" s="46"/>
      <c r="U170" s="74"/>
      <c r="V170" s="74"/>
      <c r="W170" s="74"/>
      <c r="X170" s="74"/>
      <c r="Y170" s="74"/>
      <c r="Z170" s="74"/>
      <c r="AA170" s="46" t="s">
        <v>272</v>
      </c>
      <c r="AB170" s="46" t="n">
        <v>0</v>
      </c>
      <c r="AC170" s="46"/>
      <c r="AD170" s="46" t="n">
        <v>24.302935</v>
      </c>
      <c r="AE170" s="46" t="n">
        <v>76.790442</v>
      </c>
    </row>
    <row r="171" s="26" customFormat="true" ht="15" hidden="false" customHeight="false" outlineLevel="0" collapsed="false">
      <c r="A171" s="51" t="s">
        <v>415</v>
      </c>
      <c r="B171" s="51" t="s">
        <v>416</v>
      </c>
      <c r="C171" s="51" t="s">
        <v>746</v>
      </c>
      <c r="D171" s="51" t="s">
        <v>747</v>
      </c>
      <c r="E171" s="73"/>
      <c r="F171" s="73"/>
      <c r="G171" s="73"/>
      <c r="H171" s="73"/>
      <c r="I171" s="73"/>
      <c r="J171" s="73"/>
      <c r="K171" s="73"/>
      <c r="L171" s="74" t="e">
        <f aca="false">K171/H171*100</f>
        <v>#DIV/0!</v>
      </c>
      <c r="M171" s="73"/>
      <c r="N171" s="74" t="e">
        <f aca="false">O171/H171*100</f>
        <v>#DIV/0!</v>
      </c>
      <c r="O171" s="73"/>
      <c r="P171" s="73"/>
      <c r="Q171" s="46" t="s">
        <v>43</v>
      </c>
      <c r="R171" s="46"/>
      <c r="S171" s="46"/>
      <c r="T171" s="46"/>
      <c r="U171" s="74"/>
      <c r="V171" s="74"/>
      <c r="W171" s="74"/>
      <c r="X171" s="74"/>
      <c r="Y171" s="74"/>
      <c r="Z171" s="74"/>
      <c r="AA171" s="46"/>
      <c r="AB171" s="46"/>
      <c r="AC171" s="46"/>
      <c r="AD171" s="46" t="n">
        <v>24.30185</v>
      </c>
      <c r="AE171" s="46" t="n">
        <v>76.789373</v>
      </c>
    </row>
    <row r="172" customFormat="false" ht="15" hidden="false" customHeight="false" outlineLevel="0" collapsed="false">
      <c r="A172" s="71" t="s">
        <v>415</v>
      </c>
      <c r="B172" s="71" t="s">
        <v>416</v>
      </c>
      <c r="C172" s="51" t="s">
        <v>746</v>
      </c>
      <c r="D172" s="71" t="s">
        <v>750</v>
      </c>
      <c r="E172" s="73" t="s">
        <v>751</v>
      </c>
      <c r="F172" s="73" t="n">
        <v>139.59</v>
      </c>
      <c r="G172" s="73" t="n">
        <v>103</v>
      </c>
      <c r="H172" s="73" t="n">
        <v>579</v>
      </c>
      <c r="I172" s="73" t="n">
        <v>294</v>
      </c>
      <c r="J172" s="73" t="n">
        <v>285</v>
      </c>
      <c r="K172" s="73" t="n">
        <v>9</v>
      </c>
      <c r="L172" s="74" t="n">
        <f aca="false">K172/H172*100</f>
        <v>1.55440414507772</v>
      </c>
      <c r="M172" s="73" t="n">
        <v>0</v>
      </c>
      <c r="N172" s="74" t="n">
        <f aca="false">O172/H172*100</f>
        <v>4.64248704663212</v>
      </c>
      <c r="O172" s="73" t="n">
        <v>26.88</v>
      </c>
      <c r="P172" s="73" t="n">
        <v>0</v>
      </c>
      <c r="Q172" s="46" t="s">
        <v>45</v>
      </c>
      <c r="R172" s="46" t="s">
        <v>749</v>
      </c>
      <c r="S172" s="46"/>
      <c r="T172" s="46"/>
      <c r="U172" s="74"/>
      <c r="V172" s="74"/>
      <c r="W172" s="74"/>
      <c r="X172" s="74"/>
      <c r="Y172" s="74"/>
      <c r="Z172" s="74"/>
      <c r="AA172" s="46" t="s">
        <v>272</v>
      </c>
      <c r="AB172" s="46" t="n">
        <v>0</v>
      </c>
      <c r="AC172" s="46"/>
      <c r="AD172" s="46"/>
      <c r="AE172" s="4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</row>
    <row r="173" customFormat="false" ht="15" hidden="false" customHeight="false" outlineLevel="0" collapsed="false">
      <c r="A173" s="71" t="s">
        <v>415</v>
      </c>
      <c r="B173" s="71" t="s">
        <v>416</v>
      </c>
      <c r="C173" s="51" t="s">
        <v>746</v>
      </c>
      <c r="D173" s="71" t="s">
        <v>752</v>
      </c>
      <c r="E173" s="73" t="s">
        <v>753</v>
      </c>
      <c r="F173" s="73" t="n">
        <v>161.88</v>
      </c>
      <c r="G173" s="73" t="n">
        <v>174</v>
      </c>
      <c r="H173" s="73" t="n">
        <v>843</v>
      </c>
      <c r="I173" s="73" t="n">
        <v>402</v>
      </c>
      <c r="J173" s="73" t="n">
        <v>441</v>
      </c>
      <c r="K173" s="73" t="n">
        <v>43</v>
      </c>
      <c r="L173" s="74" t="n">
        <f aca="false">K173/H173*100</f>
        <v>5.10083036773428</v>
      </c>
      <c r="M173" s="73" t="n">
        <v>286</v>
      </c>
      <c r="N173" s="74" t="n">
        <f aca="false">O173/H173*100</f>
        <v>2.71174377224199</v>
      </c>
      <c r="O173" s="73" t="n">
        <v>22.86</v>
      </c>
      <c r="P173" s="73" t="n">
        <v>0</v>
      </c>
      <c r="Q173" s="46" t="s">
        <v>45</v>
      </c>
      <c r="R173" s="46" t="s">
        <v>749</v>
      </c>
      <c r="S173" s="46"/>
      <c r="T173" s="46"/>
      <c r="U173" s="74"/>
      <c r="V173" s="74"/>
      <c r="W173" s="74"/>
      <c r="X173" s="74"/>
      <c r="Y173" s="74"/>
      <c r="Z173" s="74"/>
      <c r="AA173" s="46"/>
      <c r="AB173" s="46"/>
      <c r="AC173" s="46"/>
      <c r="AD173" s="46"/>
      <c r="AE173" s="4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</row>
    <row r="174" customFormat="false" ht="15" hidden="false" customHeight="false" outlineLevel="0" collapsed="false">
      <c r="A174" s="71" t="s">
        <v>415</v>
      </c>
      <c r="B174" s="71" t="s">
        <v>416</v>
      </c>
      <c r="C174" s="51" t="s">
        <v>746</v>
      </c>
      <c r="D174" s="71" t="s">
        <v>754</v>
      </c>
      <c r="E174" s="73" t="s">
        <v>755</v>
      </c>
      <c r="F174" s="73" t="n">
        <v>593.6</v>
      </c>
      <c r="G174" s="73" t="n">
        <v>127</v>
      </c>
      <c r="H174" s="73" t="n">
        <v>634</v>
      </c>
      <c r="I174" s="73" t="n">
        <v>326</v>
      </c>
      <c r="J174" s="73" t="n">
        <v>308</v>
      </c>
      <c r="K174" s="73" t="n">
        <v>6</v>
      </c>
      <c r="L174" s="74" t="n">
        <f aca="false">K174/H174*100</f>
        <v>0.946372239747634</v>
      </c>
      <c r="M174" s="73" t="n">
        <v>406</v>
      </c>
      <c r="N174" s="74" t="n">
        <f aca="false">O174/H174*100</f>
        <v>4.26656151419558</v>
      </c>
      <c r="O174" s="73" t="n">
        <v>27.05</v>
      </c>
      <c r="P174" s="73" t="n">
        <v>391.52</v>
      </c>
      <c r="Q174" s="74"/>
      <c r="R174" s="74"/>
      <c r="S174" s="74"/>
      <c r="T174" s="46"/>
      <c r="U174" s="74"/>
      <c r="V174" s="74"/>
      <c r="W174" s="74"/>
      <c r="X174" s="74"/>
      <c r="Y174" s="74"/>
      <c r="Z174" s="74"/>
      <c r="AA174" s="46" t="s">
        <v>82</v>
      </c>
      <c r="AB174" s="46" t="n">
        <v>23</v>
      </c>
      <c r="AC174" s="46"/>
      <c r="AD174" s="74"/>
      <c r="AE174" s="74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</row>
    <row r="175" customFormat="false" ht="15" hidden="false" customHeight="false" outlineLevel="0" collapsed="false">
      <c r="A175" s="71" t="s">
        <v>415</v>
      </c>
      <c r="B175" s="71" t="s">
        <v>416</v>
      </c>
      <c r="C175" s="51" t="s">
        <v>746</v>
      </c>
      <c r="D175" s="71" t="s">
        <v>756</v>
      </c>
      <c r="E175" s="73" t="s">
        <v>757</v>
      </c>
      <c r="F175" s="73" t="n">
        <v>151.37</v>
      </c>
      <c r="G175" s="73" t="n">
        <v>109</v>
      </c>
      <c r="H175" s="73" t="n">
        <v>483</v>
      </c>
      <c r="I175" s="73" t="n">
        <v>251</v>
      </c>
      <c r="J175" s="73" t="n">
        <v>232</v>
      </c>
      <c r="K175" s="73" t="n">
        <v>126</v>
      </c>
      <c r="L175" s="74" t="n">
        <f aca="false">K175/H175*100</f>
        <v>26.0869565217391</v>
      </c>
      <c r="M175" s="73" t="n">
        <v>17</v>
      </c>
      <c r="N175" s="74" t="n">
        <f aca="false">O175/H175*100</f>
        <v>4.07246376811594</v>
      </c>
      <c r="O175" s="73" t="n">
        <v>19.67</v>
      </c>
      <c r="P175" s="73" t="n">
        <v>0</v>
      </c>
      <c r="Q175" s="46" t="s">
        <v>45</v>
      </c>
      <c r="R175" s="46" t="s">
        <v>749</v>
      </c>
      <c r="S175" s="46"/>
      <c r="T175" s="46"/>
      <c r="U175" s="74"/>
      <c r="V175" s="74"/>
      <c r="W175" s="74"/>
      <c r="X175" s="74"/>
      <c r="Y175" s="74"/>
      <c r="Z175" s="74"/>
      <c r="AA175" s="46" t="s">
        <v>82</v>
      </c>
      <c r="AB175" s="46" t="n">
        <v>25</v>
      </c>
      <c r="AC175" s="46"/>
      <c r="AD175" s="46"/>
      <c r="AE175" s="4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</row>
    <row r="176" customFormat="false" ht="15" hidden="false" customHeight="false" outlineLevel="0" collapsed="false">
      <c r="A176" s="71" t="s">
        <v>415</v>
      </c>
      <c r="B176" s="71" t="s">
        <v>416</v>
      </c>
      <c r="C176" s="51" t="s">
        <v>746</v>
      </c>
      <c r="D176" s="71" t="s">
        <v>758</v>
      </c>
      <c r="E176" s="73" t="s">
        <v>759</v>
      </c>
      <c r="F176" s="73" t="n">
        <v>1213.91</v>
      </c>
      <c r="G176" s="73" t="n">
        <v>347</v>
      </c>
      <c r="H176" s="73" t="n">
        <v>1631</v>
      </c>
      <c r="I176" s="73" t="n">
        <v>859</v>
      </c>
      <c r="J176" s="73" t="n">
        <v>772</v>
      </c>
      <c r="K176" s="73" t="n">
        <v>169</v>
      </c>
      <c r="L176" s="74" t="n">
        <f aca="false">K176/H176*100</f>
        <v>10.3617412630288</v>
      </c>
      <c r="M176" s="73" t="n">
        <v>723</v>
      </c>
      <c r="N176" s="74" t="n">
        <f aca="false">O176/H176*100</f>
        <v>1.39301042305334</v>
      </c>
      <c r="O176" s="73" t="n">
        <v>22.72</v>
      </c>
      <c r="P176" s="73" t="n">
        <v>748.39</v>
      </c>
      <c r="Q176" s="74"/>
      <c r="R176" s="74"/>
      <c r="S176" s="74"/>
      <c r="T176" s="46"/>
      <c r="U176" s="74"/>
      <c r="V176" s="74"/>
      <c r="W176" s="74"/>
      <c r="X176" s="74"/>
      <c r="Y176" s="74"/>
      <c r="Z176" s="74"/>
      <c r="AA176" s="46"/>
      <c r="AB176" s="46"/>
      <c r="AC176" s="46"/>
      <c r="AD176" s="74"/>
      <c r="AE176" s="74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</row>
    <row r="177" customFormat="false" ht="15" hidden="false" customHeight="false" outlineLevel="0" collapsed="false">
      <c r="A177" s="71" t="s">
        <v>415</v>
      </c>
      <c r="B177" s="71" t="s">
        <v>416</v>
      </c>
      <c r="C177" s="51" t="s">
        <v>760</v>
      </c>
      <c r="D177" s="72" t="s">
        <v>761</v>
      </c>
      <c r="E177" s="73" t="s">
        <v>762</v>
      </c>
      <c r="F177" s="73" t="n">
        <v>38.6</v>
      </c>
      <c r="G177" s="73" t="n">
        <v>316</v>
      </c>
      <c r="H177" s="73" t="n">
        <v>1701</v>
      </c>
      <c r="I177" s="73" t="n">
        <v>885</v>
      </c>
      <c r="J177" s="73" t="n">
        <v>816</v>
      </c>
      <c r="K177" s="73" t="n">
        <v>293</v>
      </c>
      <c r="L177" s="74" t="n">
        <f aca="false">K177/H177*100</f>
        <v>17.2251616696061</v>
      </c>
      <c r="M177" s="73" t="n">
        <v>417</v>
      </c>
      <c r="N177" s="74" t="n">
        <f aca="false">O177/H177*100</f>
        <v>0</v>
      </c>
      <c r="O177" s="73" t="n">
        <v>0</v>
      </c>
      <c r="P177" s="73" t="n">
        <v>0</v>
      </c>
      <c r="Q177" s="88" t="s">
        <v>82</v>
      </c>
      <c r="R177" s="85" t="n">
        <v>44839</v>
      </c>
      <c r="S177" s="82"/>
      <c r="T177" s="46" t="n">
        <v>28.3197</v>
      </c>
      <c r="U177" s="74"/>
      <c r="V177" s="74" t="s">
        <v>49</v>
      </c>
      <c r="W177" s="74" t="s">
        <v>49</v>
      </c>
      <c r="X177" s="74" t="s">
        <v>49</v>
      </c>
      <c r="Y177" s="74" t="s">
        <v>49</v>
      </c>
      <c r="Z177" s="74" t="s">
        <v>49</v>
      </c>
      <c r="AA177" s="46"/>
      <c r="AB177" s="46"/>
      <c r="AC177" s="46"/>
      <c r="AD177" s="82" t="n">
        <v>24.363253</v>
      </c>
      <c r="AE177" s="82" t="n">
        <v>76.662744</v>
      </c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</row>
    <row r="178" s="26" customFormat="true" ht="15" hidden="false" customHeight="false" outlineLevel="0" collapsed="false">
      <c r="A178" s="51" t="s">
        <v>415</v>
      </c>
      <c r="B178" s="51" t="s">
        <v>416</v>
      </c>
      <c r="C178" s="51" t="s">
        <v>760</v>
      </c>
      <c r="D178" s="51" t="s">
        <v>761</v>
      </c>
      <c r="E178" s="73"/>
      <c r="F178" s="73"/>
      <c r="G178" s="73"/>
      <c r="H178" s="73"/>
      <c r="I178" s="73"/>
      <c r="J178" s="73"/>
      <c r="K178" s="73"/>
      <c r="L178" s="74" t="e">
        <f aca="false">K178/H178*100</f>
        <v>#DIV/0!</v>
      </c>
      <c r="M178" s="73"/>
      <c r="N178" s="74" t="e">
        <f aca="false">O178/H178*100</f>
        <v>#DIV/0!</v>
      </c>
      <c r="O178" s="73"/>
      <c r="P178" s="73"/>
      <c r="Q178" s="89" t="s">
        <v>82</v>
      </c>
      <c r="R178" s="81" t="n">
        <v>44839</v>
      </c>
      <c r="S178" s="46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46" t="n">
        <v>24.34257</v>
      </c>
      <c r="AE178" s="46" t="n">
        <v>76.67739</v>
      </c>
    </row>
    <row r="179" s="26" customFormat="true" ht="15" hidden="false" customHeight="false" outlineLevel="0" collapsed="false">
      <c r="A179" s="51" t="s">
        <v>415</v>
      </c>
      <c r="B179" s="51" t="s">
        <v>416</v>
      </c>
      <c r="C179" s="51" t="s">
        <v>760</v>
      </c>
      <c r="D179" s="51" t="s">
        <v>761</v>
      </c>
      <c r="E179" s="73"/>
      <c r="F179" s="73"/>
      <c r="G179" s="73"/>
      <c r="H179" s="73"/>
      <c r="I179" s="73"/>
      <c r="J179" s="73"/>
      <c r="K179" s="73"/>
      <c r="L179" s="74" t="e">
        <f aca="false">K179/H179*100</f>
        <v>#DIV/0!</v>
      </c>
      <c r="M179" s="73"/>
      <c r="N179" s="74" t="e">
        <f aca="false">O179/H179*100</f>
        <v>#DIV/0!</v>
      </c>
      <c r="O179" s="73"/>
      <c r="P179" s="73"/>
      <c r="Q179" s="89" t="s">
        <v>82</v>
      </c>
      <c r="R179" s="81" t="n">
        <v>44839</v>
      </c>
      <c r="S179" s="46"/>
      <c r="T179" s="46" t="n">
        <v>19.6758</v>
      </c>
      <c r="U179" s="74"/>
      <c r="V179" s="74"/>
      <c r="W179" s="74"/>
      <c r="X179" s="74"/>
      <c r="Y179" s="74"/>
      <c r="Z179" s="74"/>
      <c r="AA179" s="46"/>
      <c r="AB179" s="46"/>
      <c r="AC179" s="46"/>
      <c r="AD179" s="46" t="n">
        <v>24.34215</v>
      </c>
      <c r="AE179" s="46" t="n">
        <v>76.67767</v>
      </c>
    </row>
    <row r="180" s="26" customFormat="true" ht="15" hidden="false" customHeight="false" outlineLevel="0" collapsed="false">
      <c r="A180" s="51" t="s">
        <v>415</v>
      </c>
      <c r="B180" s="51" t="s">
        <v>416</v>
      </c>
      <c r="C180" s="51" t="s">
        <v>760</v>
      </c>
      <c r="D180" s="51" t="s">
        <v>763</v>
      </c>
      <c r="E180" s="73" t="s">
        <v>764</v>
      </c>
      <c r="F180" s="73" t="n">
        <v>287.5</v>
      </c>
      <c r="G180" s="73" t="n">
        <v>104</v>
      </c>
      <c r="H180" s="73" t="n">
        <v>450</v>
      </c>
      <c r="I180" s="73" t="n">
        <v>232</v>
      </c>
      <c r="J180" s="73" t="n">
        <v>218</v>
      </c>
      <c r="K180" s="73" t="n">
        <v>41</v>
      </c>
      <c r="L180" s="74" t="n">
        <f aca="false">K180/H180*100</f>
        <v>9.11111111111111</v>
      </c>
      <c r="M180" s="73" t="n">
        <v>0</v>
      </c>
      <c r="N180" s="74" t="n">
        <f aca="false">O180/H180*100</f>
        <v>5.94888888888889</v>
      </c>
      <c r="O180" s="73" t="n">
        <v>26.77</v>
      </c>
      <c r="P180" s="73" t="n">
        <v>0</v>
      </c>
      <c r="Q180" s="82" t="s">
        <v>45</v>
      </c>
      <c r="R180" s="85" t="n">
        <v>44839</v>
      </c>
      <c r="S180" s="82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82" t="n">
        <v>24.330279</v>
      </c>
      <c r="AE180" s="82" t="n">
        <v>76.6895</v>
      </c>
    </row>
    <row r="181" s="26" customFormat="true" ht="15" hidden="false" customHeight="false" outlineLevel="0" collapsed="false">
      <c r="A181" s="51" t="s">
        <v>415</v>
      </c>
      <c r="B181" s="51" t="s">
        <v>416</v>
      </c>
      <c r="C181" s="51" t="s">
        <v>760</v>
      </c>
      <c r="D181" s="51" t="s">
        <v>763</v>
      </c>
      <c r="E181" s="73"/>
      <c r="F181" s="73"/>
      <c r="G181" s="73"/>
      <c r="H181" s="73"/>
      <c r="I181" s="73"/>
      <c r="J181" s="73"/>
      <c r="K181" s="73"/>
      <c r="L181" s="74" t="e">
        <f aca="false">K181/H181*100</f>
        <v>#DIV/0!</v>
      </c>
      <c r="M181" s="73"/>
      <c r="N181" s="74" t="e">
        <f aca="false">O181/H181*100</f>
        <v>#DIV/0!</v>
      </c>
      <c r="O181" s="73"/>
      <c r="P181" s="73"/>
      <c r="Q181" s="46" t="s">
        <v>45</v>
      </c>
      <c r="R181" s="81" t="n">
        <v>44839</v>
      </c>
      <c r="S181" s="46"/>
      <c r="T181" s="82" t="n">
        <v>50.66</v>
      </c>
      <c r="U181" s="74"/>
      <c r="V181" s="74"/>
      <c r="W181" s="74"/>
      <c r="X181" s="74"/>
      <c r="Y181" s="74"/>
      <c r="Z181" s="74"/>
      <c r="AA181" s="82" t="s">
        <v>45</v>
      </c>
      <c r="AB181" s="82" t="n">
        <v>20</v>
      </c>
      <c r="AC181" s="82" t="s">
        <v>613</v>
      </c>
      <c r="AD181" s="46" t="n">
        <v>24.330279</v>
      </c>
      <c r="AE181" s="46" t="n">
        <v>76.6895</v>
      </c>
    </row>
    <row r="182" s="26" customFormat="true" ht="15" hidden="false" customHeight="false" outlineLevel="0" collapsed="false">
      <c r="A182" s="51" t="s">
        <v>415</v>
      </c>
      <c r="B182" s="51" t="s">
        <v>416</v>
      </c>
      <c r="C182" s="51" t="s">
        <v>760</v>
      </c>
      <c r="D182" s="51" t="s">
        <v>655</v>
      </c>
      <c r="E182" s="73" t="s">
        <v>765</v>
      </c>
      <c r="F182" s="73" t="n">
        <v>263.52</v>
      </c>
      <c r="G182" s="73" t="n">
        <v>127</v>
      </c>
      <c r="H182" s="73" t="n">
        <v>594</v>
      </c>
      <c r="I182" s="73" t="n">
        <v>306</v>
      </c>
      <c r="J182" s="73" t="n">
        <v>288</v>
      </c>
      <c r="K182" s="73" t="n">
        <v>149</v>
      </c>
      <c r="L182" s="74" t="n">
        <f aca="false">K182/H182*100</f>
        <v>25.0841750841751</v>
      </c>
      <c r="M182" s="73" t="n">
        <v>379</v>
      </c>
      <c r="N182" s="74" t="n">
        <f aca="false">O182/H182*100</f>
        <v>3.68686868686869</v>
      </c>
      <c r="O182" s="73" t="n">
        <v>21.9</v>
      </c>
      <c r="P182" s="73" t="n">
        <v>70.24</v>
      </c>
      <c r="Q182" s="82" t="s">
        <v>45</v>
      </c>
      <c r="R182" s="85" t="n">
        <v>44839</v>
      </c>
      <c r="S182" s="82"/>
      <c r="T182" s="46"/>
      <c r="U182" s="74"/>
      <c r="V182" s="74"/>
      <c r="W182" s="74"/>
      <c r="X182" s="74"/>
      <c r="Y182" s="74"/>
      <c r="Z182" s="74"/>
      <c r="AA182" s="46" t="s">
        <v>45</v>
      </c>
      <c r="AB182" s="46" t="n">
        <v>3.12</v>
      </c>
      <c r="AC182" s="46"/>
      <c r="AD182" s="82"/>
      <c r="AE182" s="82"/>
    </row>
    <row r="183" s="26" customFormat="true" ht="15" hidden="false" customHeight="false" outlineLevel="0" collapsed="false">
      <c r="A183" s="51" t="s">
        <v>415</v>
      </c>
      <c r="B183" s="51" t="s">
        <v>416</v>
      </c>
      <c r="C183" s="51" t="s">
        <v>760</v>
      </c>
      <c r="D183" s="51" t="s">
        <v>655</v>
      </c>
      <c r="E183" s="73"/>
      <c r="F183" s="73"/>
      <c r="G183" s="73"/>
      <c r="H183" s="73"/>
      <c r="I183" s="73"/>
      <c r="J183" s="73"/>
      <c r="K183" s="73"/>
      <c r="L183" s="74" t="e">
        <f aca="false">K183/H183*100</f>
        <v>#DIV/0!</v>
      </c>
      <c r="M183" s="73"/>
      <c r="N183" s="74" t="e">
        <f aca="false">O183/H183*100</f>
        <v>#DIV/0!</v>
      </c>
      <c r="O183" s="73"/>
      <c r="P183" s="73"/>
      <c r="Q183" s="46" t="s">
        <v>45</v>
      </c>
      <c r="R183" s="81" t="n">
        <v>44839</v>
      </c>
      <c r="S183" s="46"/>
      <c r="T183" s="46"/>
      <c r="U183" s="74"/>
      <c r="V183" s="74"/>
      <c r="W183" s="74"/>
      <c r="X183" s="74"/>
      <c r="Y183" s="74"/>
      <c r="Z183" s="74"/>
      <c r="AA183" s="46" t="s">
        <v>45</v>
      </c>
      <c r="AB183" s="46" t="n">
        <v>2.76</v>
      </c>
      <c r="AC183" s="46"/>
      <c r="AD183" s="46"/>
      <c r="AE183" s="46"/>
    </row>
    <row r="184" s="26" customFormat="true" ht="15" hidden="false" customHeight="false" outlineLevel="0" collapsed="false">
      <c r="A184" s="51" t="s">
        <v>415</v>
      </c>
      <c r="B184" s="51" t="s">
        <v>416</v>
      </c>
      <c r="C184" s="51" t="s">
        <v>760</v>
      </c>
      <c r="D184" s="51" t="s">
        <v>766</v>
      </c>
      <c r="E184" s="73" t="s">
        <v>767</v>
      </c>
      <c r="F184" s="73" t="n">
        <v>163.99</v>
      </c>
      <c r="G184" s="73" t="n">
        <v>144</v>
      </c>
      <c r="H184" s="73" t="n">
        <v>748</v>
      </c>
      <c r="I184" s="73" t="n">
        <v>379</v>
      </c>
      <c r="J184" s="73" t="n">
        <v>369</v>
      </c>
      <c r="K184" s="73" t="n">
        <v>23</v>
      </c>
      <c r="L184" s="74" t="n">
        <f aca="false">K184/H184*100</f>
        <v>3.07486631016043</v>
      </c>
      <c r="M184" s="73" t="n">
        <v>0</v>
      </c>
      <c r="N184" s="74" t="n">
        <f aca="false">O184/H184*100</f>
        <v>0</v>
      </c>
      <c r="O184" s="73" t="n">
        <v>0</v>
      </c>
      <c r="P184" s="73" t="n">
        <v>23.99</v>
      </c>
      <c r="Q184" s="82" t="s">
        <v>45</v>
      </c>
      <c r="R184" s="85" t="n">
        <v>44839</v>
      </c>
      <c r="S184" s="82"/>
      <c r="T184" s="82" t="n">
        <v>20</v>
      </c>
      <c r="U184" s="74"/>
      <c r="V184" s="74"/>
      <c r="W184" s="74"/>
      <c r="X184" s="74"/>
      <c r="Y184" s="74"/>
      <c r="Z184" s="74"/>
      <c r="AA184" s="82" t="s">
        <v>45</v>
      </c>
      <c r="AB184" s="82" t="n">
        <v>7</v>
      </c>
      <c r="AC184" s="82" t="s">
        <v>613</v>
      </c>
      <c r="AD184" s="82" t="n">
        <v>24.342455</v>
      </c>
      <c r="AE184" s="82" t="n">
        <v>76.676929</v>
      </c>
    </row>
    <row r="185" s="26" customFormat="true" ht="15" hidden="false" customHeight="false" outlineLevel="0" collapsed="false">
      <c r="A185" s="51" t="s">
        <v>415</v>
      </c>
      <c r="B185" s="51" t="s">
        <v>416</v>
      </c>
      <c r="C185" s="51" t="s">
        <v>760</v>
      </c>
      <c r="D185" s="51" t="s">
        <v>766</v>
      </c>
      <c r="E185" s="46" t="s">
        <v>768</v>
      </c>
      <c r="F185" s="46"/>
      <c r="G185" s="46"/>
      <c r="H185" s="46"/>
      <c r="I185" s="46"/>
      <c r="J185" s="46"/>
      <c r="K185" s="46"/>
      <c r="L185" s="74" t="e">
        <f aca="false">K185/H185*100</f>
        <v>#DIV/0!</v>
      </c>
      <c r="M185" s="46"/>
      <c r="N185" s="74" t="e">
        <f aca="false">O185/H185*100</f>
        <v>#DIV/0!</v>
      </c>
      <c r="O185" s="46"/>
      <c r="P185" s="46"/>
      <c r="Q185" s="46" t="s">
        <v>45</v>
      </c>
      <c r="R185" s="81" t="n">
        <v>44839</v>
      </c>
      <c r="S185" s="46"/>
      <c r="T185" s="46"/>
      <c r="U185" s="74"/>
      <c r="V185" s="74"/>
      <c r="W185" s="74"/>
      <c r="X185" s="74"/>
      <c r="Y185" s="74"/>
      <c r="Z185" s="74"/>
      <c r="AA185" s="46" t="s">
        <v>45</v>
      </c>
      <c r="AB185" s="46" t="n">
        <v>3</v>
      </c>
      <c r="AC185" s="46" t="s">
        <v>769</v>
      </c>
      <c r="AD185" s="46" t="n">
        <v>24.342455</v>
      </c>
      <c r="AE185" s="46" t="n">
        <v>76.676929</v>
      </c>
    </row>
    <row r="186" customFormat="false" ht="15" hidden="false" customHeight="false" outlineLevel="0" collapsed="false">
      <c r="A186" s="71" t="s">
        <v>415</v>
      </c>
      <c r="B186" s="71" t="s">
        <v>416</v>
      </c>
      <c r="C186" s="51" t="s">
        <v>760</v>
      </c>
      <c r="D186" s="71" t="s">
        <v>770</v>
      </c>
      <c r="E186" s="73" t="s">
        <v>771</v>
      </c>
      <c r="F186" s="73" t="n">
        <v>71.36</v>
      </c>
      <c r="G186" s="73" t="n">
        <v>55</v>
      </c>
      <c r="H186" s="73" t="n">
        <v>216</v>
      </c>
      <c r="I186" s="73" t="n">
        <v>107</v>
      </c>
      <c r="J186" s="73" t="n">
        <v>109</v>
      </c>
      <c r="K186" s="73" t="n">
        <v>0</v>
      </c>
      <c r="L186" s="74" t="n">
        <f aca="false">K186/H186*100</f>
        <v>0</v>
      </c>
      <c r="M186" s="73" t="n">
        <v>63</v>
      </c>
      <c r="N186" s="74" t="n">
        <f aca="false">O186/H186*100</f>
        <v>5.68518518518519</v>
      </c>
      <c r="O186" s="73" t="n">
        <v>12.28</v>
      </c>
      <c r="P186" s="73" t="n">
        <v>0</v>
      </c>
      <c r="Q186" s="82" t="s">
        <v>45</v>
      </c>
      <c r="R186" s="85" t="n">
        <v>44839</v>
      </c>
      <c r="S186" s="82"/>
      <c r="T186" s="82" t="n">
        <v>16.38</v>
      </c>
      <c r="U186" s="74"/>
      <c r="V186" s="74"/>
      <c r="W186" s="74" t="s">
        <v>49</v>
      </c>
      <c r="X186" s="74" t="s">
        <v>49</v>
      </c>
      <c r="Y186" s="74" t="s">
        <v>49</v>
      </c>
      <c r="Z186" s="74" t="s">
        <v>49</v>
      </c>
      <c r="AA186" s="82" t="s">
        <v>150</v>
      </c>
      <c r="AB186" s="82" t="n">
        <v>6</v>
      </c>
      <c r="AC186" s="82" t="s">
        <v>613</v>
      </c>
      <c r="AD186" s="82" t="n">
        <v>24.375692</v>
      </c>
      <c r="AE186" s="82" t="n">
        <v>76.663047</v>
      </c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</row>
    <row r="187" customFormat="false" ht="15" hidden="false" customHeight="false" outlineLevel="0" collapsed="false">
      <c r="A187" s="71" t="s">
        <v>415</v>
      </c>
      <c r="B187" s="71" t="s">
        <v>416</v>
      </c>
      <c r="C187" s="51" t="s">
        <v>760</v>
      </c>
      <c r="D187" s="71" t="s">
        <v>772</v>
      </c>
      <c r="E187" s="73" t="s">
        <v>773</v>
      </c>
      <c r="F187" s="73" t="n">
        <v>350.75</v>
      </c>
      <c r="G187" s="73" t="n">
        <v>148</v>
      </c>
      <c r="H187" s="73" t="n">
        <v>862</v>
      </c>
      <c r="I187" s="73" t="n">
        <v>438</v>
      </c>
      <c r="J187" s="73" t="n">
        <v>424</v>
      </c>
      <c r="K187" s="73" t="n">
        <v>43</v>
      </c>
      <c r="L187" s="74" t="n">
        <f aca="false">K187/H187*100</f>
        <v>4.98839907192575</v>
      </c>
      <c r="M187" s="73" t="n">
        <v>618</v>
      </c>
      <c r="N187" s="74" t="n">
        <f aca="false">O187/H187*100</f>
        <v>6.07772621809745</v>
      </c>
      <c r="O187" s="73" t="n">
        <v>52.39</v>
      </c>
      <c r="P187" s="73" t="n">
        <v>0</v>
      </c>
      <c r="Q187" s="74"/>
      <c r="R187" s="74"/>
      <c r="S187" s="74"/>
      <c r="T187" s="46"/>
      <c r="U187" s="74"/>
      <c r="V187" s="74"/>
      <c r="W187" s="74"/>
      <c r="X187" s="74"/>
      <c r="Y187" s="74"/>
      <c r="Z187" s="74"/>
      <c r="AA187" s="46" t="s">
        <v>150</v>
      </c>
      <c r="AB187" s="46" t="n">
        <v>7</v>
      </c>
      <c r="AC187" s="46" t="s">
        <v>774</v>
      </c>
      <c r="AD187" s="74"/>
      <c r="AE187" s="74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</row>
    <row r="188" customFormat="false" ht="15" hidden="false" customHeight="false" outlineLevel="0" collapsed="false">
      <c r="A188" s="71" t="s">
        <v>415</v>
      </c>
      <c r="B188" s="71" t="s">
        <v>416</v>
      </c>
      <c r="C188" s="51" t="s">
        <v>775</v>
      </c>
      <c r="D188" s="72" t="s">
        <v>776</v>
      </c>
      <c r="E188" s="73" t="s">
        <v>777</v>
      </c>
      <c r="F188" s="73" t="n">
        <v>653.22</v>
      </c>
      <c r="G188" s="73" t="n">
        <v>229</v>
      </c>
      <c r="H188" s="73" t="n">
        <v>1117</v>
      </c>
      <c r="I188" s="73" t="n">
        <v>587</v>
      </c>
      <c r="J188" s="73" t="n">
        <v>530</v>
      </c>
      <c r="K188" s="73" t="n">
        <v>217</v>
      </c>
      <c r="L188" s="74" t="n">
        <f aca="false">K188/H188*100</f>
        <v>19.4270367054611</v>
      </c>
      <c r="M188" s="73" t="n">
        <v>384</v>
      </c>
      <c r="N188" s="74" t="n">
        <f aca="false">O188/H188*100</f>
        <v>8.67233661593554</v>
      </c>
      <c r="O188" s="73" t="n">
        <v>96.87</v>
      </c>
      <c r="P188" s="73" t="n">
        <v>24.92</v>
      </c>
      <c r="Q188" s="46" t="s">
        <v>45</v>
      </c>
      <c r="R188" s="46" t="s">
        <v>540</v>
      </c>
      <c r="S188" s="46"/>
      <c r="T188" s="82" t="n">
        <v>21.33</v>
      </c>
      <c r="U188" s="74"/>
      <c r="V188" s="74"/>
      <c r="W188" s="74"/>
      <c r="X188" s="74"/>
      <c r="Y188" s="74"/>
      <c r="Z188" s="74"/>
      <c r="AA188" s="82" t="s">
        <v>45</v>
      </c>
      <c r="AB188" s="82" t="n">
        <v>10</v>
      </c>
      <c r="AC188" s="82" t="s">
        <v>613</v>
      </c>
      <c r="AD188" s="46" t="n">
        <v>24.186384</v>
      </c>
      <c r="AE188" s="46" t="n">
        <v>76.90092</v>
      </c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</row>
    <row r="189" customFormat="false" ht="15" hidden="false" customHeight="false" outlineLevel="0" collapsed="false">
      <c r="A189" s="71" t="s">
        <v>415</v>
      </c>
      <c r="B189" s="71" t="s">
        <v>416</v>
      </c>
      <c r="C189" s="51" t="s">
        <v>775</v>
      </c>
      <c r="D189" s="71" t="s">
        <v>778</v>
      </c>
      <c r="E189" s="73" t="s">
        <v>779</v>
      </c>
      <c r="F189" s="73" t="n">
        <v>100.73</v>
      </c>
      <c r="G189" s="73" t="n">
        <v>49</v>
      </c>
      <c r="H189" s="73" t="n">
        <v>263</v>
      </c>
      <c r="I189" s="73" t="n">
        <v>136</v>
      </c>
      <c r="J189" s="73" t="n">
        <v>127</v>
      </c>
      <c r="K189" s="73" t="n">
        <v>10</v>
      </c>
      <c r="L189" s="74" t="n">
        <f aca="false">K189/H189*100</f>
        <v>3.80228136882129</v>
      </c>
      <c r="M189" s="73" t="n">
        <v>0</v>
      </c>
      <c r="N189" s="74" t="n">
        <f aca="false">O189/H189*100</f>
        <v>3.90114068441065</v>
      </c>
      <c r="O189" s="73" t="n">
        <v>10.26</v>
      </c>
      <c r="P189" s="73" t="n">
        <v>0</v>
      </c>
      <c r="Q189" s="46" t="s">
        <v>45</v>
      </c>
      <c r="R189" s="46" t="s">
        <v>540</v>
      </c>
      <c r="S189" s="46"/>
      <c r="T189" s="46"/>
      <c r="U189" s="74"/>
      <c r="V189" s="74"/>
      <c r="W189" s="74"/>
      <c r="X189" s="74"/>
      <c r="Y189" s="74"/>
      <c r="Z189" s="74"/>
      <c r="AA189" s="46" t="s">
        <v>45</v>
      </c>
      <c r="AB189" s="46" t="n">
        <v>5</v>
      </c>
      <c r="AC189" s="46" t="s">
        <v>780</v>
      </c>
      <c r="AD189" s="46" t="n">
        <v>24.136268</v>
      </c>
      <c r="AE189" s="46" t="n">
        <v>76.887189</v>
      </c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</row>
    <row r="190" customFormat="false" ht="15" hidden="false" customHeight="false" outlineLevel="0" collapsed="false">
      <c r="A190" s="71" t="s">
        <v>415</v>
      </c>
      <c r="B190" s="71" t="s">
        <v>416</v>
      </c>
      <c r="C190" s="51" t="s">
        <v>775</v>
      </c>
      <c r="D190" s="71" t="s">
        <v>781</v>
      </c>
      <c r="E190" s="73" t="s">
        <v>782</v>
      </c>
      <c r="F190" s="73" t="n">
        <v>294.1</v>
      </c>
      <c r="G190" s="73" t="n">
        <v>109</v>
      </c>
      <c r="H190" s="73" t="n">
        <v>516</v>
      </c>
      <c r="I190" s="73" t="n">
        <v>258</v>
      </c>
      <c r="J190" s="73" t="n">
        <v>258</v>
      </c>
      <c r="K190" s="73" t="n">
        <v>12</v>
      </c>
      <c r="L190" s="74" t="n">
        <f aca="false">K190/H190*100</f>
        <v>2.32558139534884</v>
      </c>
      <c r="M190" s="73" t="n">
        <v>0</v>
      </c>
      <c r="N190" s="74" t="n">
        <f aca="false">O190/H190*100</f>
        <v>7.88953488372093</v>
      </c>
      <c r="O190" s="73" t="n">
        <v>40.71</v>
      </c>
      <c r="P190" s="73" t="n">
        <v>0</v>
      </c>
      <c r="Q190" s="46" t="s">
        <v>45</v>
      </c>
      <c r="R190" s="46" t="s">
        <v>540</v>
      </c>
      <c r="S190" s="46"/>
      <c r="T190" s="82" t="n">
        <v>2.73</v>
      </c>
      <c r="U190" s="74"/>
      <c r="V190" s="74"/>
      <c r="W190" s="74"/>
      <c r="X190" s="74"/>
      <c r="Y190" s="74"/>
      <c r="Z190" s="74"/>
      <c r="AA190" s="82" t="s">
        <v>150</v>
      </c>
      <c r="AB190" s="82" t="n">
        <v>10</v>
      </c>
      <c r="AC190" s="82" t="s">
        <v>613</v>
      </c>
      <c r="AD190" s="46" t="n">
        <v>24.145952</v>
      </c>
      <c r="AE190" s="46" t="n">
        <v>76.869568</v>
      </c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</row>
    <row r="191" customFormat="false" ht="15" hidden="false" customHeight="false" outlineLevel="0" collapsed="false">
      <c r="A191" s="71" t="s">
        <v>415</v>
      </c>
      <c r="B191" s="71" t="s">
        <v>416</v>
      </c>
      <c r="C191" s="51" t="s">
        <v>775</v>
      </c>
      <c r="D191" s="71" t="s">
        <v>662</v>
      </c>
      <c r="E191" s="73" t="s">
        <v>783</v>
      </c>
      <c r="F191" s="73" t="n">
        <v>345.35</v>
      </c>
      <c r="G191" s="73" t="n">
        <v>215</v>
      </c>
      <c r="H191" s="73" t="n">
        <v>1005</v>
      </c>
      <c r="I191" s="73" t="n">
        <v>534</v>
      </c>
      <c r="J191" s="73" t="n">
        <v>471</v>
      </c>
      <c r="K191" s="73" t="n">
        <v>32</v>
      </c>
      <c r="L191" s="74" t="n">
        <f aca="false">K191/H191*100</f>
        <v>3.18407960199005</v>
      </c>
      <c r="M191" s="73" t="n">
        <v>0</v>
      </c>
      <c r="N191" s="74" t="n">
        <f aca="false">O191/H191*100</f>
        <v>6.74427860696517</v>
      </c>
      <c r="O191" s="73" t="n">
        <v>67.78</v>
      </c>
      <c r="P191" s="73" t="n">
        <v>0</v>
      </c>
      <c r="Q191" s="46" t="s">
        <v>45</v>
      </c>
      <c r="R191" s="46" t="s">
        <v>540</v>
      </c>
      <c r="S191" s="46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46" t="n">
        <v>24.15259</v>
      </c>
      <c r="AE191" s="46" t="n">
        <v>76.201952</v>
      </c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</row>
    <row r="192" customFormat="false" ht="15" hidden="false" customHeight="false" outlineLevel="0" collapsed="false">
      <c r="A192" s="71" t="s">
        <v>415</v>
      </c>
      <c r="B192" s="71" t="s">
        <v>416</v>
      </c>
      <c r="C192" s="51" t="s">
        <v>775</v>
      </c>
      <c r="D192" s="71" t="s">
        <v>784</v>
      </c>
      <c r="E192" s="73" t="s">
        <v>785</v>
      </c>
      <c r="F192" s="73" t="n">
        <v>187.78</v>
      </c>
      <c r="G192" s="73" t="n">
        <v>145</v>
      </c>
      <c r="H192" s="73" t="n">
        <v>758</v>
      </c>
      <c r="I192" s="73" t="n">
        <v>391</v>
      </c>
      <c r="J192" s="73" t="n">
        <v>367</v>
      </c>
      <c r="K192" s="73" t="n">
        <v>19</v>
      </c>
      <c r="L192" s="74" t="n">
        <f aca="false">K192/H192*100</f>
        <v>2.5065963060686</v>
      </c>
      <c r="M192" s="73" t="n">
        <v>0</v>
      </c>
      <c r="N192" s="74" t="n">
        <f aca="false">O192/H192*100</f>
        <v>6.08179419525066</v>
      </c>
      <c r="O192" s="73" t="n">
        <v>46.1</v>
      </c>
      <c r="P192" s="73" t="n">
        <v>0</v>
      </c>
      <c r="Q192" s="46" t="s">
        <v>45</v>
      </c>
      <c r="R192" s="46" t="s">
        <v>540</v>
      </c>
      <c r="S192" s="46"/>
      <c r="T192" s="46" t="n">
        <v>95.36</v>
      </c>
      <c r="U192" s="74"/>
      <c r="V192" s="74"/>
      <c r="W192" s="74"/>
      <c r="X192" s="74"/>
      <c r="Y192" s="74"/>
      <c r="Z192" s="74"/>
      <c r="AA192" s="46" t="s">
        <v>150</v>
      </c>
      <c r="AB192" s="46" t="n">
        <v>1.5</v>
      </c>
      <c r="AC192" s="46" t="s">
        <v>148</v>
      </c>
      <c r="AD192" s="46" t="n">
        <v>24.157676</v>
      </c>
      <c r="AE192" s="46" t="n">
        <v>76.874717</v>
      </c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</row>
    <row r="193" customFormat="false" ht="15" hidden="false" customHeight="false" outlineLevel="0" collapsed="false">
      <c r="A193" s="71" t="s">
        <v>415</v>
      </c>
      <c r="B193" s="71" t="s">
        <v>416</v>
      </c>
      <c r="C193" s="51" t="s">
        <v>775</v>
      </c>
      <c r="D193" s="71" t="s">
        <v>786</v>
      </c>
      <c r="E193" s="73" t="s">
        <v>787</v>
      </c>
      <c r="F193" s="73" t="n">
        <v>310.42</v>
      </c>
      <c r="G193" s="73" t="n">
        <v>100</v>
      </c>
      <c r="H193" s="73" t="n">
        <v>503</v>
      </c>
      <c r="I193" s="73" t="n">
        <v>267</v>
      </c>
      <c r="J193" s="73" t="n">
        <v>236</v>
      </c>
      <c r="K193" s="73" t="n">
        <v>39</v>
      </c>
      <c r="L193" s="74" t="n">
        <f aca="false">K193/H193*100</f>
        <v>7.75347912524851</v>
      </c>
      <c r="M193" s="73" t="n">
        <v>10</v>
      </c>
      <c r="N193" s="74" t="n">
        <f aca="false">O193/H193*100</f>
        <v>7.88270377733598</v>
      </c>
      <c r="O193" s="73" t="n">
        <v>39.65</v>
      </c>
      <c r="P193" s="73" t="n">
        <v>32.33</v>
      </c>
      <c r="Q193" s="46" t="s">
        <v>45</v>
      </c>
      <c r="R193" s="46" t="s">
        <v>540</v>
      </c>
      <c r="S193" s="46"/>
      <c r="T193" s="46" t="n">
        <v>8.7629</v>
      </c>
      <c r="U193" s="74"/>
      <c r="V193" s="74"/>
      <c r="W193" s="74"/>
      <c r="X193" s="74"/>
      <c r="Y193" s="74"/>
      <c r="Z193" s="74"/>
      <c r="AA193" s="46" t="s">
        <v>150</v>
      </c>
      <c r="AB193" s="46" t="n">
        <v>1.5</v>
      </c>
      <c r="AC193" s="46" t="s">
        <v>148</v>
      </c>
      <c r="AD193" s="46" t="n">
        <v>24.176653</v>
      </c>
      <c r="AE193" s="46" t="n">
        <v>76.868563</v>
      </c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</row>
    <row r="194" customFormat="false" ht="15" hidden="false" customHeight="false" outlineLevel="0" collapsed="false">
      <c r="A194" s="71" t="s">
        <v>415</v>
      </c>
      <c r="B194" s="71" t="s">
        <v>416</v>
      </c>
      <c r="C194" s="51" t="s">
        <v>775</v>
      </c>
      <c r="D194" s="71" t="s">
        <v>788</v>
      </c>
      <c r="E194" s="73" t="s">
        <v>789</v>
      </c>
      <c r="F194" s="73" t="n">
        <v>610.73</v>
      </c>
      <c r="G194" s="73" t="n">
        <v>219</v>
      </c>
      <c r="H194" s="73" t="n">
        <v>1135</v>
      </c>
      <c r="I194" s="73" t="n">
        <v>570</v>
      </c>
      <c r="J194" s="73" t="n">
        <v>565</v>
      </c>
      <c r="K194" s="73" t="n">
        <v>37</v>
      </c>
      <c r="L194" s="74" t="n">
        <f aca="false">K194/H194*100</f>
        <v>3.25991189427313</v>
      </c>
      <c r="M194" s="73" t="n">
        <v>0</v>
      </c>
      <c r="N194" s="74" t="n">
        <f aca="false">O194/H194*100</f>
        <v>7.65726872246696</v>
      </c>
      <c r="O194" s="73" t="n">
        <v>86.91</v>
      </c>
      <c r="P194" s="73" t="n">
        <v>123.94</v>
      </c>
      <c r="Q194" s="46" t="s">
        <v>45</v>
      </c>
      <c r="R194" s="46" t="s">
        <v>540</v>
      </c>
      <c r="S194" s="46"/>
      <c r="T194" s="46" t="n">
        <v>38.8967</v>
      </c>
      <c r="U194" s="74"/>
      <c r="V194" s="74"/>
      <c r="W194" s="74"/>
      <c r="X194" s="74"/>
      <c r="Y194" s="74"/>
      <c r="Z194" s="74"/>
      <c r="AA194" s="46" t="s">
        <v>150</v>
      </c>
      <c r="AB194" s="46" t="n">
        <v>2.3</v>
      </c>
      <c r="AC194" s="46" t="s">
        <v>148</v>
      </c>
      <c r="AD194" s="46" t="n">
        <v>24.176356</v>
      </c>
      <c r="AE194" s="46" t="n">
        <v>76.888645</v>
      </c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</row>
    <row r="195" customFormat="false" ht="15" hidden="false" customHeight="false" outlineLevel="0" collapsed="false">
      <c r="A195" s="71" t="s">
        <v>415</v>
      </c>
      <c r="B195" s="71" t="s">
        <v>416</v>
      </c>
      <c r="C195" s="51" t="s">
        <v>790</v>
      </c>
      <c r="D195" s="72" t="s">
        <v>791</v>
      </c>
      <c r="E195" s="73" t="s">
        <v>792</v>
      </c>
      <c r="F195" s="73" t="n">
        <v>1028.02</v>
      </c>
      <c r="G195" s="73" t="n">
        <v>456</v>
      </c>
      <c r="H195" s="73" t="n">
        <v>2359</v>
      </c>
      <c r="I195" s="73" t="n">
        <v>1240</v>
      </c>
      <c r="J195" s="73" t="n">
        <v>1119</v>
      </c>
      <c r="K195" s="73" t="n">
        <v>134</v>
      </c>
      <c r="L195" s="74" t="n">
        <f aca="false">K195/H195*100</f>
        <v>5.68037303942348</v>
      </c>
      <c r="M195" s="73" t="n">
        <v>549</v>
      </c>
      <c r="N195" s="74" t="n">
        <f aca="false">O195/H195*100</f>
        <v>4.66765578635015</v>
      </c>
      <c r="O195" s="73" t="n">
        <v>110.11</v>
      </c>
      <c r="P195" s="73" t="n">
        <v>398.73</v>
      </c>
      <c r="Q195" s="77" t="s">
        <v>45</v>
      </c>
      <c r="R195" s="90" t="n">
        <v>44788</v>
      </c>
      <c r="S195" s="91"/>
      <c r="T195" s="46" t="n">
        <v>65.58</v>
      </c>
      <c r="U195" s="74"/>
      <c r="V195" s="74" t="s">
        <v>49</v>
      </c>
      <c r="W195" s="74"/>
      <c r="X195" s="74"/>
      <c r="Y195" s="74"/>
      <c r="Z195" s="74"/>
      <c r="AA195" s="46" t="s">
        <v>150</v>
      </c>
      <c r="AB195" s="46" t="n">
        <v>2.2</v>
      </c>
      <c r="AC195" s="46" t="s">
        <v>148</v>
      </c>
      <c r="AD195" s="78" t="n">
        <v>24.392062</v>
      </c>
      <c r="AE195" s="78" t="n">
        <v>76.758104</v>
      </c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</row>
    <row r="196" s="26" customFormat="true" ht="15" hidden="false" customHeight="false" outlineLevel="0" collapsed="false">
      <c r="A196" s="51" t="s">
        <v>415</v>
      </c>
      <c r="B196" s="51" t="s">
        <v>416</v>
      </c>
      <c r="C196" s="51" t="s">
        <v>790</v>
      </c>
      <c r="D196" s="51" t="s">
        <v>791</v>
      </c>
      <c r="E196" s="73"/>
      <c r="F196" s="73"/>
      <c r="G196" s="73"/>
      <c r="H196" s="73"/>
      <c r="I196" s="73"/>
      <c r="J196" s="73"/>
      <c r="K196" s="73"/>
      <c r="L196" s="74" t="e">
        <f aca="false">K196/H196*100</f>
        <v>#DIV/0!</v>
      </c>
      <c r="M196" s="73"/>
      <c r="N196" s="74" t="e">
        <f aca="false">O196/H196*100</f>
        <v>#DIV/0!</v>
      </c>
      <c r="O196" s="73"/>
      <c r="P196" s="73"/>
      <c r="Q196" s="56" t="s">
        <v>45</v>
      </c>
      <c r="R196" s="92" t="n">
        <v>44788</v>
      </c>
      <c r="S196" s="89"/>
      <c r="T196" s="46" t="n">
        <v>43.516</v>
      </c>
      <c r="U196" s="74"/>
      <c r="V196" s="74"/>
      <c r="W196" s="74"/>
      <c r="X196" s="74"/>
      <c r="Y196" s="74"/>
      <c r="Z196" s="74"/>
      <c r="AA196" s="46" t="s">
        <v>150</v>
      </c>
      <c r="AB196" s="46" t="n">
        <v>2.1</v>
      </c>
      <c r="AC196" s="46" t="s">
        <v>148</v>
      </c>
      <c r="AD196" s="56" t="n">
        <v>24.392062</v>
      </c>
      <c r="AE196" s="56" t="n">
        <v>76.758104</v>
      </c>
    </row>
    <row r="197" s="26" customFormat="true" ht="15" hidden="false" customHeight="false" outlineLevel="0" collapsed="false">
      <c r="A197" s="51" t="s">
        <v>415</v>
      </c>
      <c r="B197" s="51" t="s">
        <v>416</v>
      </c>
      <c r="C197" s="51" t="s">
        <v>790</v>
      </c>
      <c r="D197" s="51" t="s">
        <v>793</v>
      </c>
      <c r="E197" s="73" t="s">
        <v>794</v>
      </c>
      <c r="F197" s="73" t="n">
        <v>150.93</v>
      </c>
      <c r="G197" s="73" t="n">
        <v>61</v>
      </c>
      <c r="H197" s="73" t="n">
        <v>291</v>
      </c>
      <c r="I197" s="73" t="n">
        <v>147</v>
      </c>
      <c r="J197" s="73" t="n">
        <v>144</v>
      </c>
      <c r="K197" s="73" t="n">
        <v>10</v>
      </c>
      <c r="L197" s="74" t="n">
        <f aca="false">K197/H197*100</f>
        <v>3.43642611683849</v>
      </c>
      <c r="M197" s="73" t="n">
        <v>0</v>
      </c>
      <c r="N197" s="74" t="n">
        <f aca="false">O197/H197*100</f>
        <v>3.90034364261168</v>
      </c>
      <c r="O197" s="73" t="n">
        <v>11.35</v>
      </c>
      <c r="P197" s="73" t="n">
        <v>0</v>
      </c>
      <c r="Q197" s="77" t="s">
        <v>45</v>
      </c>
      <c r="R197" s="90" t="n">
        <v>44788</v>
      </c>
      <c r="S197" s="91"/>
      <c r="T197" s="46" t="n">
        <v>37.95</v>
      </c>
      <c r="U197" s="74"/>
      <c r="V197" s="74"/>
      <c r="W197" s="74"/>
      <c r="X197" s="74"/>
      <c r="Y197" s="74"/>
      <c r="Z197" s="74"/>
      <c r="AA197" s="46" t="s">
        <v>150</v>
      </c>
      <c r="AB197" s="46" t="n">
        <v>1.7</v>
      </c>
      <c r="AC197" s="46" t="s">
        <v>148</v>
      </c>
      <c r="AD197" s="78" t="n">
        <v>24.380605</v>
      </c>
      <c r="AE197" s="78" t="n">
        <v>76.75251</v>
      </c>
    </row>
    <row r="198" s="26" customFormat="true" ht="15" hidden="false" customHeight="false" outlineLevel="0" collapsed="false">
      <c r="A198" s="51" t="s">
        <v>415</v>
      </c>
      <c r="B198" s="51" t="s">
        <v>416</v>
      </c>
      <c r="C198" s="51" t="s">
        <v>790</v>
      </c>
      <c r="D198" s="51" t="s">
        <v>795</v>
      </c>
      <c r="E198" s="73" t="s">
        <v>796</v>
      </c>
      <c r="F198" s="73" t="n">
        <v>292.35</v>
      </c>
      <c r="G198" s="73" t="n">
        <v>212</v>
      </c>
      <c r="H198" s="73" t="n">
        <v>1002</v>
      </c>
      <c r="I198" s="73" t="n">
        <v>508</v>
      </c>
      <c r="J198" s="73" t="n">
        <v>494</v>
      </c>
      <c r="K198" s="73" t="n">
        <v>77</v>
      </c>
      <c r="L198" s="74" t="n">
        <f aca="false">K198/H198*100</f>
        <v>7.68463073852295</v>
      </c>
      <c r="M198" s="73" t="n">
        <v>214</v>
      </c>
      <c r="N198" s="74" t="n">
        <f aca="false">O198/H198*100</f>
        <v>1.15469061876248</v>
      </c>
      <c r="O198" s="73" t="n">
        <v>11.57</v>
      </c>
      <c r="P198" s="73" t="n">
        <v>0</v>
      </c>
      <c r="Q198" s="77" t="s">
        <v>45</v>
      </c>
      <c r="R198" s="90" t="n">
        <v>44788</v>
      </c>
      <c r="S198" s="91"/>
      <c r="T198" s="46" t="n">
        <v>84.6098</v>
      </c>
      <c r="U198" s="74"/>
      <c r="V198" s="74"/>
      <c r="W198" s="74"/>
      <c r="X198" s="74"/>
      <c r="Y198" s="74"/>
      <c r="Z198" s="74"/>
      <c r="AA198" s="46" t="s">
        <v>150</v>
      </c>
      <c r="AB198" s="46" t="n">
        <v>2.3</v>
      </c>
      <c r="AC198" s="46" t="s">
        <v>148</v>
      </c>
      <c r="AD198" s="78" t="n">
        <v>24.380771</v>
      </c>
      <c r="AE198" s="78" t="n">
        <v>76.733411</v>
      </c>
    </row>
    <row r="199" s="26" customFormat="true" ht="15" hidden="false" customHeight="false" outlineLevel="0" collapsed="false">
      <c r="A199" s="51" t="s">
        <v>415</v>
      </c>
      <c r="B199" s="51" t="s">
        <v>416</v>
      </c>
      <c r="C199" s="51" t="s">
        <v>790</v>
      </c>
      <c r="D199" s="51" t="s">
        <v>797</v>
      </c>
      <c r="E199" s="73" t="s">
        <v>798</v>
      </c>
      <c r="F199" s="73" t="n">
        <v>188.14</v>
      </c>
      <c r="G199" s="73" t="n">
        <v>172</v>
      </c>
      <c r="H199" s="73" t="n">
        <v>873</v>
      </c>
      <c r="I199" s="73" t="n">
        <v>440</v>
      </c>
      <c r="J199" s="73" t="n">
        <v>433</v>
      </c>
      <c r="K199" s="73" t="n">
        <v>24</v>
      </c>
      <c r="L199" s="74" t="n">
        <f aca="false">K199/H199*100</f>
        <v>2.74914089347079</v>
      </c>
      <c r="M199" s="73" t="n">
        <v>54</v>
      </c>
      <c r="N199" s="74" t="n">
        <f aca="false">O199/H199*100</f>
        <v>0.741122565864834</v>
      </c>
      <c r="O199" s="73" t="n">
        <v>6.47</v>
      </c>
      <c r="P199" s="73" t="n">
        <v>25.16</v>
      </c>
      <c r="Q199" s="77" t="s">
        <v>45</v>
      </c>
      <c r="R199" s="90" t="n">
        <v>44788</v>
      </c>
      <c r="S199" s="91"/>
      <c r="T199" s="91" t="n">
        <v>100.22</v>
      </c>
      <c r="U199" s="74"/>
      <c r="V199" s="74"/>
      <c r="W199" s="74"/>
      <c r="X199" s="74"/>
      <c r="Y199" s="74"/>
      <c r="Z199" s="74"/>
      <c r="AA199" s="91" t="s">
        <v>45</v>
      </c>
      <c r="AB199" s="91" t="n">
        <v>10</v>
      </c>
      <c r="AC199" s="91"/>
      <c r="AD199" s="78" t="n">
        <v>24.389655</v>
      </c>
      <c r="AE199" s="78" t="n">
        <v>76.770055</v>
      </c>
    </row>
    <row r="200" s="26" customFormat="true" ht="15" hidden="false" customHeight="false" outlineLevel="0" collapsed="false">
      <c r="A200" s="51" t="s">
        <v>415</v>
      </c>
      <c r="B200" s="51" t="s">
        <v>416</v>
      </c>
      <c r="C200" s="51" t="s">
        <v>799</v>
      </c>
      <c r="D200" s="51" t="s">
        <v>800</v>
      </c>
      <c r="E200" s="73"/>
      <c r="F200" s="73"/>
      <c r="G200" s="73"/>
      <c r="H200" s="73"/>
      <c r="I200" s="73"/>
      <c r="J200" s="73"/>
      <c r="K200" s="73"/>
      <c r="L200" s="74" t="e">
        <f aca="false">K200/H200*100</f>
        <v>#DIV/0!</v>
      </c>
      <c r="M200" s="73"/>
      <c r="N200" s="74" t="e">
        <f aca="false">O200/H200*100</f>
        <v>#DIV/0!</v>
      </c>
      <c r="O200" s="73"/>
      <c r="P200" s="73"/>
      <c r="Q200" s="46" t="s">
        <v>45</v>
      </c>
      <c r="R200" s="46" t="s">
        <v>464</v>
      </c>
      <c r="S200" s="46"/>
      <c r="T200" s="89"/>
      <c r="U200" s="74"/>
      <c r="V200" s="74"/>
      <c r="W200" s="74"/>
      <c r="X200" s="74"/>
      <c r="Y200" s="74"/>
      <c r="Z200" s="74"/>
      <c r="AA200" s="89" t="s">
        <v>82</v>
      </c>
      <c r="AB200" s="89" t="n">
        <v>7</v>
      </c>
      <c r="AC200" s="46" t="s">
        <v>423</v>
      </c>
      <c r="AD200" s="46" t="n">
        <v>24.274678</v>
      </c>
      <c r="AE200" s="46" t="n">
        <v>76.793217</v>
      </c>
    </row>
    <row r="201" customFormat="false" ht="15" hidden="false" customHeight="false" outlineLevel="0" collapsed="false">
      <c r="A201" s="71" t="s">
        <v>415</v>
      </c>
      <c r="B201" s="71" t="s">
        <v>416</v>
      </c>
      <c r="C201" s="51" t="s">
        <v>799</v>
      </c>
      <c r="D201" s="72" t="s">
        <v>800</v>
      </c>
      <c r="E201" s="73" t="s">
        <v>801</v>
      </c>
      <c r="F201" s="73" t="n">
        <v>276.39</v>
      </c>
      <c r="G201" s="73" t="n">
        <v>305</v>
      </c>
      <c r="H201" s="73" t="n">
        <v>1416</v>
      </c>
      <c r="I201" s="73" t="n">
        <v>745</v>
      </c>
      <c r="J201" s="73" t="n">
        <v>671</v>
      </c>
      <c r="K201" s="73" t="n">
        <v>149</v>
      </c>
      <c r="L201" s="74" t="n">
        <f aca="false">K201/H201*100</f>
        <v>10.5225988700565</v>
      </c>
      <c r="M201" s="73" t="n">
        <v>519</v>
      </c>
      <c r="N201" s="74" t="n">
        <f aca="false">O201/H201*100</f>
        <v>4.41737288135593</v>
      </c>
      <c r="O201" s="73" t="n">
        <v>62.55</v>
      </c>
      <c r="P201" s="73" t="n">
        <v>0</v>
      </c>
      <c r="Q201" s="46" t="s">
        <v>45</v>
      </c>
      <c r="R201" s="46" t="s">
        <v>464</v>
      </c>
      <c r="S201" s="46"/>
      <c r="T201" s="91" t="n">
        <v>15.54</v>
      </c>
      <c r="U201" s="74"/>
      <c r="V201" s="74"/>
      <c r="W201" s="74"/>
      <c r="X201" s="74"/>
      <c r="Y201" s="74"/>
      <c r="Z201" s="74"/>
      <c r="AA201" s="91" t="s">
        <v>272</v>
      </c>
      <c r="AB201" s="91" t="n">
        <v>0</v>
      </c>
      <c r="AC201" s="91"/>
      <c r="AD201" s="46"/>
      <c r="AE201" s="4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</row>
    <row r="202" customFormat="false" ht="15" hidden="false" customHeight="false" outlineLevel="0" collapsed="false">
      <c r="A202" s="71" t="s">
        <v>415</v>
      </c>
      <c r="B202" s="71" t="s">
        <v>416</v>
      </c>
      <c r="C202" s="51" t="s">
        <v>799</v>
      </c>
      <c r="D202" s="71" t="s">
        <v>802</v>
      </c>
      <c r="E202" s="73" t="s">
        <v>803</v>
      </c>
      <c r="F202" s="73" t="n">
        <v>53.09</v>
      </c>
      <c r="G202" s="73" t="n">
        <v>53</v>
      </c>
      <c r="H202" s="73" t="n">
        <v>275</v>
      </c>
      <c r="I202" s="73" t="n">
        <v>145</v>
      </c>
      <c r="J202" s="73" t="n">
        <v>130</v>
      </c>
      <c r="K202" s="73" t="n">
        <v>160</v>
      </c>
      <c r="L202" s="74" t="n">
        <f aca="false">K202/H202*100</f>
        <v>58.1818181818182</v>
      </c>
      <c r="M202" s="73" t="n">
        <v>6</v>
      </c>
      <c r="N202" s="74" t="n">
        <f aca="false">O202/H202*100</f>
        <v>0.963636363636364</v>
      </c>
      <c r="O202" s="73" t="n">
        <v>2.65</v>
      </c>
      <c r="P202" s="73" t="n">
        <v>0</v>
      </c>
      <c r="Q202" s="46" t="s">
        <v>45</v>
      </c>
      <c r="R202" s="46" t="s">
        <v>464</v>
      </c>
      <c r="S202" s="46"/>
      <c r="T202" s="91" t="n">
        <v>11.57</v>
      </c>
      <c r="U202" s="74"/>
      <c r="V202" s="74"/>
      <c r="W202" s="74"/>
      <c r="X202" s="74"/>
      <c r="Y202" s="74"/>
      <c r="Z202" s="74"/>
      <c r="AA202" s="91" t="s">
        <v>80</v>
      </c>
      <c r="AB202" s="91" t="n">
        <v>0</v>
      </c>
      <c r="AC202" s="46"/>
      <c r="AD202" s="46"/>
      <c r="AE202" s="4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</row>
    <row r="203" customFormat="false" ht="15" hidden="false" customHeight="false" outlineLevel="0" collapsed="false">
      <c r="A203" s="71" t="s">
        <v>415</v>
      </c>
      <c r="B203" s="71" t="s">
        <v>416</v>
      </c>
      <c r="C203" s="51" t="s">
        <v>799</v>
      </c>
      <c r="D203" s="71" t="s">
        <v>386</v>
      </c>
      <c r="E203" s="73" t="s">
        <v>804</v>
      </c>
      <c r="F203" s="73" t="n">
        <v>282.77</v>
      </c>
      <c r="G203" s="73" t="n">
        <v>35</v>
      </c>
      <c r="H203" s="73" t="n">
        <v>143</v>
      </c>
      <c r="I203" s="73" t="n">
        <v>79</v>
      </c>
      <c r="J203" s="73" t="n">
        <v>64</v>
      </c>
      <c r="K203" s="73" t="n">
        <v>51</v>
      </c>
      <c r="L203" s="74" t="n">
        <f aca="false">K203/H203*100</f>
        <v>35.6643356643357</v>
      </c>
      <c r="M203" s="73" t="n">
        <v>92</v>
      </c>
      <c r="N203" s="74" t="n">
        <f aca="false">O203/H203*100</f>
        <v>8.95104895104895</v>
      </c>
      <c r="O203" s="73" t="n">
        <v>12.8</v>
      </c>
      <c r="P203" s="73" t="n">
        <v>34.33</v>
      </c>
      <c r="Q203" s="46" t="s">
        <v>45</v>
      </c>
      <c r="R203" s="46" t="s">
        <v>464</v>
      </c>
      <c r="S203" s="46"/>
      <c r="T203" s="91" t="n">
        <v>1</v>
      </c>
      <c r="U203" s="74"/>
      <c r="V203" s="74"/>
      <c r="W203" s="74"/>
      <c r="X203" s="74"/>
      <c r="Y203" s="74"/>
      <c r="Z203" s="74"/>
      <c r="AA203" s="91" t="s">
        <v>45</v>
      </c>
      <c r="AB203" s="91" t="n">
        <v>5</v>
      </c>
      <c r="AC203" s="91"/>
      <c r="AD203" s="46"/>
      <c r="AE203" s="4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</row>
    <row r="204" customFormat="false" ht="15" hidden="false" customHeight="false" outlineLevel="0" collapsed="false">
      <c r="A204" s="71" t="s">
        <v>415</v>
      </c>
      <c r="B204" s="71" t="s">
        <v>416</v>
      </c>
      <c r="C204" s="51" t="s">
        <v>799</v>
      </c>
      <c r="D204" s="71" t="s">
        <v>240</v>
      </c>
      <c r="E204" s="73" t="s">
        <v>805</v>
      </c>
      <c r="F204" s="73" t="n">
        <v>142</v>
      </c>
      <c r="G204" s="73" t="n">
        <v>35</v>
      </c>
      <c r="H204" s="73" t="n">
        <v>159</v>
      </c>
      <c r="I204" s="73" t="n">
        <v>86</v>
      </c>
      <c r="J204" s="73" t="n">
        <v>73</v>
      </c>
      <c r="K204" s="73" t="n">
        <v>11</v>
      </c>
      <c r="L204" s="74" t="n">
        <f aca="false">K204/H204*100</f>
        <v>6.91823899371069</v>
      </c>
      <c r="M204" s="73" t="n">
        <v>148</v>
      </c>
      <c r="N204" s="74" t="n">
        <f aca="false">O204/H204*100</f>
        <v>6.9559748427673</v>
      </c>
      <c r="O204" s="73" t="n">
        <v>11.06</v>
      </c>
      <c r="P204" s="73" t="n">
        <v>0</v>
      </c>
      <c r="Q204" s="46" t="s">
        <v>45</v>
      </c>
      <c r="R204" s="46" t="s">
        <v>464</v>
      </c>
      <c r="S204" s="46"/>
      <c r="T204" s="46"/>
      <c r="U204" s="74"/>
      <c r="V204" s="74"/>
      <c r="W204" s="74"/>
      <c r="X204" s="74"/>
      <c r="Y204" s="74"/>
      <c r="Z204" s="74"/>
      <c r="AA204" s="46" t="s">
        <v>82</v>
      </c>
      <c r="AB204" s="46" t="n">
        <v>15</v>
      </c>
      <c r="AC204" s="46" t="s">
        <v>806</v>
      </c>
      <c r="AD204" s="46"/>
      <c r="AE204" s="4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</row>
    <row r="205" customFormat="false" ht="15" hidden="false" customHeight="false" outlineLevel="0" collapsed="false">
      <c r="A205" s="71" t="s">
        <v>415</v>
      </c>
      <c r="B205" s="71" t="s">
        <v>416</v>
      </c>
      <c r="C205" s="51" t="s">
        <v>799</v>
      </c>
      <c r="D205" s="71" t="s">
        <v>345</v>
      </c>
      <c r="E205" s="73" t="s">
        <v>807</v>
      </c>
      <c r="F205" s="73" t="n">
        <v>121.5</v>
      </c>
      <c r="G205" s="73" t="n">
        <v>35</v>
      </c>
      <c r="H205" s="73" t="n">
        <v>159</v>
      </c>
      <c r="I205" s="73" t="n">
        <v>78</v>
      </c>
      <c r="J205" s="73" t="n">
        <v>81</v>
      </c>
      <c r="K205" s="73" t="n">
        <v>5</v>
      </c>
      <c r="L205" s="74" t="n">
        <f aca="false">K205/H205*100</f>
        <v>3.14465408805031</v>
      </c>
      <c r="M205" s="73" t="n">
        <v>0</v>
      </c>
      <c r="N205" s="74" t="n">
        <f aca="false">O205/H205*100</f>
        <v>7.60377358490566</v>
      </c>
      <c r="O205" s="73" t="n">
        <v>12.09</v>
      </c>
      <c r="P205" s="73" t="n">
        <v>0</v>
      </c>
      <c r="Q205" s="46" t="s">
        <v>45</v>
      </c>
      <c r="R205" s="46" t="s">
        <v>464</v>
      </c>
      <c r="S205" s="46"/>
      <c r="T205" s="46"/>
      <c r="U205" s="74"/>
      <c r="V205" s="74"/>
      <c r="W205" s="74"/>
      <c r="X205" s="74"/>
      <c r="Y205" s="74"/>
      <c r="Z205" s="74"/>
      <c r="AA205" s="46"/>
      <c r="AB205" s="46"/>
      <c r="AC205" s="46" t="s">
        <v>806</v>
      </c>
      <c r="AD205" s="46"/>
      <c r="AE205" s="4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</row>
    <row r="206" customFormat="false" ht="15" hidden="false" customHeight="false" outlineLevel="0" collapsed="false">
      <c r="A206" s="71" t="s">
        <v>415</v>
      </c>
      <c r="B206" s="71" t="s">
        <v>416</v>
      </c>
      <c r="C206" s="51" t="s">
        <v>799</v>
      </c>
      <c r="D206" s="71" t="s">
        <v>808</v>
      </c>
      <c r="E206" s="73" t="s">
        <v>809</v>
      </c>
      <c r="F206" s="73" t="n">
        <v>316.46</v>
      </c>
      <c r="G206" s="73" t="n">
        <v>69</v>
      </c>
      <c r="H206" s="73" t="n">
        <v>298</v>
      </c>
      <c r="I206" s="73" t="n">
        <v>152</v>
      </c>
      <c r="J206" s="73" t="n">
        <v>146</v>
      </c>
      <c r="K206" s="73" t="n">
        <v>31</v>
      </c>
      <c r="L206" s="74" t="n">
        <f aca="false">K206/H206*100</f>
        <v>10.4026845637584</v>
      </c>
      <c r="M206" s="73" t="n">
        <v>142</v>
      </c>
      <c r="N206" s="74" t="n">
        <f aca="false">O206/H206*100</f>
        <v>5.97986577181208</v>
      </c>
      <c r="O206" s="73" t="n">
        <v>17.82</v>
      </c>
      <c r="P206" s="73" t="n">
        <v>0</v>
      </c>
      <c r="Q206" s="46" t="s">
        <v>45</v>
      </c>
      <c r="R206" s="46" t="s">
        <v>464</v>
      </c>
      <c r="S206" s="46"/>
      <c r="T206" s="46"/>
      <c r="U206" s="74"/>
      <c r="V206" s="74"/>
      <c r="W206" s="74"/>
      <c r="X206" s="74"/>
      <c r="Y206" s="74"/>
      <c r="Z206" s="74"/>
      <c r="AA206" s="46"/>
      <c r="AB206" s="46"/>
      <c r="AC206" s="46" t="s">
        <v>810</v>
      </c>
      <c r="AD206" s="46"/>
      <c r="AE206" s="4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</row>
    <row r="207" s="26" customFormat="true" ht="15" hidden="false" customHeight="false" outlineLevel="0" collapsed="false">
      <c r="A207" s="51" t="s">
        <v>415</v>
      </c>
      <c r="B207" s="51" t="s">
        <v>416</v>
      </c>
      <c r="C207" s="51" t="s">
        <v>799</v>
      </c>
      <c r="D207" s="51" t="s">
        <v>808</v>
      </c>
      <c r="E207" s="73"/>
      <c r="F207" s="73"/>
      <c r="G207" s="73"/>
      <c r="H207" s="73"/>
      <c r="I207" s="73"/>
      <c r="J207" s="73"/>
      <c r="K207" s="73"/>
      <c r="L207" s="74" t="e">
        <f aca="false">K207/H207*100</f>
        <v>#DIV/0!</v>
      </c>
      <c r="M207" s="73"/>
      <c r="N207" s="74" t="e">
        <f aca="false">O207/H207*100</f>
        <v>#DIV/0!</v>
      </c>
      <c r="O207" s="73"/>
      <c r="P207" s="73"/>
      <c r="Q207" s="46" t="s">
        <v>45</v>
      </c>
      <c r="R207" s="46" t="s">
        <v>464</v>
      </c>
      <c r="S207" s="46"/>
      <c r="T207" s="46"/>
      <c r="U207" s="74"/>
      <c r="V207" s="74"/>
      <c r="W207" s="74"/>
      <c r="X207" s="74"/>
      <c r="Y207" s="74"/>
      <c r="Z207" s="74"/>
      <c r="AA207" s="46"/>
      <c r="AB207" s="46"/>
      <c r="AC207" s="46"/>
      <c r="AD207" s="46" t="n">
        <v>24.281862</v>
      </c>
      <c r="AE207" s="46" t="n">
        <v>76.788433</v>
      </c>
    </row>
    <row r="208" customFormat="false" ht="15" hidden="false" customHeight="false" outlineLevel="0" collapsed="false">
      <c r="A208" s="71" t="s">
        <v>415</v>
      </c>
      <c r="B208" s="71" t="s">
        <v>416</v>
      </c>
      <c r="C208" s="51" t="s">
        <v>799</v>
      </c>
      <c r="D208" s="71" t="s">
        <v>811</v>
      </c>
      <c r="E208" s="73" t="s">
        <v>812</v>
      </c>
      <c r="F208" s="73" t="n">
        <v>629.57</v>
      </c>
      <c r="G208" s="73" t="n">
        <v>376</v>
      </c>
      <c r="H208" s="73" t="n">
        <v>1744</v>
      </c>
      <c r="I208" s="73" t="n">
        <v>909</v>
      </c>
      <c r="J208" s="73" t="n">
        <v>835</v>
      </c>
      <c r="K208" s="73" t="n">
        <v>288</v>
      </c>
      <c r="L208" s="74" t="n">
        <f aca="false">K208/H208*100</f>
        <v>16.5137614678899</v>
      </c>
      <c r="M208" s="73" t="n">
        <v>421</v>
      </c>
      <c r="N208" s="74" t="n">
        <f aca="false">O208/H208*100</f>
        <v>5.79071100917431</v>
      </c>
      <c r="O208" s="73" t="n">
        <v>100.99</v>
      </c>
      <c r="P208" s="73" t="n">
        <v>12.42</v>
      </c>
      <c r="Q208" s="46" t="s">
        <v>45</v>
      </c>
      <c r="R208" s="46" t="s">
        <v>464</v>
      </c>
      <c r="S208" s="46"/>
      <c r="T208" s="46"/>
      <c r="U208" s="74"/>
      <c r="V208" s="74"/>
      <c r="W208" s="74"/>
      <c r="X208" s="74"/>
      <c r="Y208" s="74"/>
      <c r="Z208" s="74"/>
      <c r="AA208" s="46"/>
      <c r="AB208" s="46"/>
      <c r="AC208" s="46"/>
      <c r="AD208" s="46"/>
      <c r="AE208" s="4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</row>
    <row r="209" customFormat="false" ht="15" hidden="false" customHeight="false" outlineLevel="0" collapsed="false">
      <c r="A209" s="71" t="s">
        <v>415</v>
      </c>
      <c r="B209" s="71" t="s">
        <v>416</v>
      </c>
      <c r="C209" s="51" t="s">
        <v>813</v>
      </c>
      <c r="D209" s="72" t="s">
        <v>814</v>
      </c>
      <c r="E209" s="73" t="s">
        <v>815</v>
      </c>
      <c r="F209" s="73" t="n">
        <v>416.79</v>
      </c>
      <c r="G209" s="73" t="n">
        <v>225</v>
      </c>
      <c r="H209" s="73" t="n">
        <v>1088</v>
      </c>
      <c r="I209" s="73" t="n">
        <v>578</v>
      </c>
      <c r="J209" s="73" t="n">
        <v>510</v>
      </c>
      <c r="K209" s="73" t="n">
        <v>197</v>
      </c>
      <c r="L209" s="74" t="n">
        <f aca="false">K209/H209*100</f>
        <v>18.1066176470588</v>
      </c>
      <c r="M209" s="73" t="n">
        <v>0</v>
      </c>
      <c r="N209" s="74" t="n">
        <f aca="false">O209/H209*100</f>
        <v>5.24264705882353</v>
      </c>
      <c r="O209" s="73" t="n">
        <v>57.04</v>
      </c>
      <c r="P209" s="73" t="n">
        <v>121.7</v>
      </c>
      <c r="Q209" s="46" t="s">
        <v>43</v>
      </c>
      <c r="R209" s="46"/>
      <c r="S209" s="46"/>
      <c r="T209" s="46"/>
      <c r="U209" s="74"/>
      <c r="V209" s="74"/>
      <c r="W209" s="74"/>
      <c r="X209" s="74"/>
      <c r="Y209" s="74"/>
      <c r="Z209" s="74"/>
      <c r="AA209" s="46"/>
      <c r="AB209" s="46"/>
      <c r="AC209" s="46" t="s">
        <v>816</v>
      </c>
      <c r="AD209" s="46" t="n">
        <v>24.207078</v>
      </c>
      <c r="AE209" s="46" t="n">
        <v>76.847699</v>
      </c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</row>
    <row r="210" customFormat="false" ht="15" hidden="false" customHeight="false" outlineLevel="0" collapsed="false">
      <c r="A210" s="71" t="s">
        <v>415</v>
      </c>
      <c r="B210" s="71" t="s">
        <v>416</v>
      </c>
      <c r="C210" s="51" t="s">
        <v>813</v>
      </c>
      <c r="D210" s="71" t="s">
        <v>817</v>
      </c>
      <c r="E210" s="73" t="s">
        <v>818</v>
      </c>
      <c r="F210" s="73" t="n">
        <v>115.34</v>
      </c>
      <c r="G210" s="73" t="n">
        <v>36</v>
      </c>
      <c r="H210" s="73" t="n">
        <v>145</v>
      </c>
      <c r="I210" s="73" t="n">
        <v>76</v>
      </c>
      <c r="J210" s="73" t="n">
        <v>69</v>
      </c>
      <c r="K210" s="73" t="n">
        <v>0</v>
      </c>
      <c r="L210" s="74" t="n">
        <f aca="false">K210/H210*100</f>
        <v>0</v>
      </c>
      <c r="M210" s="73" t="n">
        <v>0</v>
      </c>
      <c r="N210" s="74" t="n">
        <f aca="false">O210/H210*100</f>
        <v>15.5862068965517</v>
      </c>
      <c r="O210" s="73" t="n">
        <v>22.6</v>
      </c>
      <c r="P210" s="73" t="n">
        <v>0</v>
      </c>
      <c r="Q210" s="46" t="s">
        <v>49</v>
      </c>
      <c r="R210" s="46"/>
      <c r="S210" s="46"/>
      <c r="T210" s="46"/>
      <c r="U210" s="74"/>
      <c r="V210" s="74"/>
      <c r="W210" s="74"/>
      <c r="X210" s="74"/>
      <c r="Y210" s="74"/>
      <c r="Z210" s="74"/>
      <c r="AA210" s="46"/>
      <c r="AB210" s="46"/>
      <c r="AC210" s="46" t="s">
        <v>819</v>
      </c>
      <c r="AD210" s="46" t="n">
        <v>24.206932</v>
      </c>
      <c r="AE210" s="46" t="n">
        <v>76.847529</v>
      </c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</row>
    <row r="211" customFormat="false" ht="15" hidden="false" customHeight="false" outlineLevel="0" collapsed="false">
      <c r="A211" s="71" t="s">
        <v>415</v>
      </c>
      <c r="B211" s="71" t="s">
        <v>416</v>
      </c>
      <c r="C211" s="51" t="s">
        <v>813</v>
      </c>
      <c r="D211" s="71" t="s">
        <v>820</v>
      </c>
      <c r="E211" s="73" t="s">
        <v>821</v>
      </c>
      <c r="F211" s="73" t="n">
        <v>211.25</v>
      </c>
      <c r="G211" s="73" t="n">
        <v>90</v>
      </c>
      <c r="H211" s="73" t="n">
        <v>405</v>
      </c>
      <c r="I211" s="73" t="n">
        <v>195</v>
      </c>
      <c r="J211" s="73" t="n">
        <v>210</v>
      </c>
      <c r="K211" s="73" t="n">
        <v>5</v>
      </c>
      <c r="L211" s="74" t="n">
        <f aca="false">K211/H211*100</f>
        <v>1.23456790123457</v>
      </c>
      <c r="M211" s="73" t="n">
        <v>0</v>
      </c>
      <c r="N211" s="74" t="n">
        <f aca="false">O211/H211*100</f>
        <v>5.18271604938272</v>
      </c>
      <c r="O211" s="73" t="n">
        <v>20.99</v>
      </c>
      <c r="P211" s="73" t="n">
        <v>19.98</v>
      </c>
      <c r="Q211" s="46" t="s">
        <v>43</v>
      </c>
      <c r="R211" s="46"/>
      <c r="S211" s="46"/>
      <c r="T211" s="46" t="n">
        <v>20.44</v>
      </c>
      <c r="U211" s="74"/>
      <c r="V211" s="74"/>
      <c r="W211" s="74"/>
      <c r="X211" s="74"/>
      <c r="Y211" s="74"/>
      <c r="Z211" s="74"/>
      <c r="AA211" s="46" t="s">
        <v>82</v>
      </c>
      <c r="AB211" s="46" t="n">
        <v>14</v>
      </c>
      <c r="AC211" s="46" t="s">
        <v>819</v>
      </c>
      <c r="AD211" s="46"/>
      <c r="AE211" s="4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</row>
    <row r="212" customFormat="false" ht="15" hidden="false" customHeight="false" outlineLevel="0" collapsed="false">
      <c r="A212" s="71" t="s">
        <v>415</v>
      </c>
      <c r="B212" s="71" t="s">
        <v>416</v>
      </c>
      <c r="C212" s="51" t="s">
        <v>813</v>
      </c>
      <c r="D212" s="71" t="s">
        <v>822</v>
      </c>
      <c r="E212" s="73" t="s">
        <v>823</v>
      </c>
      <c r="F212" s="73" t="n">
        <v>85.78</v>
      </c>
      <c r="G212" s="73" t="n">
        <v>13</v>
      </c>
      <c r="H212" s="73" t="n">
        <v>44</v>
      </c>
      <c r="I212" s="73" t="n">
        <v>25</v>
      </c>
      <c r="J212" s="73" t="n">
        <v>19</v>
      </c>
      <c r="K212" s="73" t="n">
        <v>0</v>
      </c>
      <c r="L212" s="74" t="n">
        <f aca="false">K212/H212*100</f>
        <v>0</v>
      </c>
      <c r="M212" s="73" t="n">
        <v>0</v>
      </c>
      <c r="N212" s="74" t="n">
        <f aca="false">O212/H212*100</f>
        <v>15.75</v>
      </c>
      <c r="O212" s="73" t="n">
        <v>6.93</v>
      </c>
      <c r="P212" s="73" t="n">
        <v>46.15</v>
      </c>
      <c r="Q212" s="46" t="s">
        <v>49</v>
      </c>
      <c r="R212" s="46"/>
      <c r="S212" s="46"/>
      <c r="T212" s="46"/>
      <c r="U212" s="74"/>
      <c r="V212" s="74"/>
      <c r="W212" s="74"/>
      <c r="X212" s="74"/>
      <c r="Y212" s="74"/>
      <c r="Z212" s="74"/>
      <c r="AA212" s="46"/>
      <c r="AB212" s="46"/>
      <c r="AC212" s="46" t="s">
        <v>824</v>
      </c>
      <c r="AD212" s="46"/>
      <c r="AE212" s="4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</row>
    <row r="213" customFormat="false" ht="15" hidden="false" customHeight="false" outlineLevel="0" collapsed="false">
      <c r="A213" s="71" t="s">
        <v>415</v>
      </c>
      <c r="B213" s="71" t="s">
        <v>416</v>
      </c>
      <c r="C213" s="51" t="s">
        <v>813</v>
      </c>
      <c r="D213" s="71" t="s">
        <v>825</v>
      </c>
      <c r="E213" s="73" t="s">
        <v>826</v>
      </c>
      <c r="F213" s="73" t="n">
        <v>294</v>
      </c>
      <c r="G213" s="73" t="n">
        <v>157</v>
      </c>
      <c r="H213" s="73" t="n">
        <v>723</v>
      </c>
      <c r="I213" s="73" t="n">
        <v>380</v>
      </c>
      <c r="J213" s="73" t="n">
        <v>343</v>
      </c>
      <c r="K213" s="73" t="n">
        <v>43</v>
      </c>
      <c r="L213" s="74" t="n">
        <f aca="false">K213/H213*100</f>
        <v>5.94744121715076</v>
      </c>
      <c r="M213" s="73" t="n">
        <v>0</v>
      </c>
      <c r="N213" s="74" t="n">
        <f aca="false">O213/H213*100</f>
        <v>10.1618257261411</v>
      </c>
      <c r="O213" s="73" t="n">
        <v>73.47</v>
      </c>
      <c r="P213" s="73" t="n">
        <v>36.56</v>
      </c>
      <c r="Q213" s="46" t="s">
        <v>43</v>
      </c>
      <c r="R213" s="46"/>
      <c r="S213" s="46"/>
      <c r="T213" s="46" t="n">
        <v>21.4</v>
      </c>
      <c r="U213" s="74"/>
      <c r="V213" s="74"/>
      <c r="W213" s="74"/>
      <c r="X213" s="74"/>
      <c r="Y213" s="74"/>
      <c r="Z213" s="74"/>
      <c r="AA213" s="46" t="s">
        <v>43</v>
      </c>
      <c r="AB213" s="46" t="n">
        <v>21.4</v>
      </c>
      <c r="AC213" s="46"/>
      <c r="AD213" s="46" t="n">
        <v>24.192062</v>
      </c>
      <c r="AE213" s="46" t="n">
        <v>76.839718</v>
      </c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</row>
    <row r="214" customFormat="false" ht="21" hidden="false" customHeight="false" outlineLevel="0" collapsed="false">
      <c r="A214" s="71" t="s">
        <v>415</v>
      </c>
      <c r="B214" s="71" t="s">
        <v>416</v>
      </c>
      <c r="C214" s="51" t="s">
        <v>813</v>
      </c>
      <c r="D214" s="71" t="s">
        <v>371</v>
      </c>
      <c r="E214" s="73" t="s">
        <v>827</v>
      </c>
      <c r="F214" s="73" t="n">
        <v>82.37</v>
      </c>
      <c r="G214" s="73" t="n">
        <v>0</v>
      </c>
      <c r="H214" s="73" t="n">
        <v>0</v>
      </c>
      <c r="I214" s="73" t="n">
        <v>0</v>
      </c>
      <c r="J214" s="73" t="n">
        <v>0</v>
      </c>
      <c r="K214" s="73" t="n">
        <v>0</v>
      </c>
      <c r="L214" s="74" t="e">
        <f aca="false">K214/H214*100</f>
        <v>#DIV/0!</v>
      </c>
      <c r="M214" s="73" t="n">
        <v>0</v>
      </c>
      <c r="N214" s="74" t="e">
        <f aca="false">O214/H214*100</f>
        <v>#DIV/0!</v>
      </c>
      <c r="O214" s="73" t="n">
        <v>0</v>
      </c>
      <c r="P214" s="73" t="n">
        <v>39.33</v>
      </c>
      <c r="Q214" s="74"/>
      <c r="R214" s="74"/>
      <c r="S214" s="76"/>
      <c r="T214" s="46" t="n">
        <v>8.18</v>
      </c>
      <c r="U214" s="74"/>
      <c r="V214" s="74"/>
      <c r="W214" s="74"/>
      <c r="X214" s="74"/>
      <c r="Y214" s="74"/>
      <c r="Z214" s="74"/>
      <c r="AA214" s="46" t="s">
        <v>49</v>
      </c>
      <c r="AB214" s="46" t="n">
        <v>8.18</v>
      </c>
      <c r="AC214" s="46"/>
      <c r="AD214" s="75"/>
      <c r="AE214" s="75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</row>
    <row r="215" customFormat="false" ht="15" hidden="false" customHeight="false" outlineLevel="0" collapsed="false">
      <c r="A215" s="71" t="s">
        <v>415</v>
      </c>
      <c r="B215" s="71" t="s">
        <v>416</v>
      </c>
      <c r="C215" s="51" t="s">
        <v>813</v>
      </c>
      <c r="D215" s="71" t="s">
        <v>828</v>
      </c>
      <c r="E215" s="73" t="s">
        <v>829</v>
      </c>
      <c r="F215" s="73" t="n">
        <v>208.56</v>
      </c>
      <c r="G215" s="73" t="n">
        <v>113</v>
      </c>
      <c r="H215" s="73" t="n">
        <v>491</v>
      </c>
      <c r="I215" s="73" t="n">
        <v>255</v>
      </c>
      <c r="J215" s="73" t="n">
        <v>236</v>
      </c>
      <c r="K215" s="73" t="n">
        <v>0</v>
      </c>
      <c r="L215" s="74" t="n">
        <f aca="false">K215/H215*100</f>
        <v>0</v>
      </c>
      <c r="M215" s="73" t="n">
        <v>0</v>
      </c>
      <c r="N215" s="74" t="n">
        <f aca="false">O215/H215*100</f>
        <v>7.63543788187373</v>
      </c>
      <c r="O215" s="73" t="n">
        <v>37.49</v>
      </c>
      <c r="P215" s="73" t="n">
        <v>13.89</v>
      </c>
      <c r="Q215" s="46" t="s">
        <v>43</v>
      </c>
      <c r="R215" s="46"/>
      <c r="S215" s="46"/>
      <c r="T215" s="46" t="n">
        <v>3.09</v>
      </c>
      <c r="U215" s="74"/>
      <c r="V215" s="74"/>
      <c r="W215" s="74"/>
      <c r="X215" s="74"/>
      <c r="Y215" s="74"/>
      <c r="Z215" s="74"/>
      <c r="AA215" s="46" t="s">
        <v>47</v>
      </c>
      <c r="AB215" s="46"/>
      <c r="AC215" s="46"/>
      <c r="AD215" s="46" t="n">
        <v>24.20669</v>
      </c>
      <c r="AE215" s="46" t="n">
        <v>76.846827</v>
      </c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</row>
    <row r="216" customFormat="false" ht="15" hidden="false" customHeight="false" outlineLevel="0" collapsed="false">
      <c r="A216" s="71" t="s">
        <v>415</v>
      </c>
      <c r="B216" s="71" t="s">
        <v>416</v>
      </c>
      <c r="C216" s="51" t="s">
        <v>813</v>
      </c>
      <c r="D216" s="71" t="s">
        <v>830</v>
      </c>
      <c r="E216" s="73" t="s">
        <v>831</v>
      </c>
      <c r="F216" s="73" t="n">
        <v>425.83</v>
      </c>
      <c r="G216" s="73" t="n">
        <v>266</v>
      </c>
      <c r="H216" s="73" t="n">
        <v>1172</v>
      </c>
      <c r="I216" s="73" t="n">
        <v>600</v>
      </c>
      <c r="J216" s="73" t="n">
        <v>572</v>
      </c>
      <c r="K216" s="73" t="n">
        <v>90</v>
      </c>
      <c r="L216" s="74" t="n">
        <f aca="false">K216/H216*100</f>
        <v>7.67918088737201</v>
      </c>
      <c r="M216" s="73" t="n">
        <v>0</v>
      </c>
      <c r="N216" s="74" t="n">
        <f aca="false">O216/H216*100</f>
        <v>7.29948805460751</v>
      </c>
      <c r="O216" s="73" t="n">
        <v>85.55</v>
      </c>
      <c r="P216" s="73" t="n">
        <v>46.25</v>
      </c>
      <c r="Q216" s="46" t="s">
        <v>43</v>
      </c>
      <c r="R216" s="46"/>
      <c r="S216" s="46"/>
      <c r="T216" s="46" t="n">
        <v>5.41</v>
      </c>
      <c r="U216" s="74"/>
      <c r="V216" s="74"/>
      <c r="W216" s="74"/>
      <c r="X216" s="74"/>
      <c r="Y216" s="74"/>
      <c r="Z216" s="74"/>
      <c r="AA216" s="46" t="s">
        <v>47</v>
      </c>
      <c r="AB216" s="46"/>
      <c r="AC216" s="46"/>
      <c r="AD216" s="46"/>
      <c r="AE216" s="4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</row>
    <row r="217" customFormat="false" ht="15" hidden="false" customHeight="false" outlineLevel="0" collapsed="false">
      <c r="A217" s="71" t="s">
        <v>415</v>
      </c>
      <c r="B217" s="71" t="s">
        <v>416</v>
      </c>
      <c r="C217" s="51" t="s">
        <v>813</v>
      </c>
      <c r="D217" s="71" t="s">
        <v>832</v>
      </c>
      <c r="E217" s="73" t="s">
        <v>833</v>
      </c>
      <c r="F217" s="73" t="n">
        <v>98.86</v>
      </c>
      <c r="G217" s="73" t="n">
        <v>96</v>
      </c>
      <c r="H217" s="73" t="n">
        <v>420</v>
      </c>
      <c r="I217" s="73" t="n">
        <v>213</v>
      </c>
      <c r="J217" s="73" t="n">
        <v>207</v>
      </c>
      <c r="K217" s="73" t="n">
        <v>73</v>
      </c>
      <c r="L217" s="74" t="n">
        <f aca="false">K217/H217*100</f>
        <v>17.3809523809524</v>
      </c>
      <c r="M217" s="73" t="n">
        <v>1</v>
      </c>
      <c r="N217" s="74" t="n">
        <f aca="false">O217/H217*100</f>
        <v>4.70476190476191</v>
      </c>
      <c r="O217" s="73" t="n">
        <v>19.76</v>
      </c>
      <c r="P217" s="73" t="n">
        <v>0</v>
      </c>
      <c r="Q217" s="46" t="s">
        <v>43</v>
      </c>
      <c r="R217" s="46"/>
      <c r="S217" s="46"/>
      <c r="T217" s="46" t="n">
        <v>11.16</v>
      </c>
      <c r="U217" s="74"/>
      <c r="V217" s="74"/>
      <c r="W217" s="74"/>
      <c r="X217" s="74"/>
      <c r="Y217" s="74"/>
      <c r="Z217" s="74"/>
      <c r="AA217" s="46" t="s">
        <v>49</v>
      </c>
      <c r="AB217" s="46" t="n">
        <v>11.16</v>
      </c>
      <c r="AC217" s="46"/>
      <c r="AD217" s="46"/>
      <c r="AE217" s="4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</row>
    <row r="218" customFormat="false" ht="21" hidden="false" customHeight="false" outlineLevel="0" collapsed="false">
      <c r="A218" s="71" t="s">
        <v>415</v>
      </c>
      <c r="B218" s="71" t="s">
        <v>416</v>
      </c>
      <c r="C218" s="51" t="s">
        <v>813</v>
      </c>
      <c r="D218" s="71" t="s">
        <v>834</v>
      </c>
      <c r="E218" s="73" t="s">
        <v>835</v>
      </c>
      <c r="F218" s="73" t="n">
        <v>78.57</v>
      </c>
      <c r="G218" s="73" t="n">
        <v>0</v>
      </c>
      <c r="H218" s="73" t="n">
        <v>0</v>
      </c>
      <c r="I218" s="73" t="n">
        <v>0</v>
      </c>
      <c r="J218" s="73" t="n">
        <v>0</v>
      </c>
      <c r="K218" s="73" t="n">
        <v>0</v>
      </c>
      <c r="L218" s="74" t="e">
        <f aca="false">K218/H218*100</f>
        <v>#DIV/0!</v>
      </c>
      <c r="M218" s="73" t="n">
        <v>0</v>
      </c>
      <c r="N218" s="74" t="e">
        <f aca="false">O218/H218*100</f>
        <v>#DIV/0!</v>
      </c>
      <c r="O218" s="73" t="n">
        <v>0</v>
      </c>
      <c r="P218" s="73" t="n">
        <v>0</v>
      </c>
      <c r="Q218" s="74"/>
      <c r="R218" s="74"/>
      <c r="S218" s="76"/>
      <c r="T218" s="76"/>
      <c r="U218" s="74"/>
      <c r="V218" s="74"/>
      <c r="W218" s="74"/>
      <c r="X218" s="74"/>
      <c r="Y218" s="74"/>
      <c r="Z218" s="74"/>
      <c r="AA218" s="74"/>
      <c r="AB218" s="74"/>
      <c r="AC218" s="74"/>
      <c r="AD218" s="75"/>
      <c r="AE218" s="75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</row>
    <row r="219" customFormat="false" ht="15" hidden="false" customHeight="false" outlineLevel="0" collapsed="false">
      <c r="A219" s="71" t="s">
        <v>415</v>
      </c>
      <c r="B219" s="71" t="s">
        <v>416</v>
      </c>
      <c r="C219" s="51" t="s">
        <v>836</v>
      </c>
      <c r="D219" s="72" t="s">
        <v>837</v>
      </c>
      <c r="E219" s="73" t="s">
        <v>838</v>
      </c>
      <c r="F219" s="73" t="n">
        <v>767.2</v>
      </c>
      <c r="G219" s="73" t="n">
        <v>282</v>
      </c>
      <c r="H219" s="73" t="n">
        <v>1276</v>
      </c>
      <c r="I219" s="73" t="n">
        <v>652</v>
      </c>
      <c r="J219" s="73" t="n">
        <v>624</v>
      </c>
      <c r="K219" s="73" t="n">
        <v>101</v>
      </c>
      <c r="L219" s="74" t="n">
        <f aca="false">K219/H219*100</f>
        <v>7.9153605015674</v>
      </c>
      <c r="M219" s="73" t="n">
        <v>27</v>
      </c>
      <c r="N219" s="74" t="n">
        <f aca="false">O219/H219*100</f>
        <v>5.01097178683386</v>
      </c>
      <c r="O219" s="73" t="n">
        <v>63.94</v>
      </c>
      <c r="P219" s="73" t="n">
        <v>361.22</v>
      </c>
      <c r="Q219" s="46" t="s">
        <v>45</v>
      </c>
      <c r="R219" s="46" t="s">
        <v>839</v>
      </c>
      <c r="S219" s="46"/>
      <c r="T219" s="46" t="n">
        <v>13.99</v>
      </c>
      <c r="U219" s="74"/>
      <c r="V219" s="74"/>
      <c r="W219" s="74"/>
      <c r="X219" s="74"/>
      <c r="Y219" s="74"/>
      <c r="Z219" s="74"/>
      <c r="AA219" s="46" t="s">
        <v>49</v>
      </c>
      <c r="AB219" s="46" t="n">
        <v>13.99</v>
      </c>
      <c r="AC219" s="46"/>
      <c r="AD219" s="46" t="n">
        <v>24.26085</v>
      </c>
      <c r="AE219" s="46" t="n">
        <v>76.8305</v>
      </c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</row>
    <row r="220" customFormat="false" ht="15" hidden="false" customHeight="false" outlineLevel="0" collapsed="false">
      <c r="A220" s="71" t="s">
        <v>415</v>
      </c>
      <c r="B220" s="71" t="s">
        <v>416</v>
      </c>
      <c r="C220" s="51" t="s">
        <v>836</v>
      </c>
      <c r="D220" s="71" t="s">
        <v>840</v>
      </c>
      <c r="E220" s="73" t="s">
        <v>841</v>
      </c>
      <c r="F220" s="73" t="n">
        <v>408.16</v>
      </c>
      <c r="G220" s="73" t="n">
        <v>122</v>
      </c>
      <c r="H220" s="73" t="n">
        <v>538</v>
      </c>
      <c r="I220" s="73" t="n">
        <v>275</v>
      </c>
      <c r="J220" s="73" t="n">
        <v>263</v>
      </c>
      <c r="K220" s="73" t="n">
        <v>59</v>
      </c>
      <c r="L220" s="74" t="n">
        <f aca="false">K220/H220*100</f>
        <v>10.9665427509294</v>
      </c>
      <c r="M220" s="73" t="n">
        <v>55</v>
      </c>
      <c r="N220" s="74" t="n">
        <f aca="false">O220/H220*100</f>
        <v>5.37360594795539</v>
      </c>
      <c r="O220" s="73" t="n">
        <v>28.91</v>
      </c>
      <c r="P220" s="73" t="n">
        <v>141.31</v>
      </c>
      <c r="Q220" s="46" t="s">
        <v>45</v>
      </c>
      <c r="R220" s="46" t="s">
        <v>839</v>
      </c>
      <c r="S220" s="46"/>
      <c r="T220" s="46" t="n">
        <v>24.09</v>
      </c>
      <c r="U220" s="74"/>
      <c r="V220" s="74"/>
      <c r="W220" s="74"/>
      <c r="X220" s="74"/>
      <c r="Y220" s="74"/>
      <c r="Z220" s="74"/>
      <c r="AA220" s="46" t="s">
        <v>47</v>
      </c>
      <c r="AB220" s="46"/>
      <c r="AC220" s="46"/>
      <c r="AD220" s="46" t="n">
        <v>24.251643</v>
      </c>
      <c r="AE220" s="46" t="n">
        <v>76.85117</v>
      </c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</row>
    <row r="221" customFormat="false" ht="15" hidden="false" customHeight="false" outlineLevel="0" collapsed="false">
      <c r="A221" s="71" t="s">
        <v>415</v>
      </c>
      <c r="B221" s="71" t="s">
        <v>416</v>
      </c>
      <c r="C221" s="51" t="s">
        <v>836</v>
      </c>
      <c r="D221" s="71" t="s">
        <v>842</v>
      </c>
      <c r="E221" s="73" t="s">
        <v>843</v>
      </c>
      <c r="F221" s="73" t="n">
        <v>512.31</v>
      </c>
      <c r="G221" s="73" t="n">
        <v>184</v>
      </c>
      <c r="H221" s="73" t="n">
        <v>903</v>
      </c>
      <c r="I221" s="73" t="n">
        <v>466</v>
      </c>
      <c r="J221" s="73" t="n">
        <v>437</v>
      </c>
      <c r="K221" s="73" t="n">
        <v>105</v>
      </c>
      <c r="L221" s="74" t="n">
        <f aca="false">K221/H221*100</f>
        <v>11.6279069767442</v>
      </c>
      <c r="M221" s="73" t="n">
        <v>9</v>
      </c>
      <c r="N221" s="74" t="n">
        <f aca="false">O221/H221*100</f>
        <v>6.7452934662237</v>
      </c>
      <c r="O221" s="73" t="n">
        <v>60.91</v>
      </c>
      <c r="P221" s="73" t="n">
        <v>202.86</v>
      </c>
      <c r="Q221" s="46" t="s">
        <v>45</v>
      </c>
      <c r="R221" s="46" t="s">
        <v>839</v>
      </c>
      <c r="S221" s="46"/>
      <c r="T221" s="46" t="n">
        <v>13.62</v>
      </c>
      <c r="U221" s="74"/>
      <c r="V221" s="74"/>
      <c r="W221" s="74"/>
      <c r="X221" s="74"/>
      <c r="Y221" s="74"/>
      <c r="Z221" s="74"/>
      <c r="AA221" s="46" t="s">
        <v>47</v>
      </c>
      <c r="AB221" s="46"/>
      <c r="AC221" s="46"/>
      <c r="AD221" s="46" t="n">
        <v>24.247757</v>
      </c>
      <c r="AE221" s="46" t="n">
        <v>76.866605</v>
      </c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</row>
    <row r="222" s="26" customFormat="true" ht="21" hidden="false" customHeight="false" outlineLevel="0" collapsed="false">
      <c r="A222" s="51" t="s">
        <v>415</v>
      </c>
      <c r="B222" s="51" t="s">
        <v>416</v>
      </c>
      <c r="C222" s="51" t="s">
        <v>836</v>
      </c>
      <c r="D222" s="51" t="s">
        <v>842</v>
      </c>
      <c r="E222" s="73"/>
      <c r="F222" s="93"/>
      <c r="G222" s="93"/>
      <c r="H222" s="93"/>
      <c r="I222" s="93"/>
      <c r="J222" s="93"/>
      <c r="K222" s="73"/>
      <c r="L222" s="74" t="e">
        <f aca="false">K222/H222*100</f>
        <v>#DIV/0!</v>
      </c>
      <c r="M222" s="73"/>
      <c r="N222" s="74" t="e">
        <f aca="false">O222/H222*100</f>
        <v>#DIV/0!</v>
      </c>
      <c r="O222" s="93"/>
      <c r="P222" s="93"/>
      <c r="Q222" s="46" t="s">
        <v>45</v>
      </c>
      <c r="R222" s="46" t="s">
        <v>839</v>
      </c>
      <c r="S222" s="46"/>
      <c r="T222" s="76"/>
      <c r="U222" s="74"/>
      <c r="V222" s="74"/>
      <c r="W222" s="74"/>
      <c r="X222" s="74"/>
      <c r="Y222" s="74"/>
      <c r="Z222" s="74"/>
      <c r="AA222" s="74"/>
      <c r="AB222" s="74"/>
      <c r="AC222" s="74"/>
      <c r="AD222" s="46" t="n">
        <v>24.252892</v>
      </c>
      <c r="AE222" s="46" t="n">
        <v>76.872386</v>
      </c>
    </row>
    <row r="223" customFormat="false" ht="15" hidden="false" customHeight="false" outlineLevel="0" collapsed="false">
      <c r="A223" s="71" t="s">
        <v>415</v>
      </c>
      <c r="B223" s="71" t="s">
        <v>416</v>
      </c>
      <c r="C223" s="51" t="s">
        <v>836</v>
      </c>
      <c r="D223" s="71" t="s">
        <v>844</v>
      </c>
      <c r="E223" s="73" t="s">
        <v>845</v>
      </c>
      <c r="F223" s="93" t="n">
        <v>967.31</v>
      </c>
      <c r="G223" s="93" t="n">
        <v>308</v>
      </c>
      <c r="H223" s="93" t="n">
        <v>1360</v>
      </c>
      <c r="I223" s="93" t="n">
        <v>693</v>
      </c>
      <c r="J223" s="93" t="n">
        <v>667</v>
      </c>
      <c r="K223" s="73" t="n">
        <v>94</v>
      </c>
      <c r="L223" s="74" t="n">
        <f aca="false">K223/H223*100</f>
        <v>6.91176470588235</v>
      </c>
      <c r="M223" s="73" t="n">
        <v>79</v>
      </c>
      <c r="N223" s="74" t="n">
        <f aca="false">O223/H223*100</f>
        <v>4.07573529411765</v>
      </c>
      <c r="O223" s="93" t="n">
        <v>55.43</v>
      </c>
      <c r="P223" s="93" t="n">
        <v>612.49</v>
      </c>
      <c r="Q223" s="46" t="s">
        <v>45</v>
      </c>
      <c r="R223" s="46" t="s">
        <v>839</v>
      </c>
      <c r="S223" s="46"/>
      <c r="T223" s="46" t="n">
        <v>63.7623</v>
      </c>
      <c r="U223" s="74"/>
      <c r="V223" s="74"/>
      <c r="W223" s="74"/>
      <c r="X223" s="74"/>
      <c r="Y223" s="74"/>
      <c r="Z223" s="74"/>
      <c r="AA223" s="46" t="s">
        <v>80</v>
      </c>
      <c r="AB223" s="46" t="n">
        <v>0</v>
      </c>
      <c r="AC223" s="46"/>
      <c r="AD223" s="46" t="n">
        <v>24.276122</v>
      </c>
      <c r="AE223" s="46" t="n">
        <v>76.830032</v>
      </c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</row>
    <row r="224" customFormat="false" ht="21" hidden="false" customHeight="false" outlineLevel="0" collapsed="false">
      <c r="A224" s="94" t="s">
        <v>39</v>
      </c>
      <c r="B224" s="95" t="s">
        <v>416</v>
      </c>
      <c r="C224" s="95" t="s">
        <v>713</v>
      </c>
      <c r="D224" s="94" t="s">
        <v>176</v>
      </c>
      <c r="E224" s="74" t="n">
        <v>104825</v>
      </c>
      <c r="F224" s="74" t="n">
        <v>222.99</v>
      </c>
      <c r="G224" s="74" t="n">
        <v>107</v>
      </c>
      <c r="H224" s="74" t="n">
        <v>511</v>
      </c>
      <c r="I224" s="74" t="n">
        <v>264</v>
      </c>
      <c r="J224" s="74" t="n">
        <v>247</v>
      </c>
      <c r="K224" s="74" t="n">
        <v>8</v>
      </c>
      <c r="L224" s="74" t="n">
        <f aca="false">K224/H224*100</f>
        <v>1.56555772994129</v>
      </c>
      <c r="M224" s="74" t="n">
        <v>0</v>
      </c>
      <c r="N224" s="74" t="n">
        <f aca="false">O224/H224*100</f>
        <v>2.00391389432485</v>
      </c>
      <c r="O224" s="74" t="n">
        <v>10.24</v>
      </c>
      <c r="P224" s="74" t="n">
        <v>0</v>
      </c>
      <c r="Q224" s="74"/>
      <c r="R224" s="74"/>
      <c r="S224" s="76"/>
      <c r="T224" s="46" t="n">
        <v>28.9107</v>
      </c>
      <c r="U224" s="74"/>
      <c r="V224" s="74"/>
      <c r="W224" s="74"/>
      <c r="X224" s="74"/>
      <c r="Y224" s="74"/>
      <c r="Z224" s="74"/>
      <c r="AA224" s="46" t="s">
        <v>80</v>
      </c>
      <c r="AB224" s="46" t="n">
        <v>0</v>
      </c>
      <c r="AC224" s="46"/>
      <c r="AD224" s="75"/>
      <c r="AE224" s="75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</row>
    <row r="225" customFormat="false" ht="21" hidden="false" customHeight="false" outlineLevel="0" collapsed="false">
      <c r="A225" s="94" t="s">
        <v>39</v>
      </c>
      <c r="B225" s="95" t="s">
        <v>416</v>
      </c>
      <c r="C225" s="95" t="s">
        <v>713</v>
      </c>
      <c r="D225" s="96" t="s">
        <v>714</v>
      </c>
      <c r="E225" s="74" t="n">
        <v>104827</v>
      </c>
      <c r="F225" s="74" t="n">
        <v>480.98</v>
      </c>
      <c r="G225" s="74" t="n">
        <v>249</v>
      </c>
      <c r="H225" s="74" t="n">
        <v>1052</v>
      </c>
      <c r="I225" s="74" t="n">
        <v>526</v>
      </c>
      <c r="J225" s="74" t="n">
        <v>526</v>
      </c>
      <c r="K225" s="74" t="n">
        <v>228</v>
      </c>
      <c r="L225" s="74" t="n">
        <f aca="false">K225/H225*100</f>
        <v>21.6730038022814</v>
      </c>
      <c r="M225" s="74" t="n">
        <v>3</v>
      </c>
      <c r="N225" s="74" t="n">
        <f aca="false">O225/H225*100</f>
        <v>8.18250950570342</v>
      </c>
      <c r="O225" s="74" t="n">
        <v>86.08</v>
      </c>
      <c r="P225" s="74" t="n">
        <v>0</v>
      </c>
      <c r="Q225" s="74"/>
      <c r="R225" s="74"/>
      <c r="S225" s="76"/>
      <c r="T225" s="46" t="n">
        <v>63.6245</v>
      </c>
      <c r="U225" s="74"/>
      <c r="V225" s="74"/>
      <c r="W225" s="74"/>
      <c r="X225" s="74"/>
      <c r="Y225" s="74"/>
      <c r="Z225" s="74"/>
      <c r="AA225" s="46" t="s">
        <v>80</v>
      </c>
      <c r="AB225" s="46" t="n">
        <v>0</v>
      </c>
      <c r="AC225" s="46"/>
      <c r="AD225" s="75"/>
      <c r="AE225" s="75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</row>
    <row r="226" customFormat="false" ht="21" hidden="false" customHeight="false" outlineLevel="0" collapsed="false">
      <c r="A226" s="94" t="s">
        <v>39</v>
      </c>
      <c r="B226" s="95" t="s">
        <v>416</v>
      </c>
      <c r="C226" s="95" t="s">
        <v>731</v>
      </c>
      <c r="D226" s="94" t="s">
        <v>99</v>
      </c>
      <c r="E226" s="74" t="n">
        <v>104806</v>
      </c>
      <c r="F226" s="74" t="n">
        <v>736.28</v>
      </c>
      <c r="G226" s="74" t="n">
        <v>157</v>
      </c>
      <c r="H226" s="74" t="n">
        <v>719</v>
      </c>
      <c r="I226" s="74" t="n">
        <v>360</v>
      </c>
      <c r="J226" s="74" t="n">
        <v>359</v>
      </c>
      <c r="K226" s="74" t="n">
        <v>40</v>
      </c>
      <c r="L226" s="74" t="n">
        <f aca="false">K226/H226*100</f>
        <v>5.56328233657858</v>
      </c>
      <c r="M226" s="74" t="n">
        <v>179</v>
      </c>
      <c r="N226" s="74" t="n">
        <f aca="false">O226/H226*100</f>
        <v>12.0778859527121</v>
      </c>
      <c r="O226" s="74" t="n">
        <v>86.84</v>
      </c>
      <c r="P226" s="74" t="n">
        <v>329.75</v>
      </c>
      <c r="Q226" s="74"/>
      <c r="R226" s="74"/>
      <c r="S226" s="76"/>
      <c r="T226" s="46"/>
      <c r="U226" s="74"/>
      <c r="V226" s="74"/>
      <c r="W226" s="74"/>
      <c r="X226" s="74"/>
      <c r="Y226" s="74"/>
      <c r="Z226" s="74"/>
      <c r="AA226" s="46" t="s">
        <v>82</v>
      </c>
      <c r="AB226" s="46" t="n">
        <v>15</v>
      </c>
      <c r="AC226" s="46" t="s">
        <v>846</v>
      </c>
      <c r="AD226" s="75"/>
      <c r="AE226" s="75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</row>
    <row r="227" s="26" customFormat="true" ht="21" hidden="false" customHeight="false" outlineLevel="0" collapsed="false">
      <c r="A227" s="38" t="s">
        <v>39</v>
      </c>
      <c r="B227" s="10" t="s">
        <v>416</v>
      </c>
      <c r="C227" s="10" t="s">
        <v>731</v>
      </c>
      <c r="D227" s="38" t="s">
        <v>736</v>
      </c>
      <c r="E227" s="74" t="n">
        <v>104793</v>
      </c>
      <c r="F227" s="74" t="n">
        <v>192.12</v>
      </c>
      <c r="G227" s="74" t="n">
        <v>81</v>
      </c>
      <c r="H227" s="74" t="n">
        <v>422</v>
      </c>
      <c r="I227" s="74" t="n">
        <v>228</v>
      </c>
      <c r="J227" s="74" t="n">
        <v>194</v>
      </c>
      <c r="K227" s="74" t="n">
        <v>2</v>
      </c>
      <c r="L227" s="74" t="n">
        <f aca="false">K227/H227*100</f>
        <v>0.4739336492891</v>
      </c>
      <c r="M227" s="74" t="n">
        <v>382</v>
      </c>
      <c r="N227" s="74" t="n">
        <f aca="false">O227/H227*100</f>
        <v>5.20142180094787</v>
      </c>
      <c r="O227" s="74" t="n">
        <v>21.95</v>
      </c>
      <c r="P227" s="74" t="n">
        <v>56.23</v>
      </c>
      <c r="Q227" s="74"/>
      <c r="R227" s="74"/>
      <c r="S227" s="76"/>
      <c r="T227" s="46" t="n">
        <v>57.6597</v>
      </c>
      <c r="U227" s="74"/>
      <c r="V227" s="74"/>
      <c r="W227" s="74"/>
      <c r="X227" s="74"/>
      <c r="Y227" s="74"/>
      <c r="Z227" s="74"/>
      <c r="AA227" s="46" t="s">
        <v>80</v>
      </c>
      <c r="AB227" s="46" t="n">
        <v>0</v>
      </c>
      <c r="AC227" s="46"/>
      <c r="AD227" s="75"/>
      <c r="AE227" s="75"/>
    </row>
    <row r="228" customFormat="false" ht="21" hidden="false" customHeight="false" outlineLevel="0" collapsed="false">
      <c r="A228" s="94" t="s">
        <v>39</v>
      </c>
      <c r="B228" s="95" t="s">
        <v>416</v>
      </c>
      <c r="C228" s="95" t="s">
        <v>731</v>
      </c>
      <c r="D228" s="94" t="s">
        <v>738</v>
      </c>
      <c r="E228" s="74" t="n">
        <v>104812</v>
      </c>
      <c r="F228" s="74" t="n">
        <v>569.21</v>
      </c>
      <c r="G228" s="74" t="n">
        <v>264</v>
      </c>
      <c r="H228" s="74" t="n">
        <v>1292</v>
      </c>
      <c r="I228" s="74" t="n">
        <v>686</v>
      </c>
      <c r="J228" s="74" t="n">
        <v>606</v>
      </c>
      <c r="K228" s="74" t="n">
        <v>37</v>
      </c>
      <c r="L228" s="74" t="n">
        <f aca="false">K228/H228*100</f>
        <v>2.86377708978328</v>
      </c>
      <c r="M228" s="74" t="n">
        <v>1252</v>
      </c>
      <c r="N228" s="74" t="n">
        <f aca="false">O228/H228*100</f>
        <v>2.74148606811146</v>
      </c>
      <c r="O228" s="74" t="n">
        <v>35.42</v>
      </c>
      <c r="P228" s="74" t="n">
        <v>88.84</v>
      </c>
      <c r="Q228" s="74"/>
      <c r="R228" s="74"/>
      <c r="S228" s="76"/>
      <c r="T228" s="76"/>
      <c r="U228" s="74"/>
      <c r="V228" s="74"/>
      <c r="W228" s="74"/>
      <c r="X228" s="74"/>
      <c r="Y228" s="74"/>
      <c r="Z228" s="74"/>
      <c r="AA228" s="74"/>
      <c r="AB228" s="74"/>
      <c r="AC228" s="74"/>
      <c r="AD228" s="75"/>
      <c r="AE228" s="75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</row>
    <row r="229" customFormat="false" ht="21" hidden="false" customHeight="false" outlineLevel="0" collapsed="false">
      <c r="A229" s="94" t="s">
        <v>39</v>
      </c>
      <c r="B229" s="95" t="s">
        <v>416</v>
      </c>
      <c r="C229" s="95" t="s">
        <v>731</v>
      </c>
      <c r="D229" s="94" t="s">
        <v>734</v>
      </c>
      <c r="E229" s="74" t="n">
        <v>104810</v>
      </c>
      <c r="F229" s="74" t="n">
        <v>486.97</v>
      </c>
      <c r="G229" s="74" t="n">
        <v>201</v>
      </c>
      <c r="H229" s="74" t="n">
        <v>897</v>
      </c>
      <c r="I229" s="74" t="n">
        <v>472</v>
      </c>
      <c r="J229" s="74" t="n">
        <v>425</v>
      </c>
      <c r="K229" s="74" t="n">
        <v>0</v>
      </c>
      <c r="L229" s="74" t="n">
        <f aca="false">K229/H229*100</f>
        <v>0</v>
      </c>
      <c r="M229" s="74" t="n">
        <v>518</v>
      </c>
      <c r="N229" s="74" t="n">
        <f aca="false">O229/H229*100</f>
        <v>3.95094760312152</v>
      </c>
      <c r="O229" s="74" t="n">
        <v>35.44</v>
      </c>
      <c r="P229" s="74" t="n">
        <v>30.91</v>
      </c>
      <c r="Q229" s="74"/>
      <c r="R229" s="74"/>
      <c r="S229" s="76"/>
      <c r="T229" s="76"/>
      <c r="U229" s="74"/>
      <c r="V229" s="74"/>
      <c r="W229" s="74"/>
      <c r="X229" s="74"/>
      <c r="Y229" s="74"/>
      <c r="Z229" s="74"/>
      <c r="AA229" s="74"/>
      <c r="AB229" s="74"/>
      <c r="AC229" s="74"/>
      <c r="AD229" s="75"/>
      <c r="AE229" s="75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</row>
    <row r="230" customFormat="false" ht="21" hidden="false" customHeight="false" outlineLevel="0" collapsed="false">
      <c r="A230" s="94" t="s">
        <v>39</v>
      </c>
      <c r="B230" s="95" t="s">
        <v>416</v>
      </c>
      <c r="C230" s="95" t="s">
        <v>731</v>
      </c>
      <c r="D230" s="94" t="s">
        <v>740</v>
      </c>
      <c r="E230" s="74" t="n">
        <v>104813</v>
      </c>
      <c r="F230" s="74" t="n">
        <v>530.27</v>
      </c>
      <c r="G230" s="74" t="n">
        <v>313</v>
      </c>
      <c r="H230" s="74" t="n">
        <v>1586</v>
      </c>
      <c r="I230" s="74" t="n">
        <v>782</v>
      </c>
      <c r="J230" s="74" t="n">
        <v>804</v>
      </c>
      <c r="K230" s="74" t="n">
        <v>21</v>
      </c>
      <c r="L230" s="74" t="n">
        <f aca="false">K230/H230*100</f>
        <v>1.32408575031526</v>
      </c>
      <c r="M230" s="74" t="n">
        <v>1554</v>
      </c>
      <c r="N230" s="74" t="n">
        <f aca="false">O230/H230*100</f>
        <v>5.72635561160151</v>
      </c>
      <c r="O230" s="74" t="n">
        <v>90.82</v>
      </c>
      <c r="P230" s="74" t="n">
        <v>0</v>
      </c>
      <c r="Q230" s="74"/>
      <c r="R230" s="74"/>
      <c r="S230" s="76"/>
      <c r="T230" s="76"/>
      <c r="U230" s="74"/>
      <c r="V230" s="74"/>
      <c r="W230" s="74"/>
      <c r="X230" s="74"/>
      <c r="Y230" s="74"/>
      <c r="Z230" s="74"/>
      <c r="AA230" s="74"/>
      <c r="AB230" s="74"/>
      <c r="AC230" s="74"/>
      <c r="AD230" s="75"/>
      <c r="AE230" s="75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</row>
    <row r="231" customFormat="false" ht="21" hidden="false" customHeight="false" outlineLevel="0" collapsed="false">
      <c r="A231" s="94" t="s">
        <v>39</v>
      </c>
      <c r="B231" s="95" t="s">
        <v>416</v>
      </c>
      <c r="C231" s="95" t="s">
        <v>731</v>
      </c>
      <c r="D231" s="96" t="s">
        <v>732</v>
      </c>
      <c r="E231" s="74" t="n">
        <v>104811</v>
      </c>
      <c r="F231" s="74" t="n">
        <v>540.12</v>
      </c>
      <c r="G231" s="74" t="n">
        <v>138</v>
      </c>
      <c r="H231" s="74" t="n">
        <v>635</v>
      </c>
      <c r="I231" s="74" t="n">
        <v>320</v>
      </c>
      <c r="J231" s="74" t="n">
        <v>315</v>
      </c>
      <c r="K231" s="74" t="n">
        <v>81</v>
      </c>
      <c r="L231" s="74" t="n">
        <f aca="false">K231/H231*100</f>
        <v>12.755905511811</v>
      </c>
      <c r="M231" s="74" t="n">
        <v>0</v>
      </c>
      <c r="N231" s="74" t="n">
        <f aca="false">O231/H231*100</f>
        <v>11.2488188976378</v>
      </c>
      <c r="O231" s="74" t="n">
        <v>71.43</v>
      </c>
      <c r="P231" s="74" t="n">
        <v>142.99</v>
      </c>
      <c r="Q231" s="74"/>
      <c r="R231" s="74"/>
      <c r="S231" s="76"/>
      <c r="T231" s="76"/>
      <c r="U231" s="74"/>
      <c r="V231" s="74"/>
      <c r="W231" s="74"/>
      <c r="X231" s="74"/>
      <c r="Y231" s="74"/>
      <c r="Z231" s="74"/>
      <c r="AA231" s="74"/>
      <c r="AB231" s="74"/>
      <c r="AC231" s="74"/>
      <c r="AD231" s="75"/>
      <c r="AE231" s="75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</row>
    <row r="232" customFormat="false" ht="21" hidden="false" customHeight="false" outlineLevel="0" collapsed="false">
      <c r="A232" s="94" t="s">
        <v>39</v>
      </c>
      <c r="B232" s="95" t="s">
        <v>416</v>
      </c>
      <c r="C232" s="95" t="s">
        <v>731</v>
      </c>
      <c r="D232" s="94" t="s">
        <v>742</v>
      </c>
      <c r="E232" s="74" t="n">
        <v>104807</v>
      </c>
      <c r="F232" s="74" t="n">
        <v>82.66</v>
      </c>
      <c r="G232" s="74" t="n">
        <v>88</v>
      </c>
      <c r="H232" s="74" t="n">
        <v>396</v>
      </c>
      <c r="I232" s="74" t="n">
        <v>202</v>
      </c>
      <c r="J232" s="74" t="n">
        <v>194</v>
      </c>
      <c r="K232" s="74" t="n">
        <v>49</v>
      </c>
      <c r="L232" s="74" t="n">
        <f aca="false">K232/H232*100</f>
        <v>12.3737373737374</v>
      </c>
      <c r="M232" s="74" t="n">
        <v>0</v>
      </c>
      <c r="N232" s="74" t="n">
        <f aca="false">O232/H232*100</f>
        <v>0</v>
      </c>
      <c r="O232" s="74" t="n">
        <v>0</v>
      </c>
      <c r="P232" s="74" t="n">
        <v>0</v>
      </c>
      <c r="Q232" s="74"/>
      <c r="R232" s="74"/>
      <c r="S232" s="76"/>
      <c r="T232" s="76"/>
      <c r="U232" s="74"/>
      <c r="V232" s="74"/>
      <c r="W232" s="74"/>
      <c r="X232" s="74"/>
      <c r="Y232" s="74"/>
      <c r="Z232" s="74"/>
      <c r="AA232" s="74"/>
      <c r="AB232" s="74"/>
      <c r="AC232" s="74"/>
      <c r="AD232" s="75"/>
      <c r="AE232" s="75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</row>
    <row r="233" customFormat="false" ht="21" hidden="false" customHeight="false" outlineLevel="0" collapsed="false">
      <c r="A233" s="94" t="s">
        <v>39</v>
      </c>
      <c r="B233" s="95" t="s">
        <v>416</v>
      </c>
      <c r="C233" s="95" t="s">
        <v>746</v>
      </c>
      <c r="D233" s="94" t="s">
        <v>752</v>
      </c>
      <c r="E233" s="74" t="n">
        <v>104731</v>
      </c>
      <c r="F233" s="74" t="n">
        <v>161.88</v>
      </c>
      <c r="G233" s="74" t="n">
        <v>174</v>
      </c>
      <c r="H233" s="74" t="n">
        <v>843</v>
      </c>
      <c r="I233" s="74" t="n">
        <v>402</v>
      </c>
      <c r="J233" s="74" t="n">
        <v>441</v>
      </c>
      <c r="K233" s="74" t="n">
        <v>43</v>
      </c>
      <c r="L233" s="74" t="n">
        <f aca="false">K233/H233*100</f>
        <v>5.10083036773428</v>
      </c>
      <c r="M233" s="74" t="n">
        <v>286</v>
      </c>
      <c r="N233" s="74" t="n">
        <f aca="false">O233/H233*100</f>
        <v>2.71174377224199</v>
      </c>
      <c r="O233" s="74" t="n">
        <v>22.86</v>
      </c>
      <c r="P233" s="74" t="n">
        <v>0</v>
      </c>
      <c r="Q233" s="74"/>
      <c r="R233" s="74"/>
      <c r="S233" s="76"/>
      <c r="T233" s="76"/>
      <c r="U233" s="74"/>
      <c r="V233" s="74"/>
      <c r="W233" s="74"/>
      <c r="X233" s="74"/>
      <c r="Y233" s="74"/>
      <c r="Z233" s="74"/>
      <c r="AA233" s="74"/>
      <c r="AB233" s="74"/>
      <c r="AC233" s="74"/>
      <c r="AD233" s="75"/>
      <c r="AE233" s="75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</row>
    <row r="234" customFormat="false" ht="21" hidden="false" customHeight="false" outlineLevel="0" collapsed="false">
      <c r="A234" s="94" t="s">
        <v>39</v>
      </c>
      <c r="B234" s="95" t="s">
        <v>416</v>
      </c>
      <c r="C234" s="95" t="s">
        <v>746</v>
      </c>
      <c r="D234" s="94" t="s">
        <v>754</v>
      </c>
      <c r="E234" s="74" t="n">
        <v>104735</v>
      </c>
      <c r="F234" s="74" t="n">
        <v>593.6</v>
      </c>
      <c r="G234" s="74" t="n">
        <v>127</v>
      </c>
      <c r="H234" s="74" t="n">
        <v>634</v>
      </c>
      <c r="I234" s="74" t="n">
        <v>326</v>
      </c>
      <c r="J234" s="74" t="n">
        <v>308</v>
      </c>
      <c r="K234" s="74" t="n">
        <v>6</v>
      </c>
      <c r="L234" s="74" t="n">
        <f aca="false">K234/H234*100</f>
        <v>0.946372239747634</v>
      </c>
      <c r="M234" s="74" t="n">
        <v>406</v>
      </c>
      <c r="N234" s="74" t="n">
        <f aca="false">O234/H234*100</f>
        <v>4.26656151419558</v>
      </c>
      <c r="O234" s="74" t="n">
        <v>27.05</v>
      </c>
      <c r="P234" s="74" t="n">
        <v>391.52</v>
      </c>
      <c r="Q234" s="46" t="s">
        <v>45</v>
      </c>
      <c r="R234" s="46" t="s">
        <v>749</v>
      </c>
      <c r="S234" s="46"/>
      <c r="T234" s="76"/>
      <c r="U234" s="74"/>
      <c r="V234" s="74"/>
      <c r="W234" s="74"/>
      <c r="X234" s="74"/>
      <c r="Y234" s="74"/>
      <c r="Z234" s="74"/>
      <c r="AA234" s="74"/>
      <c r="AB234" s="74"/>
      <c r="AC234" s="74"/>
      <c r="AD234" s="46"/>
      <c r="AE234" s="4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</row>
    <row r="235" customFormat="false" ht="21" hidden="false" customHeight="false" outlineLevel="0" collapsed="false">
      <c r="A235" s="94" t="s">
        <v>39</v>
      </c>
      <c r="B235" s="95" t="s">
        <v>416</v>
      </c>
      <c r="C235" s="95" t="s">
        <v>746</v>
      </c>
      <c r="D235" s="94" t="s">
        <v>758</v>
      </c>
      <c r="E235" s="74" t="n">
        <v>104713</v>
      </c>
      <c r="F235" s="74" t="n">
        <v>1213.91</v>
      </c>
      <c r="G235" s="74" t="n">
        <v>347</v>
      </c>
      <c r="H235" s="74" t="n">
        <v>1631</v>
      </c>
      <c r="I235" s="74" t="n">
        <v>859</v>
      </c>
      <c r="J235" s="74" t="n">
        <v>772</v>
      </c>
      <c r="K235" s="74" t="n">
        <v>169</v>
      </c>
      <c r="L235" s="74" t="n">
        <f aca="false">K235/H235*100</f>
        <v>10.3617412630288</v>
      </c>
      <c r="M235" s="74" t="n">
        <v>723</v>
      </c>
      <c r="N235" s="74" t="n">
        <f aca="false">O235/H235*100</f>
        <v>1.39301042305334</v>
      </c>
      <c r="O235" s="74" t="n">
        <v>22.72</v>
      </c>
      <c r="P235" s="74" t="n">
        <v>748.39</v>
      </c>
      <c r="Q235" s="46" t="s">
        <v>45</v>
      </c>
      <c r="R235" s="46" t="s">
        <v>749</v>
      </c>
      <c r="S235" s="76"/>
      <c r="T235" s="76"/>
      <c r="U235" s="74"/>
      <c r="V235" s="74"/>
      <c r="W235" s="74"/>
      <c r="X235" s="74"/>
      <c r="Y235" s="74"/>
      <c r="Z235" s="74"/>
      <c r="AA235" s="74"/>
      <c r="AB235" s="74"/>
      <c r="AC235" s="74"/>
      <c r="AD235" s="75"/>
      <c r="AE235" s="75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</row>
    <row r="236" s="26" customFormat="true" ht="21" hidden="false" customHeight="false" outlineLevel="0" collapsed="false">
      <c r="A236" s="38" t="s">
        <v>39</v>
      </c>
      <c r="B236" s="10" t="s">
        <v>416</v>
      </c>
      <c r="C236" s="10" t="s">
        <v>746</v>
      </c>
      <c r="D236" s="38" t="s">
        <v>758</v>
      </c>
      <c r="E236" s="74"/>
      <c r="F236" s="74"/>
      <c r="G236" s="74"/>
      <c r="H236" s="74"/>
      <c r="I236" s="74"/>
      <c r="J236" s="74"/>
      <c r="K236" s="74"/>
      <c r="L236" s="74" t="e">
        <f aca="false">K236/H236*100</f>
        <v>#DIV/0!</v>
      </c>
      <c r="M236" s="74"/>
      <c r="N236" s="74" t="e">
        <f aca="false">O236/H236*100</f>
        <v>#DIV/0!</v>
      </c>
      <c r="O236" s="74"/>
      <c r="P236" s="74"/>
      <c r="Q236" s="87" t="s">
        <v>45</v>
      </c>
      <c r="R236" s="46" t="s">
        <v>749</v>
      </c>
      <c r="S236" s="87"/>
      <c r="T236" s="76"/>
      <c r="U236" s="74"/>
      <c r="V236" s="74"/>
      <c r="W236" s="74"/>
      <c r="X236" s="74"/>
      <c r="Y236" s="74"/>
      <c r="Z236" s="74"/>
      <c r="AA236" s="74"/>
      <c r="AB236" s="74"/>
      <c r="AC236" s="74"/>
      <c r="AD236" s="87" t="n">
        <v>24.302446</v>
      </c>
      <c r="AE236" s="87" t="n">
        <v>76.799352</v>
      </c>
    </row>
    <row r="237" customFormat="false" ht="21" hidden="false" customHeight="false" outlineLevel="0" collapsed="false">
      <c r="A237" s="94" t="s">
        <v>39</v>
      </c>
      <c r="B237" s="95" t="s">
        <v>416</v>
      </c>
      <c r="C237" s="95" t="s">
        <v>746</v>
      </c>
      <c r="D237" s="96" t="s">
        <v>747</v>
      </c>
      <c r="E237" s="74" t="n">
        <v>104733</v>
      </c>
      <c r="F237" s="74" t="n">
        <v>318.72</v>
      </c>
      <c r="G237" s="74" t="n">
        <v>190</v>
      </c>
      <c r="H237" s="74" t="n">
        <v>905</v>
      </c>
      <c r="I237" s="74" t="n">
        <v>465</v>
      </c>
      <c r="J237" s="74" t="n">
        <v>440</v>
      </c>
      <c r="K237" s="74" t="n">
        <v>81</v>
      </c>
      <c r="L237" s="74" t="n">
        <f aca="false">K237/H237*100</f>
        <v>8.95027624309392</v>
      </c>
      <c r="M237" s="74" t="n">
        <v>45</v>
      </c>
      <c r="N237" s="74" t="n">
        <f aca="false">O237/H237*100</f>
        <v>5.31381215469613</v>
      </c>
      <c r="O237" s="74" t="n">
        <v>48.09</v>
      </c>
      <c r="P237" s="74" t="n">
        <v>0</v>
      </c>
      <c r="Q237" s="74"/>
      <c r="R237" s="74"/>
      <c r="S237" s="76"/>
      <c r="T237" s="76"/>
      <c r="U237" s="74"/>
      <c r="V237" s="74"/>
      <c r="W237" s="74"/>
      <c r="X237" s="74"/>
      <c r="Y237" s="74"/>
      <c r="Z237" s="74"/>
      <c r="AA237" s="74"/>
      <c r="AB237" s="74"/>
      <c r="AC237" s="74"/>
      <c r="AD237" s="75"/>
      <c r="AE237" s="75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</row>
    <row r="238" customFormat="false" ht="21" hidden="false" customHeight="false" outlineLevel="0" collapsed="false">
      <c r="A238" s="94" t="s">
        <v>39</v>
      </c>
      <c r="B238" s="95" t="s">
        <v>416</v>
      </c>
      <c r="C238" s="95" t="s">
        <v>746</v>
      </c>
      <c r="D238" s="94" t="s">
        <v>750</v>
      </c>
      <c r="E238" s="74" t="n">
        <v>104732</v>
      </c>
      <c r="F238" s="74" t="n">
        <v>139.59</v>
      </c>
      <c r="G238" s="74" t="n">
        <v>103</v>
      </c>
      <c r="H238" s="74" t="n">
        <v>579</v>
      </c>
      <c r="I238" s="74" t="n">
        <v>294</v>
      </c>
      <c r="J238" s="74" t="n">
        <v>285</v>
      </c>
      <c r="K238" s="74" t="n">
        <v>9</v>
      </c>
      <c r="L238" s="74" t="n">
        <f aca="false">K238/H238*100</f>
        <v>1.55440414507772</v>
      </c>
      <c r="M238" s="74" t="n">
        <v>0</v>
      </c>
      <c r="N238" s="74" t="n">
        <f aca="false">O238/H238*100</f>
        <v>4.64248704663212</v>
      </c>
      <c r="O238" s="74" t="n">
        <v>26.88</v>
      </c>
      <c r="P238" s="74" t="n">
        <v>0</v>
      </c>
      <c r="Q238" s="74"/>
      <c r="R238" s="74"/>
      <c r="S238" s="76"/>
      <c r="T238" s="46" t="n">
        <v>28.0123</v>
      </c>
      <c r="U238" s="74"/>
      <c r="V238" s="74"/>
      <c r="W238" s="74"/>
      <c r="X238" s="74"/>
      <c r="Y238" s="74"/>
      <c r="Z238" s="74"/>
      <c r="AA238" s="46"/>
      <c r="AB238" s="46"/>
      <c r="AC238" s="46"/>
      <c r="AD238" s="75"/>
      <c r="AE238" s="75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</row>
    <row r="239" customFormat="false" ht="21" hidden="false" customHeight="false" outlineLevel="0" collapsed="false">
      <c r="A239" s="71" t="s">
        <v>415</v>
      </c>
      <c r="B239" s="71" t="s">
        <v>416</v>
      </c>
      <c r="C239" s="49" t="s">
        <v>760</v>
      </c>
      <c r="D239" s="71" t="s">
        <v>772</v>
      </c>
      <c r="E239" s="74"/>
      <c r="F239" s="74"/>
      <c r="G239" s="74"/>
      <c r="H239" s="74"/>
      <c r="I239" s="74"/>
      <c r="J239" s="74"/>
      <c r="K239" s="74"/>
      <c r="L239" s="74" t="e">
        <f aca="false">K239/H239*100</f>
        <v>#DIV/0!</v>
      </c>
      <c r="M239" s="74"/>
      <c r="N239" s="74" t="e">
        <f aca="false">O239/H239*100</f>
        <v>#DIV/0!</v>
      </c>
      <c r="O239" s="74"/>
      <c r="P239" s="74"/>
      <c r="Q239" s="46" t="s">
        <v>45</v>
      </c>
      <c r="R239" s="81" t="n">
        <v>44839</v>
      </c>
      <c r="S239" s="46"/>
      <c r="T239" s="76"/>
      <c r="U239" s="74"/>
      <c r="V239" s="74"/>
      <c r="W239" s="74"/>
      <c r="X239" s="74"/>
      <c r="Y239" s="74"/>
      <c r="Z239" s="74"/>
      <c r="AA239" s="74"/>
      <c r="AB239" s="74"/>
      <c r="AC239" s="74"/>
      <c r="AD239" s="46" t="n">
        <v>24.374646</v>
      </c>
      <c r="AE239" s="46" t="n">
        <v>76.67805</v>
      </c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</row>
    <row r="240" customFormat="false" ht="21" hidden="false" customHeight="false" outlineLevel="0" collapsed="false">
      <c r="A240" s="94" t="s">
        <v>39</v>
      </c>
      <c r="B240" s="95" t="s">
        <v>416</v>
      </c>
      <c r="C240" s="95" t="s">
        <v>760</v>
      </c>
      <c r="D240" s="94" t="s">
        <v>766</v>
      </c>
      <c r="E240" s="74" t="n">
        <v>104664</v>
      </c>
      <c r="F240" s="74" t="n">
        <v>163.99</v>
      </c>
      <c r="G240" s="74" t="n">
        <v>144</v>
      </c>
      <c r="H240" s="74" t="n">
        <v>748</v>
      </c>
      <c r="I240" s="74" t="n">
        <v>379</v>
      </c>
      <c r="J240" s="74" t="n">
        <v>369</v>
      </c>
      <c r="K240" s="74" t="n">
        <v>23</v>
      </c>
      <c r="L240" s="74" t="n">
        <f aca="false">K240/H240*100</f>
        <v>3.07486631016043</v>
      </c>
      <c r="M240" s="74" t="n">
        <v>0</v>
      </c>
      <c r="N240" s="74" t="n">
        <f aca="false">O240/H240*100</f>
        <v>0</v>
      </c>
      <c r="O240" s="74" t="n">
        <v>0</v>
      </c>
      <c r="P240" s="74" t="n">
        <v>23.99</v>
      </c>
      <c r="Q240" s="74"/>
      <c r="R240" s="85" t="n">
        <v>44839</v>
      </c>
      <c r="S240" s="76"/>
      <c r="T240" s="87"/>
      <c r="U240" s="74"/>
      <c r="V240" s="74"/>
      <c r="W240" s="74"/>
      <c r="X240" s="74"/>
      <c r="Y240" s="74"/>
      <c r="Z240" s="74"/>
      <c r="AA240" s="87" t="s">
        <v>43</v>
      </c>
      <c r="AB240" s="87" t="n">
        <v>18.8583</v>
      </c>
      <c r="AC240" s="87" t="s">
        <v>847</v>
      </c>
      <c r="AD240" s="75"/>
      <c r="AE240" s="75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</row>
    <row r="241" customFormat="false" ht="21" hidden="false" customHeight="false" outlineLevel="0" collapsed="false">
      <c r="A241" s="94" t="s">
        <v>39</v>
      </c>
      <c r="B241" s="95" t="s">
        <v>416</v>
      </c>
      <c r="C241" s="95" t="s">
        <v>760</v>
      </c>
      <c r="D241" s="94" t="s">
        <v>763</v>
      </c>
      <c r="E241" s="74" t="n">
        <v>104691</v>
      </c>
      <c r="F241" s="74" t="n">
        <v>287.5</v>
      </c>
      <c r="G241" s="74" t="n">
        <v>104</v>
      </c>
      <c r="H241" s="74" t="n">
        <v>450</v>
      </c>
      <c r="I241" s="74" t="n">
        <v>232</v>
      </c>
      <c r="J241" s="74" t="n">
        <v>218</v>
      </c>
      <c r="K241" s="74" t="n">
        <v>41</v>
      </c>
      <c r="L241" s="74" t="n">
        <f aca="false">K241/H241*100</f>
        <v>9.11111111111111</v>
      </c>
      <c r="M241" s="74" t="n">
        <v>0</v>
      </c>
      <c r="N241" s="74" t="n">
        <f aca="false">O241/H241*100</f>
        <v>5.94888888888889</v>
      </c>
      <c r="O241" s="74" t="n">
        <v>26.77</v>
      </c>
      <c r="P241" s="74" t="n">
        <v>0</v>
      </c>
      <c r="Q241" s="74"/>
      <c r="R241" s="85" t="n">
        <v>44839</v>
      </c>
      <c r="S241" s="76"/>
      <c r="T241" s="76"/>
      <c r="U241" s="74"/>
      <c r="V241" s="74"/>
      <c r="W241" s="74"/>
      <c r="X241" s="74"/>
      <c r="Y241" s="74"/>
      <c r="Z241" s="74"/>
      <c r="AA241" s="74"/>
      <c r="AB241" s="74"/>
      <c r="AC241" s="74"/>
      <c r="AD241" s="75"/>
      <c r="AE241" s="75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</row>
    <row r="242" customFormat="false" ht="21" hidden="false" customHeight="false" outlineLevel="0" collapsed="false">
      <c r="A242" s="94" t="s">
        <v>39</v>
      </c>
      <c r="B242" s="95" t="s">
        <v>416</v>
      </c>
      <c r="C242" s="95" t="s">
        <v>760</v>
      </c>
      <c r="D242" s="94" t="s">
        <v>772</v>
      </c>
      <c r="E242" s="74" t="n">
        <v>104662</v>
      </c>
      <c r="F242" s="74" t="n">
        <v>350.75</v>
      </c>
      <c r="G242" s="74" t="n">
        <v>148</v>
      </c>
      <c r="H242" s="74" t="n">
        <v>862</v>
      </c>
      <c r="I242" s="74" t="n">
        <v>438</v>
      </c>
      <c r="J242" s="74" t="n">
        <v>424</v>
      </c>
      <c r="K242" s="74" t="n">
        <v>43</v>
      </c>
      <c r="L242" s="74" t="n">
        <f aca="false">K242/H242*100</f>
        <v>4.98839907192575</v>
      </c>
      <c r="M242" s="74" t="n">
        <v>618</v>
      </c>
      <c r="N242" s="74" t="n">
        <f aca="false">O242/H242*100</f>
        <v>6.07772621809745</v>
      </c>
      <c r="O242" s="74" t="n">
        <v>52.39</v>
      </c>
      <c r="P242" s="74" t="n">
        <v>0</v>
      </c>
      <c r="Q242" s="82" t="s">
        <v>45</v>
      </c>
      <c r="R242" s="85" t="n">
        <v>44839</v>
      </c>
      <c r="S242" s="82"/>
      <c r="T242" s="76"/>
      <c r="U242" s="74"/>
      <c r="V242" s="74"/>
      <c r="W242" s="74"/>
      <c r="X242" s="74"/>
      <c r="Y242" s="74"/>
      <c r="Z242" s="74"/>
      <c r="AA242" s="74"/>
      <c r="AB242" s="74"/>
      <c r="AC242" s="74"/>
      <c r="AD242" s="82" t="n">
        <v>24.374646</v>
      </c>
      <c r="AE242" s="82" t="n">
        <v>76.67805</v>
      </c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</row>
    <row r="243" customFormat="false" ht="21" hidden="false" customHeight="false" outlineLevel="0" collapsed="false">
      <c r="A243" s="94" t="s">
        <v>39</v>
      </c>
      <c r="B243" s="95" t="s">
        <v>416</v>
      </c>
      <c r="C243" s="95" t="s">
        <v>760</v>
      </c>
      <c r="D243" s="94" t="s">
        <v>770</v>
      </c>
      <c r="E243" s="74" t="n">
        <v>104661</v>
      </c>
      <c r="F243" s="74" t="n">
        <v>71.36</v>
      </c>
      <c r="G243" s="74" t="n">
        <v>55</v>
      </c>
      <c r="H243" s="74" t="n">
        <v>216</v>
      </c>
      <c r="I243" s="74" t="n">
        <v>107</v>
      </c>
      <c r="J243" s="74" t="n">
        <v>109</v>
      </c>
      <c r="K243" s="74" t="n">
        <v>0</v>
      </c>
      <c r="L243" s="74" t="n">
        <f aca="false">K243/H243*100</f>
        <v>0</v>
      </c>
      <c r="M243" s="74" t="n">
        <v>63</v>
      </c>
      <c r="N243" s="74" t="n">
        <f aca="false">O243/H243*100</f>
        <v>5.68518518518519</v>
      </c>
      <c r="O243" s="74" t="n">
        <v>12.28</v>
      </c>
      <c r="P243" s="74" t="n">
        <v>0</v>
      </c>
      <c r="Q243" s="74"/>
      <c r="R243" s="85" t="n">
        <v>44839</v>
      </c>
      <c r="S243" s="76"/>
      <c r="T243" s="46"/>
      <c r="U243" s="74"/>
      <c r="V243" s="74"/>
      <c r="W243" s="74"/>
      <c r="X243" s="74"/>
      <c r="Y243" s="74"/>
      <c r="Z243" s="74"/>
      <c r="AA243" s="46" t="s">
        <v>150</v>
      </c>
      <c r="AB243" s="46" t="n">
        <v>2</v>
      </c>
      <c r="AC243" s="46" t="s">
        <v>774</v>
      </c>
      <c r="AD243" s="75"/>
      <c r="AE243" s="75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</row>
    <row r="244" customFormat="false" ht="21" hidden="false" customHeight="false" outlineLevel="0" collapsed="false">
      <c r="A244" s="94" t="s">
        <v>39</v>
      </c>
      <c r="B244" s="95" t="s">
        <v>416</v>
      </c>
      <c r="C244" s="95" t="s">
        <v>760</v>
      </c>
      <c r="D244" s="96" t="s">
        <v>761</v>
      </c>
      <c r="E244" s="74" t="n">
        <v>104663</v>
      </c>
      <c r="F244" s="74" t="n">
        <v>38.6</v>
      </c>
      <c r="G244" s="74" t="n">
        <v>316</v>
      </c>
      <c r="H244" s="74" t="n">
        <v>1701</v>
      </c>
      <c r="I244" s="74" t="n">
        <v>885</v>
      </c>
      <c r="J244" s="74" t="n">
        <v>816</v>
      </c>
      <c r="K244" s="74" t="n">
        <v>293</v>
      </c>
      <c r="L244" s="74" t="n">
        <f aca="false">K244/H244*100</f>
        <v>17.2251616696061</v>
      </c>
      <c r="M244" s="74" t="n">
        <v>417</v>
      </c>
      <c r="N244" s="74" t="n">
        <f aca="false">O244/H244*100</f>
        <v>0</v>
      </c>
      <c r="O244" s="74" t="n">
        <v>0</v>
      </c>
      <c r="P244" s="74" t="n">
        <v>0</v>
      </c>
      <c r="Q244" s="74"/>
      <c r="R244" s="85" t="n">
        <v>44839</v>
      </c>
      <c r="S244" s="76"/>
      <c r="T244" s="76"/>
      <c r="U244" s="74"/>
      <c r="V244" s="74"/>
      <c r="W244" s="74"/>
      <c r="X244" s="74"/>
      <c r="Y244" s="74"/>
      <c r="Z244" s="74"/>
      <c r="AA244" s="73" t="s">
        <v>45</v>
      </c>
      <c r="AB244" s="82" t="n">
        <v>10</v>
      </c>
      <c r="AC244" s="74"/>
      <c r="AD244" s="75"/>
      <c r="AE244" s="75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</row>
    <row r="245" customFormat="false" ht="21" hidden="false" customHeight="false" outlineLevel="0" collapsed="false">
      <c r="A245" s="94" t="s">
        <v>39</v>
      </c>
      <c r="B245" s="95" t="s">
        <v>416</v>
      </c>
      <c r="C245" s="95" t="s">
        <v>760</v>
      </c>
      <c r="D245" s="94" t="s">
        <v>655</v>
      </c>
      <c r="E245" s="74" t="n">
        <v>104690</v>
      </c>
      <c r="F245" s="74" t="n">
        <v>263.52</v>
      </c>
      <c r="G245" s="74" t="n">
        <v>127</v>
      </c>
      <c r="H245" s="74" t="n">
        <v>594</v>
      </c>
      <c r="I245" s="74" t="n">
        <v>306</v>
      </c>
      <c r="J245" s="74" t="n">
        <v>288</v>
      </c>
      <c r="K245" s="74" t="n">
        <v>149</v>
      </c>
      <c r="L245" s="74" t="n">
        <f aca="false">K245/H245*100</f>
        <v>25.0841750841751</v>
      </c>
      <c r="M245" s="74" t="n">
        <v>379</v>
      </c>
      <c r="N245" s="74" t="n">
        <f aca="false">O245/H245*100</f>
        <v>3.68686868686869</v>
      </c>
      <c r="O245" s="74" t="n">
        <v>21.9</v>
      </c>
      <c r="P245" s="74" t="n">
        <v>70.24</v>
      </c>
      <c r="Q245" s="74"/>
      <c r="R245" s="85" t="n">
        <v>44839</v>
      </c>
      <c r="S245" s="76"/>
      <c r="T245" s="76"/>
      <c r="U245" s="74"/>
      <c r="V245" s="74"/>
      <c r="W245" s="74"/>
      <c r="X245" s="74"/>
      <c r="Y245" s="74"/>
      <c r="Z245" s="74"/>
      <c r="AA245" s="73" t="s">
        <v>45</v>
      </c>
      <c r="AB245" s="82" t="n">
        <v>7</v>
      </c>
      <c r="AC245" s="74"/>
      <c r="AD245" s="75"/>
      <c r="AE245" s="75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</row>
    <row r="246" customFormat="false" ht="21" hidden="false" customHeight="false" outlineLevel="0" collapsed="false">
      <c r="A246" s="94" t="s">
        <v>39</v>
      </c>
      <c r="B246" s="95" t="s">
        <v>416</v>
      </c>
      <c r="C246" s="95" t="s">
        <v>775</v>
      </c>
      <c r="D246" s="94" t="s">
        <v>781</v>
      </c>
      <c r="E246" s="74" t="n">
        <v>104834</v>
      </c>
      <c r="F246" s="74" t="n">
        <v>294.1</v>
      </c>
      <c r="G246" s="74" t="n">
        <v>109</v>
      </c>
      <c r="H246" s="74" t="n">
        <v>516</v>
      </c>
      <c r="I246" s="74" t="n">
        <v>258</v>
      </c>
      <c r="J246" s="74" t="n">
        <v>258</v>
      </c>
      <c r="K246" s="74" t="n">
        <v>12</v>
      </c>
      <c r="L246" s="74" t="n">
        <f aca="false">K246/H246*100</f>
        <v>2.32558139534884</v>
      </c>
      <c r="M246" s="74" t="n">
        <v>0</v>
      </c>
      <c r="N246" s="74" t="n">
        <f aca="false">O246/H246*100</f>
        <v>7.88953488372093</v>
      </c>
      <c r="O246" s="74" t="n">
        <v>40.71</v>
      </c>
      <c r="P246" s="74" t="n">
        <v>0</v>
      </c>
      <c r="Q246" s="74"/>
      <c r="R246" s="74"/>
      <c r="S246" s="76"/>
      <c r="T246" s="82" t="n">
        <v>40.32</v>
      </c>
      <c r="U246" s="74"/>
      <c r="V246" s="74"/>
      <c r="W246" s="74"/>
      <c r="X246" s="74"/>
      <c r="Y246" s="74"/>
      <c r="Z246" s="74"/>
      <c r="AA246" s="82" t="s">
        <v>150</v>
      </c>
      <c r="AB246" s="82" t="n">
        <v>15</v>
      </c>
      <c r="AC246" s="82" t="s">
        <v>613</v>
      </c>
      <c r="AD246" s="75"/>
      <c r="AE246" s="75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</row>
    <row r="247" customFormat="false" ht="21" hidden="false" customHeight="false" outlineLevel="0" collapsed="false">
      <c r="A247" s="94" t="s">
        <v>39</v>
      </c>
      <c r="B247" s="95" t="s">
        <v>416</v>
      </c>
      <c r="C247" s="95" t="s">
        <v>775</v>
      </c>
      <c r="D247" s="94" t="s">
        <v>788</v>
      </c>
      <c r="E247" s="74" t="n">
        <v>104815</v>
      </c>
      <c r="F247" s="74" t="n">
        <v>610.73</v>
      </c>
      <c r="G247" s="74" t="n">
        <v>219</v>
      </c>
      <c r="H247" s="74" t="n">
        <v>1135</v>
      </c>
      <c r="I247" s="74" t="n">
        <v>570</v>
      </c>
      <c r="J247" s="74" t="n">
        <v>565</v>
      </c>
      <c r="K247" s="74" t="n">
        <v>37</v>
      </c>
      <c r="L247" s="74" t="n">
        <f aca="false">K247/H247*100</f>
        <v>3.25991189427313</v>
      </c>
      <c r="M247" s="74" t="n">
        <v>0</v>
      </c>
      <c r="N247" s="74" t="n">
        <f aca="false">O247/H247*100</f>
        <v>7.65726872246696</v>
      </c>
      <c r="O247" s="74" t="n">
        <v>86.91</v>
      </c>
      <c r="P247" s="74" t="n">
        <v>123.94</v>
      </c>
      <c r="Q247" s="74"/>
      <c r="R247" s="74"/>
      <c r="S247" s="76"/>
      <c r="T247" s="76"/>
      <c r="U247" s="74"/>
      <c r="V247" s="74"/>
      <c r="W247" s="74"/>
      <c r="X247" s="74"/>
      <c r="Y247" s="74"/>
      <c r="Z247" s="74"/>
      <c r="AA247" s="73" t="s">
        <v>45</v>
      </c>
      <c r="AB247" s="82" t="n">
        <v>10</v>
      </c>
      <c r="AC247" s="74"/>
      <c r="AD247" s="75"/>
      <c r="AE247" s="75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</row>
    <row r="248" customFormat="false" ht="21" hidden="false" customHeight="false" outlineLevel="0" collapsed="false">
      <c r="A248" s="94" t="s">
        <v>39</v>
      </c>
      <c r="B248" s="95" t="s">
        <v>416</v>
      </c>
      <c r="C248" s="95" t="s">
        <v>775</v>
      </c>
      <c r="D248" s="94" t="s">
        <v>786</v>
      </c>
      <c r="E248" s="74" t="n">
        <v>104816</v>
      </c>
      <c r="F248" s="74" t="n">
        <v>310.42</v>
      </c>
      <c r="G248" s="74" t="n">
        <v>100</v>
      </c>
      <c r="H248" s="74" t="n">
        <v>503</v>
      </c>
      <c r="I248" s="74" t="n">
        <v>267</v>
      </c>
      <c r="J248" s="74" t="n">
        <v>236</v>
      </c>
      <c r="K248" s="74" t="n">
        <v>39</v>
      </c>
      <c r="L248" s="74" t="n">
        <f aca="false">K248/H248*100</f>
        <v>7.75347912524851</v>
      </c>
      <c r="M248" s="74" t="n">
        <v>10</v>
      </c>
      <c r="N248" s="74" t="n">
        <f aca="false">O248/H248*100</f>
        <v>7.88270377733598</v>
      </c>
      <c r="O248" s="74" t="n">
        <v>39.65</v>
      </c>
      <c r="P248" s="74" t="n">
        <v>32.33</v>
      </c>
      <c r="Q248" s="74"/>
      <c r="R248" s="74"/>
      <c r="S248" s="76"/>
      <c r="T248" s="76"/>
      <c r="U248" s="74"/>
      <c r="V248" s="74"/>
      <c r="W248" s="74"/>
      <c r="X248" s="74"/>
      <c r="Y248" s="74"/>
      <c r="Z248" s="74"/>
      <c r="AA248" s="73" t="s">
        <v>45</v>
      </c>
      <c r="AB248" s="82" t="n">
        <v>20</v>
      </c>
      <c r="AC248" s="74"/>
      <c r="AD248" s="75"/>
      <c r="AE248" s="75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</row>
    <row r="249" customFormat="false" ht="21" hidden="false" customHeight="false" outlineLevel="0" collapsed="false">
      <c r="A249" s="94" t="s">
        <v>39</v>
      </c>
      <c r="B249" s="95" t="s">
        <v>416</v>
      </c>
      <c r="C249" s="95" t="s">
        <v>775</v>
      </c>
      <c r="D249" s="94" t="s">
        <v>662</v>
      </c>
      <c r="E249" s="74" t="n">
        <v>104836</v>
      </c>
      <c r="F249" s="74" t="n">
        <v>345.35</v>
      </c>
      <c r="G249" s="74" t="n">
        <v>215</v>
      </c>
      <c r="H249" s="74" t="n">
        <v>1005</v>
      </c>
      <c r="I249" s="74" t="n">
        <v>534</v>
      </c>
      <c r="J249" s="74" t="n">
        <v>471</v>
      </c>
      <c r="K249" s="74" t="n">
        <v>32</v>
      </c>
      <c r="L249" s="74" t="n">
        <f aca="false">K249/H249*100</f>
        <v>3.18407960199005</v>
      </c>
      <c r="M249" s="74" t="n">
        <v>0</v>
      </c>
      <c r="N249" s="74" t="n">
        <f aca="false">O249/H249*100</f>
        <v>6.74427860696517</v>
      </c>
      <c r="O249" s="74" t="n">
        <v>67.78</v>
      </c>
      <c r="P249" s="74" t="n">
        <v>0</v>
      </c>
      <c r="Q249" s="74"/>
      <c r="R249" s="74"/>
      <c r="S249" s="76"/>
      <c r="T249" s="76"/>
      <c r="U249" s="74"/>
      <c r="V249" s="74"/>
      <c r="W249" s="74"/>
      <c r="X249" s="74"/>
      <c r="Y249" s="74"/>
      <c r="Z249" s="74"/>
      <c r="AA249" s="74"/>
      <c r="AB249" s="74"/>
      <c r="AC249" s="74"/>
      <c r="AD249" s="75"/>
      <c r="AE249" s="75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</row>
    <row r="250" customFormat="false" ht="21" hidden="false" customHeight="false" outlineLevel="0" collapsed="false">
      <c r="A250" s="94" t="s">
        <v>39</v>
      </c>
      <c r="B250" s="95" t="s">
        <v>416</v>
      </c>
      <c r="C250" s="95" t="s">
        <v>775</v>
      </c>
      <c r="D250" s="94" t="s">
        <v>778</v>
      </c>
      <c r="E250" s="74" t="n">
        <v>104835</v>
      </c>
      <c r="F250" s="74" t="n">
        <v>100.73</v>
      </c>
      <c r="G250" s="74" t="n">
        <v>49</v>
      </c>
      <c r="H250" s="74" t="n">
        <v>263</v>
      </c>
      <c r="I250" s="74" t="n">
        <v>136</v>
      </c>
      <c r="J250" s="74" t="n">
        <v>127</v>
      </c>
      <c r="K250" s="74" t="n">
        <v>10</v>
      </c>
      <c r="L250" s="74" t="n">
        <f aca="false">K250/H250*100</f>
        <v>3.80228136882129</v>
      </c>
      <c r="M250" s="74" t="n">
        <v>0</v>
      </c>
      <c r="N250" s="74" t="n">
        <f aca="false">O250/H250*100</f>
        <v>3.90114068441065</v>
      </c>
      <c r="O250" s="74" t="n">
        <v>10.26</v>
      </c>
      <c r="P250" s="74" t="n">
        <v>0</v>
      </c>
      <c r="Q250" s="74"/>
      <c r="R250" s="74"/>
      <c r="S250" s="76"/>
      <c r="T250" s="76"/>
      <c r="U250" s="74"/>
      <c r="V250" s="74"/>
      <c r="W250" s="74"/>
      <c r="X250" s="74"/>
      <c r="Y250" s="74"/>
      <c r="Z250" s="74"/>
      <c r="AA250" s="74"/>
      <c r="AB250" s="74"/>
      <c r="AC250" s="74"/>
      <c r="AD250" s="75"/>
      <c r="AE250" s="75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</row>
    <row r="251" customFormat="false" ht="21" hidden="false" customHeight="false" outlineLevel="0" collapsed="false">
      <c r="A251" s="94" t="s">
        <v>39</v>
      </c>
      <c r="B251" s="95" t="s">
        <v>416</v>
      </c>
      <c r="C251" s="95" t="s">
        <v>775</v>
      </c>
      <c r="D251" s="94" t="s">
        <v>776</v>
      </c>
      <c r="E251" s="74" t="n">
        <v>104814</v>
      </c>
      <c r="F251" s="74" t="n">
        <v>653.22</v>
      </c>
      <c r="G251" s="74" t="n">
        <v>229</v>
      </c>
      <c r="H251" s="74" t="n">
        <v>1117</v>
      </c>
      <c r="I251" s="74" t="n">
        <v>587</v>
      </c>
      <c r="J251" s="74" t="n">
        <v>530</v>
      </c>
      <c r="K251" s="74" t="n">
        <v>217</v>
      </c>
      <c r="L251" s="74" t="n">
        <f aca="false">K251/H251*100</f>
        <v>19.4270367054611</v>
      </c>
      <c r="M251" s="74" t="n">
        <v>384</v>
      </c>
      <c r="N251" s="74" t="n">
        <f aca="false">O251/H251*100</f>
        <v>8.67233661593554</v>
      </c>
      <c r="O251" s="74" t="n">
        <v>96.87</v>
      </c>
      <c r="P251" s="74" t="n">
        <v>24.92</v>
      </c>
      <c r="Q251" s="74"/>
      <c r="R251" s="74"/>
      <c r="S251" s="76"/>
      <c r="T251" s="76"/>
      <c r="U251" s="74"/>
      <c r="V251" s="74"/>
      <c r="W251" s="74"/>
      <c r="X251" s="74"/>
      <c r="Y251" s="74"/>
      <c r="Z251" s="74"/>
      <c r="AA251" s="74"/>
      <c r="AB251" s="74"/>
      <c r="AC251" s="74"/>
      <c r="AD251" s="75"/>
      <c r="AE251" s="75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</row>
    <row r="252" customFormat="false" ht="21" hidden="false" customHeight="false" outlineLevel="0" collapsed="false">
      <c r="A252" s="94" t="s">
        <v>39</v>
      </c>
      <c r="B252" s="95" t="s">
        <v>416</v>
      </c>
      <c r="C252" s="95" t="s">
        <v>775</v>
      </c>
      <c r="D252" s="94" t="s">
        <v>784</v>
      </c>
      <c r="E252" s="74" t="n">
        <v>104833</v>
      </c>
      <c r="F252" s="74" t="n">
        <v>187.78</v>
      </c>
      <c r="G252" s="74" t="n">
        <v>145</v>
      </c>
      <c r="H252" s="74" t="n">
        <v>758</v>
      </c>
      <c r="I252" s="74" t="n">
        <v>391</v>
      </c>
      <c r="J252" s="74" t="n">
        <v>367</v>
      </c>
      <c r="K252" s="74" t="n">
        <v>19</v>
      </c>
      <c r="L252" s="74" t="n">
        <f aca="false">K252/H252*100</f>
        <v>2.5065963060686</v>
      </c>
      <c r="M252" s="74" t="n">
        <v>0</v>
      </c>
      <c r="N252" s="74" t="n">
        <f aca="false">O252/H252*100</f>
        <v>6.08179419525066</v>
      </c>
      <c r="O252" s="74" t="n">
        <v>46.1</v>
      </c>
      <c r="P252" s="74" t="n">
        <v>0</v>
      </c>
      <c r="Q252" s="74"/>
      <c r="R252" s="74"/>
      <c r="S252" s="76"/>
      <c r="T252" s="76"/>
      <c r="U252" s="74"/>
      <c r="V252" s="74"/>
      <c r="W252" s="74"/>
      <c r="X252" s="74"/>
      <c r="Y252" s="74"/>
      <c r="Z252" s="74"/>
      <c r="AA252" s="74"/>
      <c r="AB252" s="74"/>
      <c r="AC252" s="74"/>
      <c r="AD252" s="75"/>
      <c r="AE252" s="75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</row>
    <row r="253" customFormat="false" ht="21" hidden="false" customHeight="false" outlineLevel="0" collapsed="false">
      <c r="A253" s="71" t="s">
        <v>415</v>
      </c>
      <c r="B253" s="71" t="s">
        <v>416</v>
      </c>
      <c r="C253" s="49" t="s">
        <v>790</v>
      </c>
      <c r="D253" s="71" t="s">
        <v>797</v>
      </c>
      <c r="E253" s="74"/>
      <c r="F253" s="74"/>
      <c r="G253" s="74"/>
      <c r="H253" s="74"/>
      <c r="I253" s="74"/>
      <c r="J253" s="74"/>
      <c r="K253" s="74"/>
      <c r="L253" s="74" t="e">
        <f aca="false">K253/H253*100</f>
        <v>#DIV/0!</v>
      </c>
      <c r="M253" s="74"/>
      <c r="N253" s="74" t="e">
        <f aca="false">O253/H253*100</f>
        <v>#DIV/0!</v>
      </c>
      <c r="O253" s="74"/>
      <c r="P253" s="74"/>
      <c r="Q253" s="56" t="s">
        <v>45</v>
      </c>
      <c r="R253" s="92" t="n">
        <v>44788</v>
      </c>
      <c r="S253" s="89"/>
      <c r="T253" s="76"/>
      <c r="U253" s="74"/>
      <c r="V253" s="74"/>
      <c r="W253" s="74"/>
      <c r="X253" s="74"/>
      <c r="Y253" s="74"/>
      <c r="Z253" s="74"/>
      <c r="AA253" s="74"/>
      <c r="AB253" s="74"/>
      <c r="AC253" s="74"/>
      <c r="AD253" s="56" t="n">
        <v>24.389655</v>
      </c>
      <c r="AE253" s="56" t="n">
        <v>76.770055</v>
      </c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</row>
    <row r="254" customFormat="false" ht="21" hidden="false" customHeight="false" outlineLevel="0" collapsed="false">
      <c r="A254" s="94" t="s">
        <v>39</v>
      </c>
      <c r="B254" s="95" t="s">
        <v>416</v>
      </c>
      <c r="C254" s="95" t="s">
        <v>790</v>
      </c>
      <c r="D254" s="94" t="s">
        <v>439</v>
      </c>
      <c r="E254" s="74" t="n">
        <v>104673</v>
      </c>
      <c r="F254" s="74" t="n">
        <v>519.8</v>
      </c>
      <c r="G254" s="74" t="n">
        <v>124</v>
      </c>
      <c r="H254" s="74" t="n">
        <v>532</v>
      </c>
      <c r="I254" s="74" t="n">
        <v>281</v>
      </c>
      <c r="J254" s="74" t="n">
        <v>251</v>
      </c>
      <c r="K254" s="74" t="n">
        <v>0</v>
      </c>
      <c r="L254" s="74" t="n">
        <f aca="false">K254/H254*100</f>
        <v>0</v>
      </c>
      <c r="M254" s="74" t="n">
        <v>193</v>
      </c>
      <c r="N254" s="74" t="n">
        <f aca="false">O254/H254*100</f>
        <v>6.69548872180451</v>
      </c>
      <c r="O254" s="74" t="n">
        <v>35.62</v>
      </c>
      <c r="P254" s="74" t="n">
        <v>310.08</v>
      </c>
      <c r="Q254" s="74"/>
      <c r="R254" s="74"/>
      <c r="S254" s="76"/>
      <c r="T254" s="76"/>
      <c r="U254" s="74"/>
      <c r="V254" s="74"/>
      <c r="W254" s="74"/>
      <c r="X254" s="74"/>
      <c r="Y254" s="74"/>
      <c r="Z254" s="74"/>
      <c r="AA254" s="74"/>
      <c r="AB254" s="74"/>
      <c r="AC254" s="74"/>
      <c r="AD254" s="75"/>
      <c r="AE254" s="75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</row>
    <row r="255" customFormat="false" ht="21" hidden="false" customHeight="false" outlineLevel="0" collapsed="false">
      <c r="A255" s="94" t="s">
        <v>39</v>
      </c>
      <c r="B255" s="95" t="s">
        <v>416</v>
      </c>
      <c r="C255" s="95" t="s">
        <v>790</v>
      </c>
      <c r="D255" s="94" t="s">
        <v>74</v>
      </c>
      <c r="E255" s="74" t="n">
        <v>104654</v>
      </c>
      <c r="F255" s="74" t="n">
        <v>375.13</v>
      </c>
      <c r="G255" s="74" t="n">
        <v>186</v>
      </c>
      <c r="H255" s="74" t="n">
        <v>855</v>
      </c>
      <c r="I255" s="74" t="n">
        <v>417</v>
      </c>
      <c r="J255" s="74" t="n">
        <v>438</v>
      </c>
      <c r="K255" s="74" t="n">
        <v>25</v>
      </c>
      <c r="L255" s="74" t="n">
        <f aca="false">K255/H255*100</f>
        <v>2.92397660818713</v>
      </c>
      <c r="M255" s="74" t="n">
        <v>0</v>
      </c>
      <c r="N255" s="74" t="n">
        <f aca="false">O255/H255*100</f>
        <v>6.4046783625731</v>
      </c>
      <c r="O255" s="74" t="n">
        <v>54.76</v>
      </c>
      <c r="P255" s="74" t="n">
        <v>24.66</v>
      </c>
      <c r="Q255" s="74"/>
      <c r="R255" s="74"/>
      <c r="S255" s="76"/>
      <c r="T255" s="76"/>
      <c r="U255" s="74"/>
      <c r="V255" s="74"/>
      <c r="W255" s="74"/>
      <c r="X255" s="74"/>
      <c r="Y255" s="74"/>
      <c r="Z255" s="74"/>
      <c r="AA255" s="74"/>
      <c r="AB255" s="74"/>
      <c r="AC255" s="74"/>
      <c r="AD255" s="75"/>
      <c r="AE255" s="75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</row>
    <row r="256" customFormat="false" ht="21" hidden="false" customHeight="false" outlineLevel="0" collapsed="false">
      <c r="A256" s="94" t="s">
        <v>39</v>
      </c>
      <c r="B256" s="95" t="s">
        <v>416</v>
      </c>
      <c r="C256" s="95" t="s">
        <v>790</v>
      </c>
      <c r="D256" s="94" t="s">
        <v>848</v>
      </c>
      <c r="E256" s="74" t="n">
        <v>104667</v>
      </c>
      <c r="F256" s="74" t="n">
        <v>178.07</v>
      </c>
      <c r="G256" s="74" t="n">
        <v>153</v>
      </c>
      <c r="H256" s="74" t="n">
        <v>783</v>
      </c>
      <c r="I256" s="74" t="n">
        <v>405</v>
      </c>
      <c r="J256" s="74" t="n">
        <v>378</v>
      </c>
      <c r="K256" s="74" t="n">
        <v>76</v>
      </c>
      <c r="L256" s="74" t="n">
        <f aca="false">K256/H256*100</f>
        <v>9.70625798212005</v>
      </c>
      <c r="M256" s="74" t="n">
        <v>6</v>
      </c>
      <c r="N256" s="74" t="n">
        <f aca="false">O256/H256*100</f>
        <v>0</v>
      </c>
      <c r="O256" s="74" t="n">
        <v>0</v>
      </c>
      <c r="P256" s="74" t="n">
        <v>0</v>
      </c>
      <c r="Q256" s="74"/>
      <c r="R256" s="74"/>
      <c r="S256" s="76"/>
      <c r="T256" s="76"/>
      <c r="U256" s="74"/>
      <c r="V256" s="74"/>
      <c r="W256" s="74"/>
      <c r="X256" s="74"/>
      <c r="Y256" s="74"/>
      <c r="Z256" s="74"/>
      <c r="AA256" s="74"/>
      <c r="AB256" s="74"/>
      <c r="AC256" s="74"/>
      <c r="AD256" s="75"/>
      <c r="AE256" s="75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</row>
    <row r="257" customFormat="false" ht="21" hidden="false" customHeight="false" outlineLevel="0" collapsed="false">
      <c r="A257" s="94" t="s">
        <v>39</v>
      </c>
      <c r="B257" s="95" t="s">
        <v>416</v>
      </c>
      <c r="C257" s="95" t="s">
        <v>790</v>
      </c>
      <c r="D257" s="94" t="s">
        <v>441</v>
      </c>
      <c r="E257" s="74" t="n">
        <v>104672</v>
      </c>
      <c r="F257" s="74" t="n">
        <v>887.57</v>
      </c>
      <c r="G257" s="74" t="n">
        <v>175</v>
      </c>
      <c r="H257" s="74" t="n">
        <v>728</v>
      </c>
      <c r="I257" s="74" t="n">
        <v>388</v>
      </c>
      <c r="J257" s="74" t="n">
        <v>340</v>
      </c>
      <c r="K257" s="74" t="n">
        <v>0</v>
      </c>
      <c r="L257" s="74" t="n">
        <f aca="false">K257/H257*100</f>
        <v>0</v>
      </c>
      <c r="M257" s="74" t="n">
        <v>727</v>
      </c>
      <c r="N257" s="74" t="n">
        <f aca="false">O257/H257*100</f>
        <v>3.6717032967033</v>
      </c>
      <c r="O257" s="74" t="n">
        <v>26.73</v>
      </c>
      <c r="P257" s="74" t="n">
        <v>600.85</v>
      </c>
      <c r="Q257" s="74"/>
      <c r="R257" s="74"/>
      <c r="S257" s="76"/>
      <c r="T257" s="89"/>
      <c r="U257" s="74"/>
      <c r="V257" s="74"/>
      <c r="W257" s="74"/>
      <c r="X257" s="74"/>
      <c r="Y257" s="74"/>
      <c r="Z257" s="74"/>
      <c r="AA257" s="89" t="s">
        <v>45</v>
      </c>
      <c r="AB257" s="89" t="n">
        <v>1</v>
      </c>
      <c r="AC257" s="46" t="s">
        <v>423</v>
      </c>
      <c r="AD257" s="75"/>
      <c r="AE257" s="75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</row>
    <row r="258" customFormat="false" ht="21" hidden="false" customHeight="false" outlineLevel="0" collapsed="false">
      <c r="A258" s="94" t="s">
        <v>39</v>
      </c>
      <c r="B258" s="95" t="s">
        <v>416</v>
      </c>
      <c r="C258" s="95" t="s">
        <v>790</v>
      </c>
      <c r="D258" s="94" t="s">
        <v>797</v>
      </c>
      <c r="E258" s="74" t="n">
        <v>104670</v>
      </c>
      <c r="F258" s="74" t="n">
        <v>188.14</v>
      </c>
      <c r="G258" s="74" t="n">
        <v>172</v>
      </c>
      <c r="H258" s="74" t="n">
        <v>873</v>
      </c>
      <c r="I258" s="74" t="n">
        <v>440</v>
      </c>
      <c r="J258" s="74" t="n">
        <v>433</v>
      </c>
      <c r="K258" s="74" t="n">
        <v>24</v>
      </c>
      <c r="L258" s="74" t="n">
        <f aca="false">K258/H258*100</f>
        <v>2.74914089347079</v>
      </c>
      <c r="M258" s="74" t="n">
        <v>54</v>
      </c>
      <c r="N258" s="74" t="n">
        <f aca="false">O258/H258*100</f>
        <v>0.741122565864834</v>
      </c>
      <c r="O258" s="74" t="n">
        <v>6.47</v>
      </c>
      <c r="P258" s="74" t="n">
        <v>25.16</v>
      </c>
      <c r="Q258" s="74"/>
      <c r="R258" s="97" t="n">
        <v>44788</v>
      </c>
      <c r="S258" s="76"/>
      <c r="T258" s="76"/>
      <c r="U258" s="74"/>
      <c r="V258" s="74"/>
      <c r="W258" s="74"/>
      <c r="X258" s="74"/>
      <c r="Y258" s="74"/>
      <c r="Z258" s="74"/>
      <c r="AA258" s="74"/>
      <c r="AB258" s="74"/>
      <c r="AC258" s="74"/>
      <c r="AD258" s="75"/>
      <c r="AE258" s="75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</row>
    <row r="259" customFormat="false" ht="21" hidden="false" customHeight="false" outlineLevel="0" collapsed="false">
      <c r="A259" s="94" t="s">
        <v>39</v>
      </c>
      <c r="B259" s="95" t="s">
        <v>416</v>
      </c>
      <c r="C259" s="95" t="s">
        <v>790</v>
      </c>
      <c r="D259" s="96" t="s">
        <v>791</v>
      </c>
      <c r="E259" s="74" t="n">
        <v>104671</v>
      </c>
      <c r="F259" s="74" t="n">
        <v>1028.02</v>
      </c>
      <c r="G259" s="74" t="n">
        <v>456</v>
      </c>
      <c r="H259" s="74" t="n">
        <v>2359</v>
      </c>
      <c r="I259" s="74" t="n">
        <v>1240</v>
      </c>
      <c r="J259" s="74" t="n">
        <v>1119</v>
      </c>
      <c r="K259" s="74" t="n">
        <v>134</v>
      </c>
      <c r="L259" s="74" t="n">
        <f aca="false">K259/H259*100</f>
        <v>5.68037303942348</v>
      </c>
      <c r="M259" s="74" t="n">
        <v>549</v>
      </c>
      <c r="N259" s="74" t="n">
        <f aca="false">O259/H259*100</f>
        <v>4.66765578635015</v>
      </c>
      <c r="O259" s="74" t="n">
        <v>110.11</v>
      </c>
      <c r="P259" s="74" t="n">
        <v>398.73</v>
      </c>
      <c r="Q259" s="74"/>
      <c r="R259" s="97" t="n">
        <v>44788</v>
      </c>
      <c r="S259" s="76"/>
      <c r="T259" s="76"/>
      <c r="U259" s="74"/>
      <c r="V259" s="74"/>
      <c r="W259" s="74"/>
      <c r="X259" s="74"/>
      <c r="Y259" s="74"/>
      <c r="Z259" s="74"/>
      <c r="AA259" s="74"/>
      <c r="AB259" s="74"/>
      <c r="AC259" s="74"/>
      <c r="AD259" s="75"/>
      <c r="AE259" s="75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</row>
    <row r="260" customFormat="false" ht="21" hidden="false" customHeight="false" outlineLevel="0" collapsed="false">
      <c r="A260" s="94" t="s">
        <v>39</v>
      </c>
      <c r="B260" s="95" t="s">
        <v>416</v>
      </c>
      <c r="C260" s="95" t="s">
        <v>799</v>
      </c>
      <c r="D260" s="94" t="s">
        <v>240</v>
      </c>
      <c r="E260" s="74" t="n">
        <v>104741</v>
      </c>
      <c r="F260" s="74" t="n">
        <v>142</v>
      </c>
      <c r="G260" s="74" t="n">
        <v>35</v>
      </c>
      <c r="H260" s="74" t="n">
        <v>159</v>
      </c>
      <c r="I260" s="74" t="n">
        <v>86</v>
      </c>
      <c r="J260" s="74" t="n">
        <v>73</v>
      </c>
      <c r="K260" s="74" t="n">
        <v>11</v>
      </c>
      <c r="L260" s="74" t="n">
        <f aca="false">K260/H260*100</f>
        <v>6.91823899371069</v>
      </c>
      <c r="M260" s="74" t="n">
        <v>148</v>
      </c>
      <c r="N260" s="74" t="n">
        <f aca="false">O260/H260*100</f>
        <v>6.9559748427673</v>
      </c>
      <c r="O260" s="74" t="n">
        <v>11.06</v>
      </c>
      <c r="P260" s="74" t="n">
        <v>0</v>
      </c>
      <c r="Q260" s="74"/>
      <c r="R260" s="74"/>
      <c r="S260" s="76"/>
      <c r="T260" s="76"/>
      <c r="U260" s="74"/>
      <c r="V260" s="74"/>
      <c r="W260" s="74"/>
      <c r="X260" s="74"/>
      <c r="Y260" s="74"/>
      <c r="Z260" s="74"/>
      <c r="AA260" s="74"/>
      <c r="AB260" s="74"/>
      <c r="AC260" s="74"/>
      <c r="AD260" s="75"/>
      <c r="AE260" s="75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</row>
    <row r="261" customFormat="false" ht="21" hidden="false" customHeight="false" outlineLevel="0" collapsed="false">
      <c r="A261" s="94" t="s">
        <v>39</v>
      </c>
      <c r="B261" s="95" t="s">
        <v>416</v>
      </c>
      <c r="C261" s="95" t="s">
        <v>799</v>
      </c>
      <c r="D261" s="94" t="s">
        <v>808</v>
      </c>
      <c r="E261" s="74" t="n">
        <v>104739</v>
      </c>
      <c r="F261" s="74" t="n">
        <v>316.46</v>
      </c>
      <c r="G261" s="74" t="n">
        <v>69</v>
      </c>
      <c r="H261" s="74" t="n">
        <v>298</v>
      </c>
      <c r="I261" s="74" t="n">
        <v>152</v>
      </c>
      <c r="J261" s="74" t="n">
        <v>146</v>
      </c>
      <c r="K261" s="74" t="n">
        <v>31</v>
      </c>
      <c r="L261" s="74" t="n">
        <f aca="false">K261/H261*100</f>
        <v>10.4026845637584</v>
      </c>
      <c r="M261" s="74" t="n">
        <v>142</v>
      </c>
      <c r="N261" s="74" t="n">
        <f aca="false">O261/H261*100</f>
        <v>5.97986577181208</v>
      </c>
      <c r="O261" s="74" t="n">
        <v>17.82</v>
      </c>
      <c r="P261" s="74" t="n">
        <v>0</v>
      </c>
      <c r="Q261" s="74"/>
      <c r="R261" s="74"/>
      <c r="S261" s="76"/>
      <c r="T261" s="76"/>
      <c r="U261" s="74"/>
      <c r="V261" s="74"/>
      <c r="W261" s="74"/>
      <c r="X261" s="74"/>
      <c r="Y261" s="74"/>
      <c r="Z261" s="74"/>
      <c r="AA261" s="73" t="s">
        <v>45</v>
      </c>
      <c r="AB261" s="98" t="n">
        <v>5</v>
      </c>
      <c r="AC261" s="74"/>
      <c r="AD261" s="75"/>
      <c r="AE261" s="75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</row>
    <row r="262" customFormat="false" ht="21" hidden="false" customHeight="false" outlineLevel="0" collapsed="false">
      <c r="A262" s="94" t="s">
        <v>39</v>
      </c>
      <c r="B262" s="95" t="s">
        <v>416</v>
      </c>
      <c r="C262" s="95" t="s">
        <v>799</v>
      </c>
      <c r="D262" s="94" t="s">
        <v>386</v>
      </c>
      <c r="E262" s="74" t="n">
        <v>104762</v>
      </c>
      <c r="F262" s="74" t="n">
        <v>282.77</v>
      </c>
      <c r="G262" s="74" t="n">
        <v>35</v>
      </c>
      <c r="H262" s="74" t="n">
        <v>143</v>
      </c>
      <c r="I262" s="74" t="n">
        <v>79</v>
      </c>
      <c r="J262" s="74" t="n">
        <v>64</v>
      </c>
      <c r="K262" s="74" t="n">
        <v>51</v>
      </c>
      <c r="L262" s="74" t="n">
        <f aca="false">K262/H262*100</f>
        <v>35.6643356643357</v>
      </c>
      <c r="M262" s="74" t="n">
        <v>92</v>
      </c>
      <c r="N262" s="74" t="n">
        <f aca="false">O262/H262*100</f>
        <v>8.95104895104895</v>
      </c>
      <c r="O262" s="74" t="n">
        <v>12.8</v>
      </c>
      <c r="P262" s="74" t="n">
        <v>34.33</v>
      </c>
      <c r="Q262" s="74"/>
      <c r="R262" s="74"/>
      <c r="S262" s="76"/>
      <c r="T262" s="76"/>
      <c r="U262" s="74"/>
      <c r="V262" s="74"/>
      <c r="W262" s="74"/>
      <c r="X262" s="74"/>
      <c r="Y262" s="74"/>
      <c r="Z262" s="74"/>
      <c r="AA262" s="74"/>
      <c r="AB262" s="74"/>
      <c r="AC262" s="74"/>
      <c r="AD262" s="75"/>
      <c r="AE262" s="75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</row>
    <row r="263" customFormat="false" ht="21" hidden="false" customHeight="false" outlineLevel="0" collapsed="false">
      <c r="A263" s="94" t="s">
        <v>39</v>
      </c>
      <c r="B263" s="95" t="s">
        <v>416</v>
      </c>
      <c r="C263" s="95" t="s">
        <v>799</v>
      </c>
      <c r="D263" s="94" t="s">
        <v>802</v>
      </c>
      <c r="E263" s="74" t="n">
        <v>104763</v>
      </c>
      <c r="F263" s="74" t="n">
        <v>53.09</v>
      </c>
      <c r="G263" s="74" t="n">
        <v>53</v>
      </c>
      <c r="H263" s="74" t="n">
        <v>275</v>
      </c>
      <c r="I263" s="74" t="n">
        <v>145</v>
      </c>
      <c r="J263" s="74" t="n">
        <v>130</v>
      </c>
      <c r="K263" s="74" t="n">
        <v>160</v>
      </c>
      <c r="L263" s="74" t="n">
        <f aca="false">K263/H263*100</f>
        <v>58.1818181818182</v>
      </c>
      <c r="M263" s="74" t="n">
        <v>6</v>
      </c>
      <c r="N263" s="74" t="n">
        <f aca="false">O263/H263*100</f>
        <v>0.963636363636364</v>
      </c>
      <c r="O263" s="74" t="n">
        <v>2.65</v>
      </c>
      <c r="P263" s="74" t="n">
        <v>0</v>
      </c>
      <c r="Q263" s="74"/>
      <c r="R263" s="74"/>
      <c r="S263" s="76"/>
      <c r="T263" s="76"/>
      <c r="U263" s="74"/>
      <c r="V263" s="74"/>
      <c r="W263" s="74"/>
      <c r="X263" s="74"/>
      <c r="Y263" s="74"/>
      <c r="Z263" s="74"/>
      <c r="AA263" s="73" t="s">
        <v>45</v>
      </c>
      <c r="AB263" s="98" t="n">
        <v>10</v>
      </c>
      <c r="AC263" s="74"/>
      <c r="AD263" s="75"/>
      <c r="AE263" s="75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</row>
    <row r="264" customFormat="false" ht="21" hidden="false" customHeight="false" outlineLevel="0" collapsed="false">
      <c r="A264" s="94" t="s">
        <v>39</v>
      </c>
      <c r="B264" s="95" t="s">
        <v>416</v>
      </c>
      <c r="C264" s="95" t="s">
        <v>799</v>
      </c>
      <c r="D264" s="94" t="s">
        <v>345</v>
      </c>
      <c r="E264" s="74" t="n">
        <v>104740</v>
      </c>
      <c r="F264" s="74" t="n">
        <v>41.54</v>
      </c>
      <c r="G264" s="74" t="n">
        <v>52</v>
      </c>
      <c r="H264" s="74" t="n">
        <v>254</v>
      </c>
      <c r="I264" s="74" t="n">
        <v>136</v>
      </c>
      <c r="J264" s="74" t="n">
        <v>118</v>
      </c>
      <c r="K264" s="74" t="n">
        <v>32</v>
      </c>
      <c r="L264" s="74" t="n">
        <f aca="false">K264/H264*100</f>
        <v>12.5984251968504</v>
      </c>
      <c r="M264" s="74" t="n">
        <v>0</v>
      </c>
      <c r="N264" s="74" t="n">
        <f aca="false">O264/H264*100</f>
        <v>0</v>
      </c>
      <c r="O264" s="74" t="n">
        <v>0</v>
      </c>
      <c r="P264" s="74" t="n">
        <v>0</v>
      </c>
      <c r="Q264" s="74"/>
      <c r="R264" s="74"/>
      <c r="S264" s="76"/>
      <c r="T264" s="76"/>
      <c r="U264" s="74"/>
      <c r="V264" s="74"/>
      <c r="W264" s="74"/>
      <c r="X264" s="74"/>
      <c r="Y264" s="74"/>
      <c r="Z264" s="74"/>
      <c r="AA264" s="74"/>
      <c r="AB264" s="74"/>
      <c r="AC264" s="74"/>
      <c r="AD264" s="75"/>
      <c r="AE264" s="75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</row>
    <row r="265" customFormat="false" ht="21" hidden="false" customHeight="false" outlineLevel="0" collapsed="false">
      <c r="A265" s="94" t="s">
        <v>39</v>
      </c>
      <c r="B265" s="95" t="s">
        <v>416</v>
      </c>
      <c r="C265" s="95" t="s">
        <v>799</v>
      </c>
      <c r="D265" s="94" t="s">
        <v>811</v>
      </c>
      <c r="E265" s="74" t="n">
        <v>104737</v>
      </c>
      <c r="F265" s="74" t="n">
        <v>629.57</v>
      </c>
      <c r="G265" s="74" t="n">
        <v>376</v>
      </c>
      <c r="H265" s="74" t="n">
        <v>1744</v>
      </c>
      <c r="I265" s="74" t="n">
        <v>909</v>
      </c>
      <c r="J265" s="74" t="n">
        <v>835</v>
      </c>
      <c r="K265" s="74" t="n">
        <v>288</v>
      </c>
      <c r="L265" s="74" t="n">
        <f aca="false">K265/H265*100</f>
        <v>16.5137614678899</v>
      </c>
      <c r="M265" s="74" t="n">
        <v>421</v>
      </c>
      <c r="N265" s="74" t="n">
        <f aca="false">O265/H265*100</f>
        <v>5.79071100917431</v>
      </c>
      <c r="O265" s="74" t="n">
        <v>100.99</v>
      </c>
      <c r="P265" s="74" t="n">
        <v>12.42</v>
      </c>
      <c r="Q265" s="74"/>
      <c r="R265" s="74"/>
      <c r="S265" s="76"/>
      <c r="T265" s="76"/>
      <c r="U265" s="74"/>
      <c r="V265" s="74"/>
      <c r="W265" s="74"/>
      <c r="X265" s="74"/>
      <c r="Y265" s="74"/>
      <c r="Z265" s="74"/>
      <c r="AA265" s="74"/>
      <c r="AB265" s="74"/>
      <c r="AC265" s="74"/>
      <c r="AD265" s="75"/>
      <c r="AE265" s="75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</row>
    <row r="266" customFormat="false" ht="21" hidden="false" customHeight="false" outlineLevel="0" collapsed="false">
      <c r="A266" s="94" t="s">
        <v>39</v>
      </c>
      <c r="B266" s="95" t="s">
        <v>416</v>
      </c>
      <c r="C266" s="95" t="s">
        <v>799</v>
      </c>
      <c r="D266" s="96" t="s">
        <v>800</v>
      </c>
      <c r="E266" s="74" t="n">
        <v>104738</v>
      </c>
      <c r="F266" s="74" t="n">
        <v>276.39</v>
      </c>
      <c r="G266" s="74" t="n">
        <v>305</v>
      </c>
      <c r="H266" s="74" t="n">
        <v>1416</v>
      </c>
      <c r="I266" s="74" t="n">
        <v>745</v>
      </c>
      <c r="J266" s="74" t="n">
        <v>671</v>
      </c>
      <c r="K266" s="74" t="n">
        <v>149</v>
      </c>
      <c r="L266" s="74" t="n">
        <f aca="false">K266/H266*100</f>
        <v>10.5225988700565</v>
      </c>
      <c r="M266" s="74" t="n">
        <v>519</v>
      </c>
      <c r="N266" s="74" t="n">
        <f aca="false">O266/H266*100</f>
        <v>4.41737288135593</v>
      </c>
      <c r="O266" s="74" t="n">
        <v>62.55</v>
      </c>
      <c r="P266" s="74" t="n">
        <v>0</v>
      </c>
      <c r="Q266" s="74"/>
      <c r="R266" s="74"/>
      <c r="S266" s="76"/>
      <c r="T266" s="76"/>
      <c r="U266" s="74"/>
      <c r="V266" s="74"/>
      <c r="W266" s="74"/>
      <c r="X266" s="74"/>
      <c r="Y266" s="74"/>
      <c r="Z266" s="74"/>
      <c r="AA266" s="74"/>
      <c r="AB266" s="74"/>
      <c r="AC266" s="74"/>
      <c r="AD266" s="75"/>
      <c r="AE266" s="75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</row>
    <row r="267" customFormat="false" ht="21" hidden="false" customHeight="false" outlineLevel="0" collapsed="false">
      <c r="A267" s="94" t="s">
        <v>39</v>
      </c>
      <c r="B267" s="95" t="s">
        <v>416</v>
      </c>
      <c r="C267" s="95" t="s">
        <v>813</v>
      </c>
      <c r="D267" s="94" t="s">
        <v>832</v>
      </c>
      <c r="E267" s="74" t="n">
        <v>104794</v>
      </c>
      <c r="F267" s="74" t="n">
        <v>98.86</v>
      </c>
      <c r="G267" s="74" t="n">
        <v>96</v>
      </c>
      <c r="H267" s="74" t="n">
        <v>420</v>
      </c>
      <c r="I267" s="74" t="n">
        <v>213</v>
      </c>
      <c r="J267" s="74" t="n">
        <v>207</v>
      </c>
      <c r="K267" s="74" t="n">
        <v>73</v>
      </c>
      <c r="L267" s="74" t="n">
        <f aca="false">K267/H267*100</f>
        <v>17.3809523809524</v>
      </c>
      <c r="M267" s="74" t="n">
        <v>1</v>
      </c>
      <c r="N267" s="74" t="n">
        <f aca="false">O267/H267*100</f>
        <v>4.70476190476191</v>
      </c>
      <c r="O267" s="74" t="n">
        <v>19.76</v>
      </c>
      <c r="P267" s="74" t="n">
        <v>0</v>
      </c>
      <c r="Q267" s="74"/>
      <c r="R267" s="74"/>
      <c r="S267" s="76"/>
      <c r="T267" s="76"/>
      <c r="U267" s="74"/>
      <c r="V267" s="74"/>
      <c r="W267" s="74"/>
      <c r="X267" s="74"/>
      <c r="Y267" s="74"/>
      <c r="Z267" s="74"/>
      <c r="AA267" s="74"/>
      <c r="AB267" s="74"/>
      <c r="AC267" s="74"/>
      <c r="AD267" s="75"/>
      <c r="AE267" s="75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</row>
    <row r="268" customFormat="false" ht="21" hidden="false" customHeight="false" outlineLevel="0" collapsed="false">
      <c r="A268" s="94" t="s">
        <v>39</v>
      </c>
      <c r="B268" s="95" t="s">
        <v>416</v>
      </c>
      <c r="C268" s="95" t="s">
        <v>813</v>
      </c>
      <c r="D268" s="94" t="s">
        <v>371</v>
      </c>
      <c r="E268" s="74" t="n">
        <v>104796</v>
      </c>
      <c r="F268" s="74" t="n">
        <v>82.37</v>
      </c>
      <c r="G268" s="74"/>
      <c r="H268" s="74" t="n">
        <v>0</v>
      </c>
      <c r="I268" s="74"/>
      <c r="J268" s="74"/>
      <c r="K268" s="74"/>
      <c r="L268" s="74" t="e">
        <f aca="false">K268/H268*100</f>
        <v>#DIV/0!</v>
      </c>
      <c r="M268" s="74"/>
      <c r="N268" s="74" t="e">
        <f aca="false">O268/H268*100</f>
        <v>#DIV/0!</v>
      </c>
      <c r="O268" s="74" t="n">
        <v>0</v>
      </c>
      <c r="P268" s="74" t="n">
        <v>39.33</v>
      </c>
      <c r="Q268" s="74"/>
      <c r="R268" s="74"/>
      <c r="S268" s="76"/>
      <c r="T268" s="76"/>
      <c r="U268" s="74"/>
      <c r="V268" s="74"/>
      <c r="W268" s="74"/>
      <c r="X268" s="74"/>
      <c r="Y268" s="74"/>
      <c r="Z268" s="74"/>
      <c r="AA268" s="74"/>
      <c r="AB268" s="74"/>
      <c r="AC268" s="74"/>
      <c r="AD268" s="75"/>
      <c r="AE268" s="75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</row>
    <row r="269" customFormat="false" ht="21" hidden="false" customHeight="false" outlineLevel="0" collapsed="false">
      <c r="A269" s="94" t="s">
        <v>39</v>
      </c>
      <c r="B269" s="95" t="s">
        <v>416</v>
      </c>
      <c r="C269" s="95" t="s">
        <v>813</v>
      </c>
      <c r="D269" s="94" t="s">
        <v>825</v>
      </c>
      <c r="E269" s="74" t="n">
        <v>104798</v>
      </c>
      <c r="F269" s="74" t="n">
        <v>294</v>
      </c>
      <c r="G269" s="74" t="n">
        <v>157</v>
      </c>
      <c r="H269" s="74" t="n">
        <v>723</v>
      </c>
      <c r="I269" s="74" t="n">
        <v>380</v>
      </c>
      <c r="J269" s="74" t="n">
        <v>343</v>
      </c>
      <c r="K269" s="74" t="n">
        <v>43</v>
      </c>
      <c r="L269" s="74" t="n">
        <f aca="false">K269/H269*100</f>
        <v>5.94744121715076</v>
      </c>
      <c r="M269" s="74" t="n">
        <v>0</v>
      </c>
      <c r="N269" s="74" t="n">
        <f aca="false">O269/H269*100</f>
        <v>10.1618257261411</v>
      </c>
      <c r="O269" s="74" t="n">
        <v>73.47</v>
      </c>
      <c r="P269" s="74" t="n">
        <v>36.56</v>
      </c>
      <c r="Q269" s="74"/>
      <c r="R269" s="74"/>
      <c r="S269" s="76"/>
      <c r="T269" s="76"/>
      <c r="U269" s="74"/>
      <c r="V269" s="74"/>
      <c r="W269" s="74"/>
      <c r="X269" s="74"/>
      <c r="Y269" s="74"/>
      <c r="Z269" s="74"/>
      <c r="AA269" s="74"/>
      <c r="AB269" s="74"/>
      <c r="AC269" s="74"/>
      <c r="AD269" s="75"/>
      <c r="AE269" s="75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</row>
    <row r="270" customFormat="false" ht="21" hidden="false" customHeight="false" outlineLevel="0" collapsed="false">
      <c r="A270" s="94" t="s">
        <v>39</v>
      </c>
      <c r="B270" s="95" t="s">
        <v>416</v>
      </c>
      <c r="C270" s="95" t="s">
        <v>813</v>
      </c>
      <c r="D270" s="94" t="s">
        <v>834</v>
      </c>
      <c r="E270" s="74" t="n">
        <v>104770</v>
      </c>
      <c r="F270" s="74" t="n">
        <v>78.57</v>
      </c>
      <c r="G270" s="74"/>
      <c r="H270" s="74" t="n">
        <v>0</v>
      </c>
      <c r="I270" s="74"/>
      <c r="J270" s="74"/>
      <c r="K270" s="74"/>
      <c r="L270" s="74" t="e">
        <f aca="false">K270/H270*100</f>
        <v>#DIV/0!</v>
      </c>
      <c r="M270" s="74"/>
      <c r="N270" s="74" t="e">
        <f aca="false">O270/H270*100</f>
        <v>#DIV/0!</v>
      </c>
      <c r="O270" s="74" t="n">
        <v>0</v>
      </c>
      <c r="P270" s="74" t="n">
        <v>0</v>
      </c>
      <c r="Q270" s="74"/>
      <c r="R270" s="74"/>
      <c r="S270" s="76"/>
      <c r="T270" s="76"/>
      <c r="U270" s="74"/>
      <c r="V270" s="74"/>
      <c r="W270" s="74"/>
      <c r="X270" s="74"/>
      <c r="Y270" s="74"/>
      <c r="Z270" s="74"/>
      <c r="AA270" s="74"/>
      <c r="AB270" s="74"/>
      <c r="AC270" s="74"/>
      <c r="AD270" s="75"/>
      <c r="AE270" s="75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</row>
    <row r="271" customFormat="false" ht="21" hidden="false" customHeight="false" outlineLevel="0" collapsed="false">
      <c r="A271" s="94" t="s">
        <v>39</v>
      </c>
      <c r="B271" s="95" t="s">
        <v>416</v>
      </c>
      <c r="C271" s="95" t="s">
        <v>813</v>
      </c>
      <c r="D271" s="94" t="s">
        <v>822</v>
      </c>
      <c r="E271" s="74" t="n">
        <v>104797</v>
      </c>
      <c r="F271" s="74" t="n">
        <v>85.78</v>
      </c>
      <c r="G271" s="74" t="n">
        <v>13</v>
      </c>
      <c r="H271" s="74" t="n">
        <v>44</v>
      </c>
      <c r="I271" s="74" t="n">
        <v>25</v>
      </c>
      <c r="J271" s="74" t="n">
        <v>19</v>
      </c>
      <c r="K271" s="74" t="n">
        <v>0</v>
      </c>
      <c r="L271" s="74" t="n">
        <f aca="false">K271/H271*100</f>
        <v>0</v>
      </c>
      <c r="M271" s="74" t="n">
        <v>0</v>
      </c>
      <c r="N271" s="74" t="n">
        <f aca="false">O271/H271*100</f>
        <v>15.75</v>
      </c>
      <c r="O271" s="74" t="n">
        <v>6.93</v>
      </c>
      <c r="P271" s="74" t="n">
        <v>46.15</v>
      </c>
      <c r="Q271" s="74"/>
      <c r="R271" s="74"/>
      <c r="S271" s="76"/>
      <c r="T271" s="76"/>
      <c r="U271" s="74"/>
      <c r="V271" s="74"/>
      <c r="W271" s="74"/>
      <c r="X271" s="74"/>
      <c r="Y271" s="74"/>
      <c r="Z271" s="74"/>
      <c r="AA271" s="74"/>
      <c r="AB271" s="74"/>
      <c r="AC271" s="74"/>
      <c r="AD271" s="75"/>
      <c r="AE271" s="75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</row>
    <row r="272" customFormat="false" ht="21" hidden="false" customHeight="false" outlineLevel="0" collapsed="false">
      <c r="A272" s="94" t="s">
        <v>39</v>
      </c>
      <c r="B272" s="95" t="s">
        <v>416</v>
      </c>
      <c r="C272" s="95" t="s">
        <v>813</v>
      </c>
      <c r="D272" s="94" t="s">
        <v>817</v>
      </c>
      <c r="E272" s="74" t="n">
        <v>104818</v>
      </c>
      <c r="F272" s="74" t="n">
        <v>115.34</v>
      </c>
      <c r="G272" s="74" t="n">
        <v>36</v>
      </c>
      <c r="H272" s="74" t="n">
        <v>145</v>
      </c>
      <c r="I272" s="74" t="n">
        <v>76</v>
      </c>
      <c r="J272" s="74" t="n">
        <v>69</v>
      </c>
      <c r="K272" s="74" t="n">
        <v>0</v>
      </c>
      <c r="L272" s="74" t="n">
        <f aca="false">K272/H272*100</f>
        <v>0</v>
      </c>
      <c r="M272" s="74" t="n">
        <v>0</v>
      </c>
      <c r="N272" s="74" t="n">
        <f aca="false">O272/H272*100</f>
        <v>15.5862068965517</v>
      </c>
      <c r="O272" s="74" t="n">
        <v>22.6</v>
      </c>
      <c r="P272" s="74" t="n">
        <v>0</v>
      </c>
      <c r="Q272" s="74"/>
      <c r="R272" s="74"/>
      <c r="S272" s="76"/>
      <c r="T272" s="76"/>
      <c r="U272" s="74"/>
      <c r="V272" s="74"/>
      <c r="W272" s="74"/>
      <c r="X272" s="74"/>
      <c r="Y272" s="74"/>
      <c r="Z272" s="74"/>
      <c r="AA272" s="74"/>
      <c r="AB272" s="74"/>
      <c r="AC272" s="74"/>
      <c r="AD272" s="75"/>
      <c r="AE272" s="75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</row>
    <row r="273" customFormat="false" ht="21" hidden="false" customHeight="false" outlineLevel="0" collapsed="false">
      <c r="A273" s="94" t="s">
        <v>39</v>
      </c>
      <c r="B273" s="95" t="s">
        <v>416</v>
      </c>
      <c r="C273" s="95" t="s">
        <v>813</v>
      </c>
      <c r="D273" s="94" t="s">
        <v>820</v>
      </c>
      <c r="E273" s="74" t="n">
        <v>104817</v>
      </c>
      <c r="F273" s="74" t="n">
        <v>211.25</v>
      </c>
      <c r="G273" s="74" t="n">
        <v>90</v>
      </c>
      <c r="H273" s="74" t="n">
        <v>405</v>
      </c>
      <c r="I273" s="74" t="n">
        <v>195</v>
      </c>
      <c r="J273" s="74" t="n">
        <v>210</v>
      </c>
      <c r="K273" s="74" t="n">
        <v>5</v>
      </c>
      <c r="L273" s="74" t="n">
        <f aca="false">K273/H273*100</f>
        <v>1.23456790123457</v>
      </c>
      <c r="M273" s="74" t="n">
        <v>0</v>
      </c>
      <c r="N273" s="74" t="n">
        <f aca="false">O273/H273*100</f>
        <v>5.18271604938272</v>
      </c>
      <c r="O273" s="74" t="n">
        <v>20.99</v>
      </c>
      <c r="P273" s="74" t="n">
        <v>19.98</v>
      </c>
      <c r="Q273" s="74"/>
      <c r="R273" s="74"/>
      <c r="S273" s="76"/>
      <c r="T273" s="76"/>
      <c r="U273" s="74"/>
      <c r="V273" s="74"/>
      <c r="W273" s="74"/>
      <c r="X273" s="74"/>
      <c r="Y273" s="74"/>
      <c r="Z273" s="74"/>
      <c r="AA273" s="74"/>
      <c r="AB273" s="74"/>
      <c r="AC273" s="74"/>
      <c r="AD273" s="75"/>
      <c r="AE273" s="75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</row>
    <row r="274" customFormat="false" ht="21" hidden="false" customHeight="false" outlineLevel="0" collapsed="false">
      <c r="A274" s="94" t="s">
        <v>39</v>
      </c>
      <c r="B274" s="95" t="s">
        <v>416</v>
      </c>
      <c r="C274" s="95" t="s">
        <v>813</v>
      </c>
      <c r="D274" s="94" t="s">
        <v>828</v>
      </c>
      <c r="E274" s="74" t="n">
        <v>104799</v>
      </c>
      <c r="F274" s="74" t="n">
        <v>208.56</v>
      </c>
      <c r="G274" s="74" t="n">
        <v>113</v>
      </c>
      <c r="H274" s="74" t="n">
        <v>491</v>
      </c>
      <c r="I274" s="74" t="n">
        <v>255</v>
      </c>
      <c r="J274" s="74" t="n">
        <v>236</v>
      </c>
      <c r="K274" s="74" t="n">
        <v>0</v>
      </c>
      <c r="L274" s="74" t="n">
        <f aca="false">K274/H274*100</f>
        <v>0</v>
      </c>
      <c r="M274" s="74" t="n">
        <v>0</v>
      </c>
      <c r="N274" s="74" t="n">
        <f aca="false">O274/H274*100</f>
        <v>7.63543788187373</v>
      </c>
      <c r="O274" s="74" t="n">
        <v>37.49</v>
      </c>
      <c r="P274" s="74" t="n">
        <v>13.89</v>
      </c>
      <c r="Q274" s="74"/>
      <c r="R274" s="74"/>
      <c r="S274" s="76"/>
      <c r="T274" s="76"/>
      <c r="U274" s="74"/>
      <c r="V274" s="74"/>
      <c r="W274" s="74"/>
      <c r="X274" s="74"/>
      <c r="Y274" s="74"/>
      <c r="Z274" s="74"/>
      <c r="AA274" s="74"/>
      <c r="AB274" s="74"/>
      <c r="AC274" s="74"/>
      <c r="AD274" s="75"/>
      <c r="AE274" s="75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</row>
    <row r="275" customFormat="false" ht="21" hidden="false" customHeight="false" outlineLevel="0" collapsed="false">
      <c r="A275" s="94" t="s">
        <v>39</v>
      </c>
      <c r="B275" s="95" t="s">
        <v>416</v>
      </c>
      <c r="C275" s="95" t="s">
        <v>813</v>
      </c>
      <c r="D275" s="94" t="s">
        <v>830</v>
      </c>
      <c r="E275" s="74" t="n">
        <v>104795</v>
      </c>
      <c r="F275" s="74" t="n">
        <v>425.83</v>
      </c>
      <c r="G275" s="74" t="n">
        <v>266</v>
      </c>
      <c r="H275" s="74" t="n">
        <v>1172</v>
      </c>
      <c r="I275" s="74" t="n">
        <v>600</v>
      </c>
      <c r="J275" s="74" t="n">
        <v>572</v>
      </c>
      <c r="K275" s="74" t="n">
        <v>90</v>
      </c>
      <c r="L275" s="74" t="n">
        <f aca="false">K275/H275*100</f>
        <v>7.67918088737201</v>
      </c>
      <c r="M275" s="74" t="n">
        <v>0</v>
      </c>
      <c r="N275" s="74" t="n">
        <f aca="false">O275/H275*100</f>
        <v>7.29948805460751</v>
      </c>
      <c r="O275" s="74" t="n">
        <v>85.55</v>
      </c>
      <c r="P275" s="74" t="n">
        <v>46.25</v>
      </c>
      <c r="Q275" s="74"/>
      <c r="R275" s="74"/>
      <c r="S275" s="76"/>
      <c r="T275" s="76"/>
      <c r="U275" s="74"/>
      <c r="V275" s="74"/>
      <c r="W275" s="74"/>
      <c r="X275" s="74"/>
      <c r="Y275" s="74"/>
      <c r="Z275" s="74"/>
      <c r="AA275" s="74"/>
      <c r="AB275" s="74"/>
      <c r="AC275" s="74"/>
      <c r="AD275" s="75"/>
      <c r="AE275" s="75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</row>
    <row r="276" customFormat="false" ht="21" hidden="false" customHeight="false" outlineLevel="0" collapsed="false">
      <c r="A276" s="94" t="s">
        <v>39</v>
      </c>
      <c r="B276" s="95" t="s">
        <v>416</v>
      </c>
      <c r="C276" s="95" t="s">
        <v>813</v>
      </c>
      <c r="D276" s="96" t="s">
        <v>814</v>
      </c>
      <c r="E276" s="74" t="n">
        <v>104800</v>
      </c>
      <c r="F276" s="74" t="n">
        <v>416.79</v>
      </c>
      <c r="G276" s="74" t="n">
        <v>225</v>
      </c>
      <c r="H276" s="74" t="n">
        <v>1088</v>
      </c>
      <c r="I276" s="74" t="n">
        <v>578</v>
      </c>
      <c r="J276" s="74" t="n">
        <v>510</v>
      </c>
      <c r="K276" s="74" t="n">
        <v>197</v>
      </c>
      <c r="L276" s="74" t="n">
        <f aca="false">K276/H276*100</f>
        <v>18.1066176470588</v>
      </c>
      <c r="M276" s="74" t="n">
        <v>0</v>
      </c>
      <c r="N276" s="74" t="n">
        <f aca="false">O276/H276*100</f>
        <v>5.24264705882353</v>
      </c>
      <c r="O276" s="74" t="n">
        <v>57.04</v>
      </c>
      <c r="P276" s="74" t="n">
        <v>121.7</v>
      </c>
      <c r="Q276" s="74"/>
      <c r="R276" s="74"/>
      <c r="S276" s="76"/>
      <c r="T276" s="76"/>
      <c r="U276" s="74"/>
      <c r="V276" s="74"/>
      <c r="W276" s="74"/>
      <c r="X276" s="74"/>
      <c r="Y276" s="74"/>
      <c r="Z276" s="74"/>
      <c r="AA276" s="74"/>
      <c r="AB276" s="74"/>
      <c r="AC276" s="74"/>
      <c r="AD276" s="75"/>
      <c r="AE276" s="75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</row>
    <row r="277" customFormat="false" ht="21" hidden="false" customHeight="false" outlineLevel="0" collapsed="false">
      <c r="A277" s="94" t="s">
        <v>39</v>
      </c>
      <c r="B277" s="95" t="s">
        <v>416</v>
      </c>
      <c r="C277" s="95" t="s">
        <v>836</v>
      </c>
      <c r="D277" s="94" t="s">
        <v>840</v>
      </c>
      <c r="E277" s="74" t="n">
        <v>104767</v>
      </c>
      <c r="F277" s="74" t="n">
        <v>408.16</v>
      </c>
      <c r="G277" s="74" t="n">
        <v>122</v>
      </c>
      <c r="H277" s="74" t="n">
        <v>538</v>
      </c>
      <c r="I277" s="74" t="n">
        <v>275</v>
      </c>
      <c r="J277" s="74" t="n">
        <v>263</v>
      </c>
      <c r="K277" s="74" t="n">
        <v>59</v>
      </c>
      <c r="L277" s="74" t="n">
        <f aca="false">K277/H277*100</f>
        <v>10.9665427509294</v>
      </c>
      <c r="M277" s="74" t="n">
        <v>55</v>
      </c>
      <c r="N277" s="74" t="n">
        <f aca="false">O277/H277*100</f>
        <v>5.37360594795539</v>
      </c>
      <c r="O277" s="74" t="n">
        <v>28.91</v>
      </c>
      <c r="P277" s="74" t="n">
        <v>141.31</v>
      </c>
      <c r="Q277" s="74"/>
      <c r="R277" s="74"/>
      <c r="S277" s="76"/>
      <c r="T277" s="76"/>
      <c r="U277" s="74"/>
      <c r="V277" s="74"/>
      <c r="W277" s="74"/>
      <c r="X277" s="74"/>
      <c r="Y277" s="74"/>
      <c r="Z277" s="74"/>
      <c r="AA277" s="74"/>
      <c r="AB277" s="74"/>
      <c r="AC277" s="74"/>
      <c r="AD277" s="75"/>
      <c r="AE277" s="75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</row>
    <row r="278" customFormat="false" ht="21" hidden="false" customHeight="false" outlineLevel="0" collapsed="false">
      <c r="A278" s="94" t="s">
        <v>39</v>
      </c>
      <c r="B278" s="95" t="s">
        <v>416</v>
      </c>
      <c r="C278" s="95" t="s">
        <v>836</v>
      </c>
      <c r="D278" s="94" t="s">
        <v>844</v>
      </c>
      <c r="E278" s="74" t="n">
        <v>104736</v>
      </c>
      <c r="F278" s="74" t="n">
        <v>967.31</v>
      </c>
      <c r="G278" s="74" t="n">
        <v>308</v>
      </c>
      <c r="H278" s="74" t="n">
        <v>1360</v>
      </c>
      <c r="I278" s="74" t="n">
        <v>693</v>
      </c>
      <c r="J278" s="74" t="n">
        <v>667</v>
      </c>
      <c r="K278" s="74" t="n">
        <v>94</v>
      </c>
      <c r="L278" s="74" t="n">
        <f aca="false">K278/H278*100</f>
        <v>6.91176470588235</v>
      </c>
      <c r="M278" s="74" t="n">
        <v>79</v>
      </c>
      <c r="N278" s="74" t="n">
        <f aca="false">O278/H278*100</f>
        <v>4.07573529411765</v>
      </c>
      <c r="O278" s="74" t="n">
        <v>55.43</v>
      </c>
      <c r="P278" s="74" t="n">
        <v>612.49</v>
      </c>
      <c r="Q278" s="74"/>
      <c r="R278" s="74"/>
      <c r="S278" s="76"/>
      <c r="T278" s="76"/>
      <c r="U278" s="74"/>
      <c r="V278" s="74"/>
      <c r="W278" s="74"/>
      <c r="X278" s="74"/>
      <c r="Y278" s="74"/>
      <c r="Z278" s="74"/>
      <c r="AA278" s="74"/>
      <c r="AB278" s="74"/>
      <c r="AC278" s="74"/>
      <c r="AD278" s="75"/>
      <c r="AE278" s="75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</row>
    <row r="279" customFormat="false" ht="21" hidden="false" customHeight="false" outlineLevel="0" collapsed="false">
      <c r="A279" s="94" t="s">
        <v>39</v>
      </c>
      <c r="B279" s="95" t="s">
        <v>416</v>
      </c>
      <c r="C279" s="99" t="s">
        <v>836</v>
      </c>
      <c r="D279" s="100" t="s">
        <v>842</v>
      </c>
      <c r="E279" s="101" t="n">
        <v>104766</v>
      </c>
      <c r="F279" s="101" t="n">
        <v>512.31</v>
      </c>
      <c r="G279" s="101" t="n">
        <v>184</v>
      </c>
      <c r="H279" s="101" t="n">
        <v>903</v>
      </c>
      <c r="I279" s="101" t="n">
        <v>466</v>
      </c>
      <c r="J279" s="101" t="n">
        <v>437</v>
      </c>
      <c r="K279" s="74" t="n">
        <v>105</v>
      </c>
      <c r="L279" s="74" t="n">
        <f aca="false">K279/H279*100</f>
        <v>11.6279069767442</v>
      </c>
      <c r="M279" s="74" t="n">
        <v>9</v>
      </c>
      <c r="N279" s="74" t="n">
        <f aca="false">O279/H279*100</f>
        <v>6.7452934662237</v>
      </c>
      <c r="O279" s="101" t="n">
        <v>60.91</v>
      </c>
      <c r="P279" s="101" t="n">
        <v>202.86</v>
      </c>
      <c r="Q279" s="74"/>
      <c r="R279" s="74"/>
      <c r="S279" s="76"/>
      <c r="T279" s="76"/>
      <c r="U279" s="74"/>
      <c r="V279" s="74"/>
      <c r="W279" s="74"/>
      <c r="X279" s="74"/>
      <c r="Y279" s="74"/>
      <c r="Z279" s="74"/>
      <c r="AA279" s="74"/>
      <c r="AB279" s="74"/>
      <c r="AC279" s="74"/>
      <c r="AD279" s="75"/>
      <c r="AE279" s="75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</row>
    <row r="280" customFormat="false" ht="21" hidden="false" customHeight="false" outlineLevel="0" collapsed="false">
      <c r="A280" s="100" t="s">
        <v>39</v>
      </c>
      <c r="B280" s="99" t="s">
        <v>416</v>
      </c>
      <c r="C280" s="95" t="s">
        <v>836</v>
      </c>
      <c r="D280" s="96" t="s">
        <v>837</v>
      </c>
      <c r="E280" s="74" t="n">
        <v>104764</v>
      </c>
      <c r="F280" s="74" t="n">
        <v>767.2</v>
      </c>
      <c r="G280" s="74" t="n">
        <v>282</v>
      </c>
      <c r="H280" s="74" t="n">
        <v>1276</v>
      </c>
      <c r="I280" s="74" t="n">
        <v>652</v>
      </c>
      <c r="J280" s="74" t="n">
        <v>624</v>
      </c>
      <c r="K280" s="74" t="n">
        <v>101</v>
      </c>
      <c r="L280" s="74" t="n">
        <f aca="false">K280/H280*100</f>
        <v>7.9153605015674</v>
      </c>
      <c r="M280" s="74" t="n">
        <v>27</v>
      </c>
      <c r="N280" s="74" t="n">
        <f aca="false">O280/H280*100</f>
        <v>5.01097178683386</v>
      </c>
      <c r="O280" s="74" t="n">
        <v>63.94</v>
      </c>
      <c r="P280" s="74" t="n">
        <v>361.22</v>
      </c>
      <c r="Q280" s="74"/>
      <c r="R280" s="74"/>
      <c r="S280" s="76"/>
      <c r="T280" s="76"/>
      <c r="U280" s="74"/>
      <c r="V280" s="74"/>
      <c r="W280" s="74"/>
      <c r="X280" s="74"/>
      <c r="Y280" s="74"/>
      <c r="Z280" s="74"/>
      <c r="AA280" s="74"/>
      <c r="AB280" s="74"/>
      <c r="AC280" s="74"/>
      <c r="AD280" s="75"/>
      <c r="AE280" s="75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</row>
    <row r="281" s="110" customFormat="true" ht="21" hidden="false" customHeight="false" outlineLevel="0" collapsed="false">
      <c r="A281" s="102"/>
      <c r="B281" s="103"/>
      <c r="C281" s="103"/>
      <c r="D281" s="104"/>
      <c r="E281" s="105"/>
      <c r="F281" s="106"/>
      <c r="G281" s="106"/>
      <c r="H281" s="106"/>
      <c r="I281" s="106"/>
      <c r="J281" s="106"/>
      <c r="K281" s="106"/>
      <c r="L281" s="107"/>
      <c r="M281" s="106"/>
      <c r="N281" s="107"/>
      <c r="O281" s="106"/>
      <c r="P281" s="106"/>
      <c r="Q281" s="106"/>
      <c r="R281" s="106"/>
      <c r="S281" s="106"/>
      <c r="T281" s="108"/>
      <c r="U281" s="107"/>
      <c r="V281" s="107"/>
      <c r="W281" s="107"/>
      <c r="X281" s="107"/>
      <c r="Y281" s="107"/>
      <c r="Z281" s="107"/>
      <c r="AA281" s="107"/>
      <c r="AB281" s="109"/>
      <c r="AC281" s="107"/>
      <c r="AD281" s="106"/>
      <c r="AE281" s="106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</row>
    <row r="282" s="110" customFormat="true" ht="21" hidden="false" customHeight="false" outlineLevel="0" collapsed="false"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8"/>
      <c r="U282" s="107"/>
      <c r="V282" s="107"/>
      <c r="W282" s="107"/>
      <c r="X282" s="107"/>
      <c r="Y282" s="107"/>
      <c r="Z282" s="107"/>
      <c r="AA282" s="107"/>
      <c r="AB282" s="109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</row>
    <row r="283" s="110" customFormat="true" ht="21" hidden="false" customHeight="false" outlineLevel="0" collapsed="false"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8"/>
      <c r="U283" s="107"/>
      <c r="V283" s="107"/>
      <c r="W283" s="107"/>
      <c r="X283" s="107"/>
      <c r="Y283" s="107"/>
      <c r="Z283" s="107"/>
      <c r="AA283" s="107"/>
      <c r="AB283" s="109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</row>
    <row r="284" s="110" customFormat="true" ht="21" hidden="false" customHeight="false" outlineLevel="0" collapsed="false"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8"/>
      <c r="U284" s="107"/>
      <c r="V284" s="107"/>
      <c r="W284" s="107"/>
      <c r="X284" s="107"/>
      <c r="Y284" s="107"/>
      <c r="Z284" s="107"/>
      <c r="AA284" s="107"/>
      <c r="AB284" s="109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</row>
    <row r="285" s="110" customFormat="true" ht="15" hidden="false" customHeight="false" outlineLevel="0" collapsed="false"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6"/>
      <c r="U285" s="107"/>
      <c r="V285" s="107"/>
      <c r="W285" s="107"/>
      <c r="X285" s="107"/>
      <c r="Y285" s="107"/>
      <c r="Z285" s="107"/>
      <c r="AA285" s="106"/>
      <c r="AB285" s="106"/>
      <c r="AC285" s="106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</row>
    <row r="286" s="110" customFormat="true" ht="15" hidden="false" customHeight="false" outlineLevel="0" collapsed="false"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9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</row>
    <row r="287" s="110" customFormat="true" ht="15" hidden="false" customHeight="false" outlineLevel="0" collapsed="false"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9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</row>
    <row r="288" s="110" customFormat="true" ht="15" hidden="false" customHeight="false" outlineLevel="0" collapsed="false">
      <c r="AB288" s="111"/>
    </row>
    <row r="289" s="110" customFormat="true" ht="15" hidden="false" customHeight="false" outlineLevel="0" collapsed="false">
      <c r="AB289" s="111"/>
    </row>
    <row r="290" s="110" customFormat="true" ht="15" hidden="false" customHeight="false" outlineLevel="0" collapsed="false">
      <c r="AB290" s="111"/>
    </row>
    <row r="291" s="110" customFormat="true" ht="15" hidden="false" customHeight="false" outlineLevel="0" collapsed="false">
      <c r="AB291" s="111"/>
    </row>
    <row r="292" s="110" customFormat="true" ht="15" hidden="false" customHeight="false" outlineLevel="0" collapsed="false">
      <c r="AB292" s="111"/>
    </row>
    <row r="293" s="110" customFormat="true" ht="15" hidden="false" customHeight="false" outlineLevel="0" collapsed="false">
      <c r="AB293" s="111"/>
    </row>
    <row r="294" s="110" customFormat="true" ht="15" hidden="false" customHeight="false" outlineLevel="0" collapsed="false">
      <c r="AB294" s="111"/>
    </row>
    <row r="295" s="110" customFormat="true" ht="15" hidden="false" customHeight="false" outlineLevel="0" collapsed="false">
      <c r="AB295" s="111"/>
    </row>
    <row r="296" s="110" customFormat="true" ht="15" hidden="false" customHeight="false" outlineLevel="0" collapsed="false">
      <c r="AB296" s="111"/>
    </row>
    <row r="297" s="110" customFormat="true" ht="15" hidden="false" customHeight="false" outlineLevel="0" collapsed="false">
      <c r="AB297" s="111"/>
    </row>
    <row r="298" s="110" customFormat="true" ht="15" hidden="false" customHeight="false" outlineLevel="0" collapsed="false">
      <c r="AB298" s="111"/>
    </row>
    <row r="299" s="110" customFormat="true" ht="15" hidden="false" customHeight="false" outlineLevel="0" collapsed="false">
      <c r="AB299" s="111"/>
    </row>
    <row r="300" s="110" customFormat="true" ht="15" hidden="false" customHeight="false" outlineLevel="0" collapsed="false">
      <c r="AB300" s="111"/>
    </row>
    <row r="301" s="110" customFormat="true" ht="15" hidden="false" customHeight="false" outlineLevel="0" collapsed="false">
      <c r="AB301" s="111"/>
    </row>
    <row r="302" s="110" customFormat="true" ht="15" hidden="false" customHeight="false" outlineLevel="0" collapsed="false">
      <c r="AB302" s="111"/>
    </row>
    <row r="303" s="110" customFormat="true" ht="15" hidden="false" customHeight="false" outlineLevel="0" collapsed="false">
      <c r="AB303" s="111"/>
    </row>
    <row r="304" s="110" customFormat="true" ht="15" hidden="false" customHeight="false" outlineLevel="0" collapsed="false">
      <c r="AB304" s="111"/>
    </row>
    <row r="305" s="110" customFormat="true" ht="15" hidden="false" customHeight="false" outlineLevel="0" collapsed="false">
      <c r="AB305" s="111"/>
    </row>
    <row r="306" s="110" customFormat="true" ht="15" hidden="false" customHeight="false" outlineLevel="0" collapsed="false">
      <c r="AB306" s="111"/>
    </row>
    <row r="307" s="110" customFormat="true" ht="15" hidden="false" customHeight="false" outlineLevel="0" collapsed="false">
      <c r="AB307" s="111"/>
    </row>
    <row r="308" s="110" customFormat="true" ht="15" hidden="false" customHeight="false" outlineLevel="0" collapsed="false">
      <c r="AB308" s="111"/>
    </row>
    <row r="309" s="110" customFormat="true" ht="15" hidden="false" customHeight="false" outlineLevel="0" collapsed="false">
      <c r="AB309" s="111"/>
    </row>
    <row r="310" s="110" customFormat="true" ht="15" hidden="false" customHeight="false" outlineLevel="0" collapsed="false">
      <c r="AB310" s="111"/>
    </row>
    <row r="311" s="110" customFormat="true" ht="15" hidden="false" customHeight="false" outlineLevel="0" collapsed="false">
      <c r="AB311" s="111"/>
    </row>
    <row r="312" s="110" customFormat="true" ht="15" hidden="false" customHeight="false" outlineLevel="0" collapsed="false">
      <c r="AB312" s="111"/>
    </row>
    <row r="313" s="110" customFormat="true" ht="15" hidden="false" customHeight="false" outlineLevel="0" collapsed="false">
      <c r="AB313" s="111"/>
    </row>
    <row r="314" s="110" customFormat="true" ht="15" hidden="false" customHeight="false" outlineLevel="0" collapsed="false">
      <c r="AB314" s="111"/>
    </row>
  </sheetData>
  <mergeCells count="3">
    <mergeCell ref="K2:L2"/>
    <mergeCell ref="M2:N2"/>
    <mergeCell ref="AD2:AE2"/>
  </mergeCells>
  <conditionalFormatting sqref="T32">
    <cfRule type="expression" priority="2" aboveAverage="0" equalAverage="0" bottom="0" percent="0" rank="0" text="" dxfId="0">
      <formula>AND(COUNTIF($B$141:$B$65553, T32)+COUNTIF($B$71:$B$74, T32)+COUNTIF($B$2:$B$4, T32)+COUNTIF($B$8:$B$69, T32)+COUNTIF($C$7, T32)+COUNTIF($B$6, T32)+COUNTIF($B$95:$B$113, T32)&gt;1,NOT(ISBLANK(T32)))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28"/>
    <col collapsed="false" customWidth="true" hidden="false" outlineLevel="0" max="3" min="3" style="0" width="27.57"/>
    <col collapsed="false" customWidth="true" hidden="false" outlineLevel="0" max="4" min="4" style="0" width="21.85"/>
    <col collapsed="false" customWidth="true" hidden="false" outlineLevel="0" max="11" min="11" style="0" width="10.28"/>
    <col collapsed="false" customWidth="true" hidden="false" outlineLevel="0" max="12" min="12" style="0" width="10"/>
    <col collapsed="false" customWidth="true" hidden="false" outlineLevel="0" max="14" min="14" style="0" width="10.28"/>
    <col collapsed="false" customWidth="true" hidden="false" outlineLevel="0" max="17" min="17" style="0" width="11.14"/>
    <col collapsed="false" customWidth="true" hidden="false" outlineLevel="0" max="18" min="18" style="0" width="14.43"/>
    <col collapsed="false" customWidth="true" hidden="false" outlineLevel="0" max="19" min="19" style="0" width="13.71"/>
    <col collapsed="false" customWidth="true" hidden="false" outlineLevel="0" max="20" min="20" style="0" width="19.57"/>
    <col collapsed="false" customWidth="true" hidden="false" outlineLevel="0" max="21" min="21" style="0" width="13.85"/>
    <col collapsed="false" customWidth="true" hidden="false" outlineLevel="0" max="22" min="22" style="0" width="14.43"/>
    <col collapsed="false" customWidth="true" hidden="false" outlineLevel="0" max="23" min="23" style="0" width="16.57"/>
    <col collapsed="false" customWidth="true" hidden="false" outlineLevel="0" max="24" min="24" style="0" width="16.85"/>
    <col collapsed="false" customWidth="true" hidden="false" outlineLevel="0" max="25" min="25" style="0" width="16.14"/>
    <col collapsed="false" customWidth="true" hidden="false" outlineLevel="0" max="26" min="26" style="0" width="14.57"/>
    <col collapsed="false" customWidth="true" hidden="false" outlineLevel="0" max="28" min="27" style="0" width="18.57"/>
    <col collapsed="false" customWidth="true" hidden="false" outlineLevel="0" max="29" min="29" style="0" width="16.71"/>
    <col collapsed="false" customWidth="true" hidden="false" outlineLevel="0" max="30" min="30" style="0" width="10.85"/>
    <col collapsed="false" customWidth="true" hidden="false" outlineLevel="0" max="31" min="31" style="0" width="11"/>
  </cols>
  <sheetData>
    <row r="1" customFormat="false" ht="62.25" hidden="false" customHeight="true" outlineLevel="0" collapsed="false">
      <c r="A1" s="69" t="s">
        <v>3</v>
      </c>
      <c r="B1" s="69" t="s">
        <v>4</v>
      </c>
      <c r="C1" s="69" t="s">
        <v>5</v>
      </c>
      <c r="D1" s="33" t="s">
        <v>6</v>
      </c>
      <c r="E1" s="33" t="s">
        <v>7</v>
      </c>
      <c r="F1" s="33" t="s">
        <v>8</v>
      </c>
      <c r="G1" s="33" t="s">
        <v>9</v>
      </c>
      <c r="H1" s="33" t="s">
        <v>10</v>
      </c>
      <c r="I1" s="33" t="s">
        <v>11</v>
      </c>
      <c r="J1" s="33" t="s">
        <v>12</v>
      </c>
      <c r="K1" s="7" t="s">
        <v>13</v>
      </c>
      <c r="L1" s="7"/>
      <c r="M1" s="7" t="s">
        <v>14</v>
      </c>
      <c r="N1" s="7"/>
      <c r="O1" s="33" t="s">
        <v>15</v>
      </c>
      <c r="P1" s="33" t="s">
        <v>16</v>
      </c>
      <c r="Q1" s="7" t="s">
        <v>17</v>
      </c>
      <c r="R1" s="7" t="s">
        <v>18</v>
      </c>
      <c r="S1" s="33" t="s">
        <v>19</v>
      </c>
      <c r="T1" s="34" t="s">
        <v>20</v>
      </c>
      <c r="U1" s="33" t="s">
        <v>21</v>
      </c>
      <c r="V1" s="34" t="s">
        <v>22</v>
      </c>
      <c r="W1" s="33" t="s">
        <v>23</v>
      </c>
      <c r="X1" s="33" t="s">
        <v>24</v>
      </c>
      <c r="Y1" s="34" t="s">
        <v>25</v>
      </c>
      <c r="Z1" s="34" t="s">
        <v>26</v>
      </c>
      <c r="AA1" s="34" t="s">
        <v>27</v>
      </c>
      <c r="AB1" s="34" t="s">
        <v>28</v>
      </c>
      <c r="AC1" s="34" t="s">
        <v>29</v>
      </c>
      <c r="AD1" s="35" t="s">
        <v>30</v>
      </c>
      <c r="AE1" s="35"/>
    </row>
    <row r="2" customFormat="false" ht="15.75" hidden="false" customHeight="true" outlineLevel="0" collapsed="false">
      <c r="A2" s="6"/>
      <c r="B2" s="6"/>
      <c r="C2" s="6"/>
      <c r="D2" s="7"/>
      <c r="E2" s="7"/>
      <c r="F2" s="7" t="s">
        <v>31</v>
      </c>
      <c r="G2" s="7" t="s">
        <v>32</v>
      </c>
      <c r="H2" s="7" t="s">
        <v>32</v>
      </c>
      <c r="I2" s="7" t="s">
        <v>32</v>
      </c>
      <c r="J2" s="7" t="s">
        <v>32</v>
      </c>
      <c r="K2" s="7" t="s">
        <v>32</v>
      </c>
      <c r="L2" s="7" t="s">
        <v>33</v>
      </c>
      <c r="M2" s="7"/>
      <c r="N2" s="7" t="s">
        <v>33</v>
      </c>
      <c r="O2" s="7" t="s">
        <v>31</v>
      </c>
      <c r="P2" s="7" t="s">
        <v>31</v>
      </c>
      <c r="Q2" s="7" t="s">
        <v>34</v>
      </c>
      <c r="R2" s="7" t="s">
        <v>35</v>
      </c>
      <c r="S2" s="7" t="s">
        <v>31</v>
      </c>
      <c r="T2" s="35" t="s">
        <v>31</v>
      </c>
      <c r="U2" s="7" t="s">
        <v>34</v>
      </c>
      <c r="V2" s="7" t="s">
        <v>34</v>
      </c>
      <c r="W2" s="35" t="s">
        <v>34</v>
      </c>
      <c r="X2" s="35" t="s">
        <v>34</v>
      </c>
      <c r="Y2" s="35" t="s">
        <v>31</v>
      </c>
      <c r="Z2" s="35" t="s">
        <v>34</v>
      </c>
      <c r="AA2" s="35" t="s">
        <v>34</v>
      </c>
      <c r="AB2" s="34" t="s">
        <v>31</v>
      </c>
      <c r="AC2" s="7" t="s">
        <v>36</v>
      </c>
      <c r="AD2" s="35" t="s">
        <v>37</v>
      </c>
      <c r="AE2" s="35" t="s">
        <v>38</v>
      </c>
    </row>
    <row r="3" customFormat="false" ht="15" hidden="false" customHeight="false" outlineLevel="0" collapsed="false">
      <c r="A3" s="94" t="s">
        <v>39</v>
      </c>
      <c r="B3" s="95" t="s">
        <v>849</v>
      </c>
      <c r="C3" s="95" t="s">
        <v>850</v>
      </c>
      <c r="D3" s="94" t="s">
        <v>851</v>
      </c>
      <c r="E3" s="95" t="n">
        <v>103779</v>
      </c>
      <c r="F3" s="94" t="n">
        <v>1549.95</v>
      </c>
      <c r="G3" s="94" t="n">
        <v>339</v>
      </c>
      <c r="H3" s="94" t="n">
        <v>1843</v>
      </c>
      <c r="I3" s="94" t="n">
        <v>949</v>
      </c>
      <c r="J3" s="94" t="n">
        <v>894</v>
      </c>
      <c r="K3" s="94" t="n">
        <v>520</v>
      </c>
      <c r="L3" s="112" t="n">
        <f aca="false">K3/H3*100</f>
        <v>28.2148670645686</v>
      </c>
      <c r="M3" s="94" t="n">
        <v>30</v>
      </c>
      <c r="N3" s="112" t="n">
        <f aca="false">O3/H3*100</f>
        <v>2.71676614215952</v>
      </c>
      <c r="O3" s="94" t="n">
        <v>50.07</v>
      </c>
      <c r="P3" s="94" t="n">
        <v>0</v>
      </c>
      <c r="Q3" s="113" t="s">
        <v>45</v>
      </c>
      <c r="R3" s="113" t="s">
        <v>262</v>
      </c>
      <c r="S3" s="112"/>
      <c r="T3" s="114" t="n">
        <v>120.42</v>
      </c>
      <c r="U3" s="112" t="s">
        <v>49</v>
      </c>
      <c r="V3" s="112" t="s">
        <v>49</v>
      </c>
      <c r="W3" s="112"/>
      <c r="X3" s="112"/>
      <c r="Y3" s="112"/>
      <c r="Z3" s="112"/>
      <c r="AA3" s="112" t="s">
        <v>82</v>
      </c>
      <c r="AB3" s="112" t="n">
        <v>3</v>
      </c>
      <c r="AC3" s="115" t="s">
        <v>852</v>
      </c>
      <c r="AD3" s="116" t="n">
        <v>24.837742</v>
      </c>
      <c r="AE3" s="116" t="n">
        <v>76.358066</v>
      </c>
    </row>
    <row r="4" customFormat="false" ht="15" hidden="false" customHeight="false" outlineLevel="0" collapsed="false">
      <c r="A4" s="94" t="s">
        <v>39</v>
      </c>
      <c r="B4" s="95" t="s">
        <v>849</v>
      </c>
      <c r="C4" s="95" t="s">
        <v>850</v>
      </c>
      <c r="D4" s="94" t="s">
        <v>853</v>
      </c>
      <c r="E4" s="95" t="n">
        <v>103780</v>
      </c>
      <c r="F4" s="94" t="n">
        <v>254.3</v>
      </c>
      <c r="G4" s="94" t="n">
        <v>57</v>
      </c>
      <c r="H4" s="94" t="n">
        <v>269</v>
      </c>
      <c r="I4" s="94" t="n">
        <v>138</v>
      </c>
      <c r="J4" s="94" t="n">
        <v>131</v>
      </c>
      <c r="K4" s="94" t="n">
        <v>152</v>
      </c>
      <c r="L4" s="112" t="n">
        <f aca="false">K4/H4*100</f>
        <v>56.5055762081784</v>
      </c>
      <c r="M4" s="94" t="n">
        <v>102</v>
      </c>
      <c r="N4" s="112" t="n">
        <f aca="false">O4/H4*100</f>
        <v>2.07434944237918</v>
      </c>
      <c r="O4" s="94" t="n">
        <v>5.58</v>
      </c>
      <c r="P4" s="94" t="n">
        <v>0</v>
      </c>
      <c r="Q4" s="113" t="s">
        <v>45</v>
      </c>
      <c r="R4" s="113" t="s">
        <v>262</v>
      </c>
      <c r="S4" s="112"/>
      <c r="T4" s="114" t="n">
        <v>76.55</v>
      </c>
      <c r="U4" s="112"/>
      <c r="V4" s="112" t="s">
        <v>49</v>
      </c>
      <c r="W4" s="112" t="s">
        <v>49</v>
      </c>
      <c r="X4" s="112" t="s">
        <v>49</v>
      </c>
      <c r="Y4" s="112" t="s">
        <v>49</v>
      </c>
      <c r="Z4" s="112" t="s">
        <v>49</v>
      </c>
      <c r="AA4" s="112" t="s">
        <v>82</v>
      </c>
      <c r="AB4" s="117" t="n">
        <v>2.5</v>
      </c>
      <c r="AC4" s="115" t="s">
        <v>852</v>
      </c>
      <c r="AD4" s="116" t="n">
        <v>24.898201</v>
      </c>
      <c r="AE4" s="116" t="n">
        <v>76.28711</v>
      </c>
    </row>
    <row r="5" customFormat="false" ht="15" hidden="false" customHeight="false" outlineLevel="0" collapsed="false">
      <c r="A5" s="94"/>
      <c r="B5" s="95"/>
      <c r="C5" s="95" t="s">
        <v>850</v>
      </c>
      <c r="D5" s="94" t="s">
        <v>853</v>
      </c>
      <c r="E5" s="95"/>
      <c r="F5" s="94"/>
      <c r="G5" s="94"/>
      <c r="H5" s="94"/>
      <c r="I5" s="94"/>
      <c r="J5" s="94"/>
      <c r="K5" s="94"/>
      <c r="L5" s="112" t="e">
        <f aca="false">K5/H5*100</f>
        <v>#DIV/0!</v>
      </c>
      <c r="M5" s="94"/>
      <c r="N5" s="112" t="e">
        <f aca="false">O5/H5*100</f>
        <v>#DIV/0!</v>
      </c>
      <c r="O5" s="94"/>
      <c r="P5" s="94"/>
      <c r="Q5" s="118" t="s">
        <v>43</v>
      </c>
      <c r="R5" s="118" t="s">
        <v>854</v>
      </c>
      <c r="S5" s="112"/>
      <c r="T5" s="118"/>
      <c r="U5" s="112"/>
      <c r="V5" s="112"/>
      <c r="W5" s="112"/>
      <c r="X5" s="112"/>
      <c r="Y5" s="112"/>
      <c r="Z5" s="112"/>
      <c r="AA5" s="118"/>
      <c r="AB5" s="118"/>
      <c r="AC5" s="115" t="s">
        <v>852</v>
      </c>
      <c r="AD5" s="118" t="n">
        <v>24.8982</v>
      </c>
      <c r="AE5" s="118" t="n">
        <v>76.28711</v>
      </c>
    </row>
    <row r="6" customFormat="false" ht="15" hidden="false" customHeight="false" outlineLevel="0" collapsed="false">
      <c r="A6" s="94" t="s">
        <v>39</v>
      </c>
      <c r="B6" s="95" t="s">
        <v>849</v>
      </c>
      <c r="C6" s="95" t="s">
        <v>850</v>
      </c>
      <c r="D6" s="113" t="s">
        <v>855</v>
      </c>
      <c r="E6" s="95" t="n">
        <v>103781</v>
      </c>
      <c r="F6" s="94" t="n">
        <v>449.73</v>
      </c>
      <c r="G6" s="94" t="n">
        <v>96</v>
      </c>
      <c r="H6" s="94" t="n">
        <v>539</v>
      </c>
      <c r="I6" s="94" t="n">
        <v>282</v>
      </c>
      <c r="J6" s="94" t="n">
        <v>257</v>
      </c>
      <c r="K6" s="94" t="n">
        <v>278</v>
      </c>
      <c r="L6" s="112" t="n">
        <f aca="false">K6/H6*100</f>
        <v>51.5769944341373</v>
      </c>
      <c r="M6" s="94" t="n">
        <v>0</v>
      </c>
      <c r="N6" s="112" t="n">
        <f aca="false">O6/H6*100</f>
        <v>2.4100185528757</v>
      </c>
      <c r="O6" s="94" t="n">
        <v>12.99</v>
      </c>
      <c r="P6" s="94" t="n">
        <v>0</v>
      </c>
      <c r="Q6" s="113" t="s">
        <v>45</v>
      </c>
      <c r="R6" s="113" t="s">
        <v>322</v>
      </c>
      <c r="S6" s="112"/>
      <c r="T6" s="114" t="n">
        <v>52.511</v>
      </c>
      <c r="U6" s="112"/>
      <c r="V6" s="112"/>
      <c r="W6" s="112"/>
      <c r="X6" s="112"/>
      <c r="Y6" s="112"/>
      <c r="Z6" s="112"/>
      <c r="AA6" s="112" t="s">
        <v>82</v>
      </c>
      <c r="AB6" s="112" t="n">
        <v>2</v>
      </c>
      <c r="AC6" s="115" t="s">
        <v>852</v>
      </c>
      <c r="AD6" s="116" t="n">
        <v>24.841969</v>
      </c>
      <c r="AE6" s="116" t="n">
        <v>76.34697</v>
      </c>
    </row>
    <row r="7" customFormat="false" ht="16.5" hidden="false" customHeight="false" outlineLevel="0" collapsed="false">
      <c r="A7" s="94" t="s">
        <v>39</v>
      </c>
      <c r="B7" s="95" t="s">
        <v>849</v>
      </c>
      <c r="C7" s="95" t="s">
        <v>850</v>
      </c>
      <c r="D7" s="94" t="s">
        <v>856</v>
      </c>
      <c r="E7" s="95" t="n">
        <v>103782</v>
      </c>
      <c r="F7" s="94" t="n">
        <v>724.04</v>
      </c>
      <c r="G7" s="94" t="n">
        <v>173</v>
      </c>
      <c r="H7" s="94" t="n">
        <v>923</v>
      </c>
      <c r="I7" s="94" t="n">
        <v>510</v>
      </c>
      <c r="J7" s="94" t="n">
        <v>413</v>
      </c>
      <c r="K7" s="94" t="n">
        <v>319</v>
      </c>
      <c r="L7" s="112" t="n">
        <f aca="false">K7/H7*100</f>
        <v>34.5612134344529</v>
      </c>
      <c r="M7" s="94" t="n">
        <v>315</v>
      </c>
      <c r="N7" s="112" t="n">
        <f aca="false">O7/H7*100</f>
        <v>1.89815817984832</v>
      </c>
      <c r="O7" s="94" t="n">
        <v>17.52</v>
      </c>
      <c r="P7" s="94" t="n">
        <v>0</v>
      </c>
      <c r="Q7" s="94"/>
      <c r="R7" s="119"/>
      <c r="S7" s="112"/>
      <c r="T7" s="94"/>
      <c r="U7" s="112"/>
      <c r="V7" s="112"/>
      <c r="W7" s="112"/>
      <c r="X7" s="112"/>
      <c r="Y7" s="112"/>
      <c r="Z7" s="112"/>
      <c r="AA7" s="94"/>
      <c r="AB7" s="94"/>
      <c r="AC7" s="120"/>
      <c r="AD7" s="94"/>
      <c r="AE7" s="94"/>
    </row>
    <row r="8" customFormat="false" ht="16.5" hidden="false" customHeight="false" outlineLevel="0" collapsed="false">
      <c r="A8" s="94" t="s">
        <v>39</v>
      </c>
      <c r="B8" s="95" t="s">
        <v>849</v>
      </c>
      <c r="C8" s="95" t="s">
        <v>857</v>
      </c>
      <c r="D8" s="94" t="s">
        <v>858</v>
      </c>
      <c r="E8" s="95" t="n">
        <v>103883</v>
      </c>
      <c r="F8" s="94" t="n">
        <v>244.19</v>
      </c>
      <c r="G8" s="94" t="n">
        <v>123</v>
      </c>
      <c r="H8" s="94" t="n">
        <v>660</v>
      </c>
      <c r="I8" s="94" t="n">
        <v>332</v>
      </c>
      <c r="J8" s="94" t="n">
        <v>328</v>
      </c>
      <c r="K8" s="94" t="n">
        <v>203</v>
      </c>
      <c r="L8" s="112" t="n">
        <f aca="false">K8/H8*100</f>
        <v>30.7575757575758</v>
      </c>
      <c r="M8" s="94" t="n">
        <v>76</v>
      </c>
      <c r="N8" s="112" t="n">
        <f aca="false">O8/H8*100</f>
        <v>1.68181818181818</v>
      </c>
      <c r="O8" s="94" t="n">
        <v>11.1</v>
      </c>
      <c r="P8" s="94" t="n">
        <v>0</v>
      </c>
      <c r="Q8" s="113" t="s">
        <v>45</v>
      </c>
      <c r="R8" s="113" t="s">
        <v>325</v>
      </c>
      <c r="S8" s="112"/>
      <c r="T8" s="114" t="n">
        <v>23.139</v>
      </c>
      <c r="U8" s="112"/>
      <c r="V8" s="112" t="s">
        <v>49</v>
      </c>
      <c r="W8" s="112"/>
      <c r="X8" s="112"/>
      <c r="Y8" s="112"/>
      <c r="Z8" s="112"/>
      <c r="AA8" s="121" t="s">
        <v>45</v>
      </c>
      <c r="AB8" s="121" t="n">
        <v>2</v>
      </c>
      <c r="AC8" s="122" t="s">
        <v>859</v>
      </c>
      <c r="AD8" s="116" t="n">
        <v>24.607755</v>
      </c>
      <c r="AE8" s="116" t="n">
        <v>76.298834</v>
      </c>
    </row>
    <row r="9" customFormat="false" ht="15" hidden="false" customHeight="false" outlineLevel="0" collapsed="false">
      <c r="A9" s="94" t="s">
        <v>39</v>
      </c>
      <c r="B9" s="95" t="s">
        <v>849</v>
      </c>
      <c r="C9" s="95" t="s">
        <v>860</v>
      </c>
      <c r="D9" s="94" t="s">
        <v>861</v>
      </c>
      <c r="E9" s="95" t="n">
        <v>103784</v>
      </c>
      <c r="F9" s="94" t="n">
        <v>918.95</v>
      </c>
      <c r="G9" s="94" t="n">
        <v>175</v>
      </c>
      <c r="H9" s="94" t="n">
        <v>979</v>
      </c>
      <c r="I9" s="94" t="n">
        <v>508</v>
      </c>
      <c r="J9" s="94" t="n">
        <v>471</v>
      </c>
      <c r="K9" s="94" t="n">
        <v>261</v>
      </c>
      <c r="L9" s="112" t="n">
        <f aca="false">K9/H9*100</f>
        <v>26.6598569969356</v>
      </c>
      <c r="M9" s="94" t="n">
        <v>115</v>
      </c>
      <c r="N9" s="112" t="n">
        <f aca="false">O9/H9*100</f>
        <v>2.76404494382022</v>
      </c>
      <c r="O9" s="94" t="n">
        <v>27.06</v>
      </c>
      <c r="P9" s="94" t="n">
        <v>423.08</v>
      </c>
      <c r="Q9" s="123"/>
      <c r="R9" s="124"/>
      <c r="S9" s="112"/>
      <c r="T9" s="123"/>
      <c r="U9" s="112"/>
      <c r="V9" s="112" t="s">
        <v>49</v>
      </c>
      <c r="W9" s="112"/>
      <c r="X9" s="112"/>
      <c r="Y9" s="112"/>
      <c r="Z9" s="112"/>
      <c r="AA9" s="123"/>
      <c r="AB9" s="123"/>
      <c r="AC9" s="118" t="s">
        <v>859</v>
      </c>
      <c r="AD9" s="123"/>
      <c r="AE9" s="123"/>
    </row>
    <row r="10" customFormat="false" ht="15" hidden="false" customHeight="false" outlineLevel="0" collapsed="false">
      <c r="A10" s="94" t="s">
        <v>39</v>
      </c>
      <c r="B10" s="95" t="s">
        <v>849</v>
      </c>
      <c r="C10" s="95" t="s">
        <v>860</v>
      </c>
      <c r="D10" s="94" t="s">
        <v>862</v>
      </c>
      <c r="E10" s="95" t="n">
        <v>103785</v>
      </c>
      <c r="F10" s="94" t="n">
        <v>232.36</v>
      </c>
      <c r="G10" s="94"/>
      <c r="H10" s="94" t="n">
        <v>0</v>
      </c>
      <c r="I10" s="94"/>
      <c r="J10" s="94"/>
      <c r="K10" s="94"/>
      <c r="L10" s="112" t="e">
        <f aca="false">K10/H10*100</f>
        <v>#DIV/0!</v>
      </c>
      <c r="M10" s="94"/>
      <c r="N10" s="112" t="e">
        <f aca="false">O10/H10*100</f>
        <v>#DIV/0!</v>
      </c>
      <c r="O10" s="94" t="n">
        <v>0</v>
      </c>
      <c r="P10" s="94" t="n">
        <v>217.41</v>
      </c>
      <c r="Q10" s="94"/>
      <c r="R10" s="119"/>
      <c r="S10" s="112"/>
      <c r="T10" s="94"/>
      <c r="U10" s="112"/>
      <c r="V10" s="112"/>
      <c r="W10" s="112"/>
      <c r="X10" s="112"/>
      <c r="Y10" s="112"/>
      <c r="Z10" s="112"/>
      <c r="AA10" s="94"/>
      <c r="AB10" s="94"/>
      <c r="AC10" s="125"/>
      <c r="AD10" s="94"/>
      <c r="AE10" s="94"/>
    </row>
    <row r="11" customFormat="false" ht="15" hidden="false" customHeight="false" outlineLevel="0" collapsed="false">
      <c r="A11" s="94" t="s">
        <v>39</v>
      </c>
      <c r="B11" s="95" t="s">
        <v>849</v>
      </c>
      <c r="C11" s="95" t="s">
        <v>863</v>
      </c>
      <c r="D11" s="94" t="s">
        <v>864</v>
      </c>
      <c r="E11" s="95" t="n">
        <v>103786</v>
      </c>
      <c r="F11" s="94" t="n">
        <v>112.49</v>
      </c>
      <c r="G11" s="94" t="n">
        <v>67</v>
      </c>
      <c r="H11" s="94" t="n">
        <v>343</v>
      </c>
      <c r="I11" s="94" t="n">
        <v>180</v>
      </c>
      <c r="J11" s="94" t="n">
        <v>163</v>
      </c>
      <c r="K11" s="94" t="n">
        <v>76</v>
      </c>
      <c r="L11" s="112" t="n">
        <f aca="false">K11/H11*100</f>
        <v>22.1574344023324</v>
      </c>
      <c r="M11" s="94" t="n">
        <v>131</v>
      </c>
      <c r="N11" s="112" t="n">
        <f aca="false">O11/H11*100</f>
        <v>1.75801749271137</v>
      </c>
      <c r="O11" s="94" t="n">
        <v>6.03</v>
      </c>
      <c r="P11" s="94" t="n">
        <v>0</v>
      </c>
      <c r="Q11" s="113" t="s">
        <v>45</v>
      </c>
      <c r="R11" s="113" t="s">
        <v>234</v>
      </c>
      <c r="S11" s="112"/>
      <c r="T11" s="114" t="n">
        <v>57.99</v>
      </c>
      <c r="U11" s="112" t="s">
        <v>49</v>
      </c>
      <c r="V11" s="112" t="s">
        <v>49</v>
      </c>
      <c r="W11" s="112"/>
      <c r="X11" s="112"/>
      <c r="Y11" s="112"/>
      <c r="Z11" s="112"/>
      <c r="AA11" s="112" t="s">
        <v>82</v>
      </c>
      <c r="AB11" s="117" t="n">
        <v>1.05</v>
      </c>
      <c r="AC11" s="115" t="s">
        <v>852</v>
      </c>
      <c r="AD11" s="116" t="n">
        <v>24.79</v>
      </c>
      <c r="AE11" s="116" t="n">
        <v>76.408833</v>
      </c>
    </row>
    <row r="12" customFormat="false" ht="15" hidden="false" customHeight="false" outlineLevel="0" collapsed="false">
      <c r="A12" s="94" t="s">
        <v>39</v>
      </c>
      <c r="B12" s="95" t="s">
        <v>849</v>
      </c>
      <c r="C12" s="95" t="s">
        <v>863</v>
      </c>
      <c r="D12" s="94" t="s">
        <v>865</v>
      </c>
      <c r="E12" s="95" t="n">
        <v>103787</v>
      </c>
      <c r="F12" s="94" t="n">
        <v>448.39</v>
      </c>
      <c r="G12" s="94" t="n">
        <v>103</v>
      </c>
      <c r="H12" s="94" t="n">
        <v>511</v>
      </c>
      <c r="I12" s="94" t="n">
        <v>261</v>
      </c>
      <c r="J12" s="94" t="n">
        <v>250</v>
      </c>
      <c r="K12" s="94" t="n">
        <v>66</v>
      </c>
      <c r="L12" s="112" t="n">
        <f aca="false">K12/H12*100</f>
        <v>12.9158512720157</v>
      </c>
      <c r="M12" s="94" t="n">
        <v>275</v>
      </c>
      <c r="N12" s="112" t="n">
        <f aca="false">O12/H12*100</f>
        <v>6.4853228962818</v>
      </c>
      <c r="O12" s="94" t="n">
        <v>33.14</v>
      </c>
      <c r="P12" s="94" t="n">
        <v>123.25</v>
      </c>
      <c r="Q12" s="113" t="s">
        <v>45</v>
      </c>
      <c r="R12" s="126" t="n">
        <v>44868</v>
      </c>
      <c r="S12" s="112"/>
      <c r="T12" s="114" t="n">
        <v>167.28</v>
      </c>
      <c r="U12" s="112" t="s">
        <v>49</v>
      </c>
      <c r="V12" s="112" t="s">
        <v>49</v>
      </c>
      <c r="W12" s="112"/>
      <c r="X12" s="112"/>
      <c r="Y12" s="112"/>
      <c r="Z12" s="112"/>
      <c r="AA12" s="112" t="s">
        <v>82</v>
      </c>
      <c r="AB12" s="112" t="n">
        <v>2</v>
      </c>
      <c r="AC12" s="115" t="s">
        <v>852</v>
      </c>
      <c r="AD12" s="116" t="n">
        <v>24.801249</v>
      </c>
      <c r="AE12" s="116" t="n">
        <v>76.408154</v>
      </c>
    </row>
    <row r="13" customFormat="false" ht="15" hidden="false" customHeight="false" outlineLevel="0" collapsed="false">
      <c r="A13" s="94" t="s">
        <v>39</v>
      </c>
      <c r="B13" s="95" t="s">
        <v>849</v>
      </c>
      <c r="C13" s="95" t="s">
        <v>863</v>
      </c>
      <c r="D13" s="94" t="s">
        <v>866</v>
      </c>
      <c r="E13" s="95" t="n">
        <v>103788</v>
      </c>
      <c r="F13" s="94" t="n">
        <v>337.68</v>
      </c>
      <c r="G13" s="94" t="n">
        <v>158</v>
      </c>
      <c r="H13" s="94" t="n">
        <v>735</v>
      </c>
      <c r="I13" s="94" t="n">
        <v>360</v>
      </c>
      <c r="J13" s="94" t="n">
        <v>375</v>
      </c>
      <c r="K13" s="94" t="n">
        <v>0</v>
      </c>
      <c r="L13" s="112" t="n">
        <f aca="false">K13/H13*100</f>
        <v>0</v>
      </c>
      <c r="M13" s="94" t="n">
        <v>0</v>
      </c>
      <c r="N13" s="112" t="n">
        <f aca="false">O13/H13*100</f>
        <v>0.133333333333333</v>
      </c>
      <c r="O13" s="94" t="n">
        <v>0.98</v>
      </c>
      <c r="P13" s="94" t="n">
        <v>297.79</v>
      </c>
      <c r="Q13" s="113" t="s">
        <v>45</v>
      </c>
      <c r="R13" s="113" t="s">
        <v>262</v>
      </c>
      <c r="S13" s="112"/>
      <c r="T13" s="114" t="n">
        <v>1.14</v>
      </c>
      <c r="U13" s="112" t="s">
        <v>49</v>
      </c>
      <c r="V13" s="112" t="s">
        <v>49</v>
      </c>
      <c r="W13" s="112"/>
      <c r="X13" s="112"/>
      <c r="Y13" s="112"/>
      <c r="Z13" s="112"/>
      <c r="AA13" s="112" t="s">
        <v>82</v>
      </c>
      <c r="AB13" s="117" t="n">
        <v>0.5</v>
      </c>
      <c r="AC13" s="115" t="s">
        <v>852</v>
      </c>
      <c r="AD13" s="116" t="n">
        <v>24.773559</v>
      </c>
      <c r="AE13" s="116" t="n">
        <v>76.420808</v>
      </c>
    </row>
    <row r="14" customFormat="false" ht="15" hidden="false" customHeight="false" outlineLevel="0" collapsed="false">
      <c r="A14" s="94" t="s">
        <v>39</v>
      </c>
      <c r="B14" s="95" t="s">
        <v>849</v>
      </c>
      <c r="C14" s="95" t="s">
        <v>863</v>
      </c>
      <c r="D14" s="94" t="s">
        <v>867</v>
      </c>
      <c r="E14" s="95" t="n">
        <v>103789</v>
      </c>
      <c r="F14" s="94" t="n">
        <v>1437.26</v>
      </c>
      <c r="G14" s="94" t="n">
        <v>484</v>
      </c>
      <c r="H14" s="94" t="n">
        <v>2424</v>
      </c>
      <c r="I14" s="94" t="n">
        <v>1280</v>
      </c>
      <c r="J14" s="94" t="n">
        <v>1144</v>
      </c>
      <c r="K14" s="94" t="n">
        <v>714</v>
      </c>
      <c r="L14" s="112" t="n">
        <f aca="false">K14/H14*100</f>
        <v>29.4554455445545</v>
      </c>
      <c r="M14" s="94" t="n">
        <v>46</v>
      </c>
      <c r="N14" s="112" t="n">
        <f aca="false">O14/H14*100</f>
        <v>0.733498349834983</v>
      </c>
      <c r="O14" s="94" t="n">
        <v>17.78</v>
      </c>
      <c r="P14" s="94" t="n">
        <v>387.65</v>
      </c>
      <c r="Q14" s="113" t="s">
        <v>45</v>
      </c>
      <c r="R14" s="126" t="n">
        <v>44837</v>
      </c>
      <c r="S14" s="112"/>
      <c r="T14" s="121" t="n">
        <v>0</v>
      </c>
      <c r="U14" s="112" t="s">
        <v>49</v>
      </c>
      <c r="V14" s="112" t="s">
        <v>49</v>
      </c>
      <c r="W14" s="112"/>
      <c r="X14" s="112"/>
      <c r="Y14" s="112"/>
      <c r="Z14" s="112"/>
      <c r="AA14" s="112" t="s">
        <v>82</v>
      </c>
      <c r="AB14" s="117" t="s">
        <v>868</v>
      </c>
      <c r="AC14" s="115" t="s">
        <v>852</v>
      </c>
      <c r="AD14" s="116" t="n">
        <v>24.784423</v>
      </c>
      <c r="AE14" s="116" t="n">
        <v>76.405986</v>
      </c>
    </row>
    <row r="15" customFormat="false" ht="15" hidden="false" customHeight="false" outlineLevel="0" collapsed="false">
      <c r="A15" s="94" t="s">
        <v>39</v>
      </c>
      <c r="B15" s="95" t="s">
        <v>849</v>
      </c>
      <c r="C15" s="95" t="s">
        <v>860</v>
      </c>
      <c r="D15" s="94" t="s">
        <v>869</v>
      </c>
      <c r="E15" s="95" t="n">
        <v>103790</v>
      </c>
      <c r="F15" s="94" t="n">
        <v>888.73</v>
      </c>
      <c r="G15" s="94" t="n">
        <v>288</v>
      </c>
      <c r="H15" s="94" t="n">
        <v>1645</v>
      </c>
      <c r="I15" s="94" t="n">
        <v>858</v>
      </c>
      <c r="J15" s="94" t="n">
        <v>787</v>
      </c>
      <c r="K15" s="94" t="n">
        <v>252</v>
      </c>
      <c r="L15" s="112" t="n">
        <f aca="false">K15/H15*100</f>
        <v>15.3191489361702</v>
      </c>
      <c r="M15" s="94" t="n">
        <v>19</v>
      </c>
      <c r="N15" s="112" t="n">
        <f aca="false">O15/H15*100</f>
        <v>4.38176291793313</v>
      </c>
      <c r="O15" s="94" t="n">
        <v>72.08</v>
      </c>
      <c r="P15" s="94" t="n">
        <v>0</v>
      </c>
      <c r="Q15" s="113" t="s">
        <v>45</v>
      </c>
      <c r="R15" s="113" t="s">
        <v>322</v>
      </c>
      <c r="S15" s="112"/>
      <c r="T15" s="114" t="n">
        <v>13.55</v>
      </c>
      <c r="U15" s="112" t="s">
        <v>49</v>
      </c>
      <c r="V15" s="112"/>
      <c r="W15" s="112"/>
      <c r="X15" s="112"/>
      <c r="Y15" s="112"/>
      <c r="Z15" s="112"/>
      <c r="AA15" s="112" t="s">
        <v>82</v>
      </c>
      <c r="AB15" s="117" t="n">
        <v>1.5</v>
      </c>
      <c r="AC15" s="115" t="s">
        <v>852</v>
      </c>
      <c r="AD15" s="116" t="n">
        <v>24.814201</v>
      </c>
      <c r="AE15" s="116" t="n">
        <v>76.392028</v>
      </c>
    </row>
    <row r="16" customFormat="false" ht="15" hidden="false" customHeight="false" outlineLevel="0" collapsed="false">
      <c r="A16" s="94" t="s">
        <v>39</v>
      </c>
      <c r="B16" s="95" t="s">
        <v>849</v>
      </c>
      <c r="C16" s="95" t="s">
        <v>870</v>
      </c>
      <c r="D16" s="94" t="s">
        <v>871</v>
      </c>
      <c r="E16" s="95" t="n">
        <v>103792</v>
      </c>
      <c r="F16" s="94" t="n">
        <v>876.98</v>
      </c>
      <c r="G16" s="94" t="n">
        <v>213</v>
      </c>
      <c r="H16" s="94" t="n">
        <v>1162</v>
      </c>
      <c r="I16" s="94" t="n">
        <v>582</v>
      </c>
      <c r="J16" s="94" t="n">
        <v>580</v>
      </c>
      <c r="K16" s="94" t="n">
        <v>302</v>
      </c>
      <c r="L16" s="112" t="n">
        <f aca="false">K16/H16*100</f>
        <v>25.9896729776248</v>
      </c>
      <c r="M16" s="94" t="n">
        <v>86</v>
      </c>
      <c r="N16" s="112" t="n">
        <f aca="false">O16/H16*100</f>
        <v>5.86833046471601</v>
      </c>
      <c r="O16" s="94" t="n">
        <v>68.19</v>
      </c>
      <c r="P16" s="94" t="n">
        <v>0</v>
      </c>
      <c r="Q16" s="94"/>
      <c r="R16" s="127"/>
      <c r="S16" s="112"/>
      <c r="T16" s="112"/>
      <c r="U16" s="112"/>
      <c r="V16" s="112"/>
      <c r="W16" s="112"/>
      <c r="X16" s="112"/>
      <c r="Y16" s="112"/>
      <c r="Z16" s="112"/>
      <c r="AA16" s="94"/>
      <c r="AB16" s="112"/>
      <c r="AC16" s="128"/>
      <c r="AD16" s="112"/>
      <c r="AE16" s="112"/>
    </row>
    <row r="17" customFormat="false" ht="15" hidden="false" customHeight="false" outlineLevel="0" collapsed="false">
      <c r="A17" s="94" t="s">
        <v>39</v>
      </c>
      <c r="B17" s="95" t="s">
        <v>849</v>
      </c>
      <c r="C17" s="95" t="s">
        <v>850</v>
      </c>
      <c r="D17" s="94" t="s">
        <v>872</v>
      </c>
      <c r="E17" s="95" t="n">
        <v>103793</v>
      </c>
      <c r="F17" s="94" t="n">
        <v>191.42</v>
      </c>
      <c r="G17" s="94" t="n">
        <v>57</v>
      </c>
      <c r="H17" s="94" t="n">
        <v>364</v>
      </c>
      <c r="I17" s="94" t="n">
        <v>190</v>
      </c>
      <c r="J17" s="94" t="n">
        <v>174</v>
      </c>
      <c r="K17" s="94" t="n">
        <v>0</v>
      </c>
      <c r="L17" s="112" t="n">
        <f aca="false">K17/H17*100</f>
        <v>0</v>
      </c>
      <c r="M17" s="94" t="n">
        <v>356</v>
      </c>
      <c r="N17" s="112" t="n">
        <f aca="false">O17/H17*100</f>
        <v>7.95604395604396</v>
      </c>
      <c r="O17" s="94" t="n">
        <v>28.96</v>
      </c>
      <c r="P17" s="94" t="n">
        <v>0</v>
      </c>
      <c r="Q17" s="94"/>
      <c r="R17" s="127"/>
      <c r="S17" s="112"/>
      <c r="T17" s="112"/>
      <c r="U17" s="112"/>
      <c r="V17" s="112" t="s">
        <v>49</v>
      </c>
      <c r="W17" s="112" t="s">
        <v>49</v>
      </c>
      <c r="X17" s="112" t="s">
        <v>49</v>
      </c>
      <c r="Y17" s="112" t="s">
        <v>49</v>
      </c>
      <c r="Z17" s="112" t="s">
        <v>49</v>
      </c>
      <c r="AA17" s="94"/>
      <c r="AB17" s="112"/>
      <c r="AC17" s="129"/>
      <c r="AD17" s="112"/>
      <c r="AE17" s="112"/>
    </row>
    <row r="18" customFormat="false" ht="15" hidden="false" customHeight="false" outlineLevel="0" collapsed="false">
      <c r="A18" s="94" t="s">
        <v>39</v>
      </c>
      <c r="B18" s="95" t="s">
        <v>849</v>
      </c>
      <c r="C18" s="95" t="s">
        <v>850</v>
      </c>
      <c r="D18" s="94" t="s">
        <v>873</v>
      </c>
      <c r="E18" s="95" t="n">
        <v>103794</v>
      </c>
      <c r="F18" s="94" t="n">
        <v>216.16</v>
      </c>
      <c r="G18" s="94" t="n">
        <v>43</v>
      </c>
      <c r="H18" s="94" t="n">
        <v>249</v>
      </c>
      <c r="I18" s="94" t="n">
        <v>133</v>
      </c>
      <c r="J18" s="94" t="n">
        <v>116</v>
      </c>
      <c r="K18" s="94" t="n">
        <v>36</v>
      </c>
      <c r="L18" s="112" t="n">
        <f aca="false">K18/H18*100</f>
        <v>14.4578313253012</v>
      </c>
      <c r="M18" s="94" t="n">
        <v>210</v>
      </c>
      <c r="N18" s="112" t="n">
        <f aca="false">O18/H18*100</f>
        <v>8.14056224899598</v>
      </c>
      <c r="O18" s="94" t="n">
        <v>20.27</v>
      </c>
      <c r="P18" s="94" t="n">
        <v>0</v>
      </c>
      <c r="Q18" s="94"/>
      <c r="R18" s="127"/>
      <c r="S18" s="112"/>
      <c r="T18" s="112"/>
      <c r="U18" s="112"/>
      <c r="V18" s="112"/>
      <c r="W18" s="112"/>
      <c r="X18" s="112"/>
      <c r="Y18" s="112"/>
      <c r="Z18" s="112"/>
      <c r="AA18" s="94"/>
      <c r="AB18" s="112"/>
      <c r="AC18" s="129"/>
      <c r="AD18" s="112"/>
      <c r="AE18" s="112"/>
    </row>
    <row r="19" customFormat="false" ht="15" hidden="false" customHeight="false" outlineLevel="0" collapsed="false">
      <c r="A19" s="94" t="s">
        <v>39</v>
      </c>
      <c r="B19" s="95" t="s">
        <v>849</v>
      </c>
      <c r="C19" s="95" t="s">
        <v>850</v>
      </c>
      <c r="D19" s="94" t="s">
        <v>874</v>
      </c>
      <c r="E19" s="95" t="n">
        <v>103795</v>
      </c>
      <c r="F19" s="94" t="n">
        <v>120.3</v>
      </c>
      <c r="G19" s="94" t="n">
        <v>50</v>
      </c>
      <c r="H19" s="94" t="n">
        <v>305</v>
      </c>
      <c r="I19" s="94" t="n">
        <v>156</v>
      </c>
      <c r="J19" s="94" t="n">
        <v>149</v>
      </c>
      <c r="K19" s="94" t="n">
        <v>184</v>
      </c>
      <c r="L19" s="112" t="n">
        <f aca="false">K19/H19*100</f>
        <v>60.327868852459</v>
      </c>
      <c r="M19" s="94" t="n">
        <v>91</v>
      </c>
      <c r="N19" s="112" t="n">
        <f aca="false">O19/H19*100</f>
        <v>3.72459016393443</v>
      </c>
      <c r="O19" s="94" t="n">
        <v>11.36</v>
      </c>
      <c r="P19" s="94" t="n">
        <v>0</v>
      </c>
      <c r="Q19" s="94"/>
      <c r="R19" s="127"/>
      <c r="S19" s="112"/>
      <c r="T19" s="112"/>
      <c r="U19" s="112"/>
      <c r="V19" s="112"/>
      <c r="W19" s="112"/>
      <c r="X19" s="112"/>
      <c r="Y19" s="112"/>
      <c r="Z19" s="112"/>
      <c r="AA19" s="94"/>
      <c r="AB19" s="112"/>
      <c r="AC19" s="129"/>
      <c r="AD19" s="112"/>
      <c r="AE19" s="112"/>
    </row>
    <row r="20" customFormat="false" ht="15" hidden="false" customHeight="false" outlineLevel="0" collapsed="false">
      <c r="A20" s="94" t="s">
        <v>39</v>
      </c>
      <c r="B20" s="95" t="s">
        <v>849</v>
      </c>
      <c r="C20" s="95" t="s">
        <v>870</v>
      </c>
      <c r="D20" s="94" t="s">
        <v>875</v>
      </c>
      <c r="E20" s="95" t="n">
        <v>103796</v>
      </c>
      <c r="F20" s="94" t="n">
        <v>139.66</v>
      </c>
      <c r="G20" s="94" t="n">
        <v>78</v>
      </c>
      <c r="H20" s="94" t="n">
        <v>457</v>
      </c>
      <c r="I20" s="94" t="n">
        <v>250</v>
      </c>
      <c r="J20" s="94" t="n">
        <v>207</v>
      </c>
      <c r="K20" s="94" t="n">
        <v>6</v>
      </c>
      <c r="L20" s="112" t="n">
        <f aca="false">K20/H20*100</f>
        <v>1.3129102844639</v>
      </c>
      <c r="M20" s="94" t="n">
        <v>0</v>
      </c>
      <c r="N20" s="112" t="n">
        <f aca="false">O20/H20*100</f>
        <v>5.97592997811816</v>
      </c>
      <c r="O20" s="94" t="n">
        <v>27.31</v>
      </c>
      <c r="P20" s="94" t="n">
        <v>0</v>
      </c>
      <c r="Q20" s="94"/>
      <c r="R20" s="127"/>
      <c r="S20" s="112"/>
      <c r="T20" s="112"/>
      <c r="U20" s="112"/>
      <c r="V20" s="112"/>
      <c r="W20" s="112"/>
      <c r="X20" s="112"/>
      <c r="Y20" s="112"/>
      <c r="Z20" s="112"/>
      <c r="AA20" s="94"/>
      <c r="AB20" s="112"/>
      <c r="AC20" s="129"/>
      <c r="AD20" s="112"/>
      <c r="AE20" s="112"/>
    </row>
    <row r="21" customFormat="false" ht="15" hidden="false" customHeight="false" outlineLevel="0" collapsed="false">
      <c r="A21" s="94" t="s">
        <v>39</v>
      </c>
      <c r="B21" s="95" t="s">
        <v>849</v>
      </c>
      <c r="C21" s="95" t="s">
        <v>870</v>
      </c>
      <c r="D21" s="94" t="s">
        <v>876</v>
      </c>
      <c r="E21" s="95" t="n">
        <v>103797</v>
      </c>
      <c r="F21" s="94" t="n">
        <v>306.68</v>
      </c>
      <c r="G21" s="94" t="n">
        <v>68</v>
      </c>
      <c r="H21" s="94" t="n">
        <v>394</v>
      </c>
      <c r="I21" s="94" t="n">
        <v>215</v>
      </c>
      <c r="J21" s="94" t="n">
        <v>179</v>
      </c>
      <c r="K21" s="94" t="n">
        <v>0</v>
      </c>
      <c r="L21" s="112" t="n">
        <f aca="false">K21/H21*100</f>
        <v>0</v>
      </c>
      <c r="M21" s="94" t="n">
        <v>163</v>
      </c>
      <c r="N21" s="112" t="n">
        <f aca="false">O21/H21*100</f>
        <v>6.71827411167513</v>
      </c>
      <c r="O21" s="94" t="n">
        <v>26.47</v>
      </c>
      <c r="P21" s="94" t="n">
        <v>0</v>
      </c>
      <c r="Q21" s="123"/>
      <c r="R21" s="124"/>
      <c r="S21" s="112"/>
      <c r="T21" s="123"/>
      <c r="U21" s="112"/>
      <c r="V21" s="112"/>
      <c r="W21" s="112"/>
      <c r="X21" s="112"/>
      <c r="Y21" s="112"/>
      <c r="Z21" s="112"/>
      <c r="AA21" s="123"/>
      <c r="AB21" s="123"/>
      <c r="AC21" s="130"/>
      <c r="AD21" s="123"/>
      <c r="AE21" s="123"/>
    </row>
    <row r="22" customFormat="false" ht="15" hidden="false" customHeight="false" outlineLevel="0" collapsed="false">
      <c r="A22" s="94" t="s">
        <v>39</v>
      </c>
      <c r="B22" s="95" t="s">
        <v>849</v>
      </c>
      <c r="C22" s="95" t="s">
        <v>870</v>
      </c>
      <c r="D22" s="94" t="s">
        <v>620</v>
      </c>
      <c r="E22" s="95" t="n">
        <v>103798</v>
      </c>
      <c r="F22" s="94" t="n">
        <v>141.49</v>
      </c>
      <c r="G22" s="94" t="n">
        <v>64</v>
      </c>
      <c r="H22" s="94" t="n">
        <v>372</v>
      </c>
      <c r="I22" s="94" t="n">
        <v>202</v>
      </c>
      <c r="J22" s="94" t="n">
        <v>170</v>
      </c>
      <c r="K22" s="94" t="n">
        <v>88</v>
      </c>
      <c r="L22" s="112" t="n">
        <f aca="false">K22/H22*100</f>
        <v>23.6559139784946</v>
      </c>
      <c r="M22" s="94" t="n">
        <v>190</v>
      </c>
      <c r="N22" s="112" t="n">
        <f aca="false">O22/H22*100</f>
        <v>7.52688172043011</v>
      </c>
      <c r="O22" s="94" t="n">
        <v>28</v>
      </c>
      <c r="P22" s="94" t="n">
        <v>0</v>
      </c>
      <c r="Q22" s="94"/>
      <c r="R22" s="127"/>
      <c r="S22" s="112"/>
      <c r="T22" s="112"/>
      <c r="U22" s="112"/>
      <c r="V22" s="112"/>
      <c r="W22" s="112"/>
      <c r="X22" s="112"/>
      <c r="Y22" s="112"/>
      <c r="Z22" s="112"/>
      <c r="AA22" s="94"/>
      <c r="AB22" s="112"/>
      <c r="AC22" s="129"/>
      <c r="AD22" s="112"/>
      <c r="AE22" s="112"/>
    </row>
    <row r="23" customFormat="false" ht="15" hidden="false" customHeight="false" outlineLevel="0" collapsed="false">
      <c r="A23" s="94" t="s">
        <v>39</v>
      </c>
      <c r="B23" s="95" t="s">
        <v>849</v>
      </c>
      <c r="C23" s="95" t="s">
        <v>877</v>
      </c>
      <c r="D23" s="94" t="s">
        <v>878</v>
      </c>
      <c r="E23" s="95" t="n">
        <v>103800</v>
      </c>
      <c r="F23" s="94" t="n">
        <v>177.51</v>
      </c>
      <c r="G23" s="94" t="n">
        <v>46</v>
      </c>
      <c r="H23" s="94" t="n">
        <v>353</v>
      </c>
      <c r="I23" s="94" t="n">
        <v>188</v>
      </c>
      <c r="J23" s="94" t="n">
        <v>165</v>
      </c>
      <c r="K23" s="94" t="n">
        <v>126</v>
      </c>
      <c r="L23" s="112" t="n">
        <f aca="false">K23/H23*100</f>
        <v>35.6940509915014</v>
      </c>
      <c r="M23" s="94" t="n">
        <v>211</v>
      </c>
      <c r="N23" s="112" t="n">
        <f aca="false">O23/H23*100</f>
        <v>4.92067988668555</v>
      </c>
      <c r="O23" s="94" t="n">
        <v>17.37</v>
      </c>
      <c r="P23" s="94" t="n">
        <v>0</v>
      </c>
      <c r="Q23" s="94"/>
      <c r="R23" s="127"/>
      <c r="S23" s="112"/>
      <c r="T23" s="112"/>
      <c r="U23" s="112"/>
      <c r="V23" s="112" t="s">
        <v>49</v>
      </c>
      <c r="W23" s="112"/>
      <c r="X23" s="112"/>
      <c r="Y23" s="112"/>
      <c r="Z23" s="112"/>
      <c r="AA23" s="94"/>
      <c r="AB23" s="112"/>
      <c r="AC23" s="129"/>
      <c r="AD23" s="112"/>
      <c r="AE23" s="112"/>
    </row>
    <row r="24" customFormat="false" ht="15" hidden="false" customHeight="false" outlineLevel="0" collapsed="false">
      <c r="A24" s="94" t="s">
        <v>39</v>
      </c>
      <c r="B24" s="95" t="s">
        <v>849</v>
      </c>
      <c r="C24" s="95" t="s">
        <v>877</v>
      </c>
      <c r="D24" s="94" t="s">
        <v>879</v>
      </c>
      <c r="E24" s="95" t="n">
        <v>103801</v>
      </c>
      <c r="F24" s="94" t="n">
        <v>251.21</v>
      </c>
      <c r="G24" s="94" t="n">
        <v>98</v>
      </c>
      <c r="H24" s="94" t="n">
        <v>447</v>
      </c>
      <c r="I24" s="94" t="n">
        <v>252</v>
      </c>
      <c r="J24" s="94" t="n">
        <v>195</v>
      </c>
      <c r="K24" s="94" t="n">
        <v>109</v>
      </c>
      <c r="L24" s="112" t="n">
        <f aca="false">K24/H24*100</f>
        <v>24.3847874720358</v>
      </c>
      <c r="M24" s="94" t="n">
        <v>180</v>
      </c>
      <c r="N24" s="112" t="n">
        <f aca="false">O24/H24*100</f>
        <v>5.53020134228188</v>
      </c>
      <c r="O24" s="94" t="n">
        <v>24.72</v>
      </c>
      <c r="P24" s="94" t="n">
        <v>0</v>
      </c>
      <c r="Q24" s="123"/>
      <c r="R24" s="124"/>
      <c r="S24" s="112"/>
      <c r="T24" s="123"/>
      <c r="U24" s="112"/>
      <c r="V24" s="112" t="s">
        <v>49</v>
      </c>
      <c r="W24" s="112"/>
      <c r="X24" s="112"/>
      <c r="Y24" s="112"/>
      <c r="Z24" s="112"/>
      <c r="AA24" s="123"/>
      <c r="AB24" s="123"/>
      <c r="AC24" s="130"/>
      <c r="AD24" s="123"/>
      <c r="AE24" s="123"/>
    </row>
    <row r="25" customFormat="false" ht="15" hidden="false" customHeight="false" outlineLevel="0" collapsed="false">
      <c r="A25" s="94" t="s">
        <v>39</v>
      </c>
      <c r="B25" s="95" t="s">
        <v>849</v>
      </c>
      <c r="C25" s="95" t="s">
        <v>877</v>
      </c>
      <c r="D25" s="94" t="s">
        <v>880</v>
      </c>
      <c r="E25" s="95" t="n">
        <v>103802</v>
      </c>
      <c r="F25" s="94" t="n">
        <v>175.65</v>
      </c>
      <c r="G25" s="94"/>
      <c r="H25" s="94" t="n">
        <v>0</v>
      </c>
      <c r="I25" s="94"/>
      <c r="J25" s="94"/>
      <c r="K25" s="94"/>
      <c r="L25" s="112" t="e">
        <f aca="false">K25/H25*100</f>
        <v>#DIV/0!</v>
      </c>
      <c r="M25" s="94"/>
      <c r="N25" s="112" t="e">
        <f aca="false">O25/H25*100</f>
        <v>#DIV/0!</v>
      </c>
      <c r="O25" s="94" t="n">
        <v>0</v>
      </c>
      <c r="P25" s="94" t="n">
        <v>0</v>
      </c>
      <c r="Q25" s="123"/>
      <c r="R25" s="124"/>
      <c r="S25" s="112"/>
      <c r="T25" s="123"/>
      <c r="U25" s="112"/>
      <c r="V25" s="112" t="s">
        <v>49</v>
      </c>
      <c r="W25" s="112"/>
      <c r="X25" s="112"/>
      <c r="Y25" s="112"/>
      <c r="Z25" s="112"/>
      <c r="AA25" s="123"/>
      <c r="AB25" s="123"/>
      <c r="AC25" s="130"/>
      <c r="AD25" s="123"/>
      <c r="AE25" s="123"/>
    </row>
    <row r="26" customFormat="false" ht="15" hidden="false" customHeight="false" outlineLevel="0" collapsed="false">
      <c r="A26" s="94" t="s">
        <v>39</v>
      </c>
      <c r="B26" s="95" t="s">
        <v>849</v>
      </c>
      <c r="C26" s="95" t="s">
        <v>877</v>
      </c>
      <c r="D26" s="94" t="s">
        <v>881</v>
      </c>
      <c r="E26" s="95" t="n">
        <v>103803</v>
      </c>
      <c r="F26" s="94" t="n">
        <v>469.02</v>
      </c>
      <c r="G26" s="94" t="n">
        <v>236</v>
      </c>
      <c r="H26" s="94" t="n">
        <v>1305</v>
      </c>
      <c r="I26" s="94" t="n">
        <v>677</v>
      </c>
      <c r="J26" s="94" t="n">
        <v>628</v>
      </c>
      <c r="K26" s="94" t="n">
        <v>308</v>
      </c>
      <c r="L26" s="112" t="n">
        <f aca="false">K26/H26*100</f>
        <v>23.6015325670498</v>
      </c>
      <c r="M26" s="94" t="n">
        <v>7</v>
      </c>
      <c r="N26" s="112" t="n">
        <f aca="false">O26/H26*100</f>
        <v>2.32030651340996</v>
      </c>
      <c r="O26" s="94" t="n">
        <v>30.28</v>
      </c>
      <c r="P26" s="94" t="n">
        <v>0</v>
      </c>
      <c r="Q26" s="113" t="s">
        <v>45</v>
      </c>
      <c r="R26" s="113" t="s">
        <v>257</v>
      </c>
      <c r="S26" s="112"/>
      <c r="T26" s="114" t="n">
        <v>50.2694</v>
      </c>
      <c r="U26" s="112"/>
      <c r="V26" s="112" t="s">
        <v>49</v>
      </c>
      <c r="W26" s="112"/>
      <c r="X26" s="112"/>
      <c r="Y26" s="112"/>
      <c r="Z26" s="112"/>
      <c r="AA26" s="112" t="s">
        <v>82</v>
      </c>
      <c r="AB26" s="112" t="n">
        <v>2</v>
      </c>
      <c r="AC26" s="115" t="s">
        <v>852</v>
      </c>
      <c r="AD26" s="116" t="n">
        <v>24.790314</v>
      </c>
      <c r="AE26" s="116" t="n">
        <v>76.26822</v>
      </c>
    </row>
    <row r="27" customFormat="false" ht="15" hidden="false" customHeight="false" outlineLevel="0" collapsed="false">
      <c r="A27" s="94" t="s">
        <v>39</v>
      </c>
      <c r="B27" s="95" t="s">
        <v>849</v>
      </c>
      <c r="C27" s="95" t="s">
        <v>882</v>
      </c>
      <c r="D27" s="94" t="s">
        <v>883</v>
      </c>
      <c r="E27" s="95" t="n">
        <v>103805</v>
      </c>
      <c r="F27" s="94" t="n">
        <v>305.42</v>
      </c>
      <c r="G27" s="94" t="n">
        <v>141</v>
      </c>
      <c r="H27" s="94" t="n">
        <v>774</v>
      </c>
      <c r="I27" s="94" t="n">
        <v>411</v>
      </c>
      <c r="J27" s="94" t="n">
        <v>363</v>
      </c>
      <c r="K27" s="94" t="n">
        <v>182</v>
      </c>
      <c r="L27" s="112" t="n">
        <f aca="false">K27/H27*100</f>
        <v>23.5142118863049</v>
      </c>
      <c r="M27" s="94" t="n">
        <v>0</v>
      </c>
      <c r="N27" s="112" t="n">
        <f aca="false">O27/H27*100</f>
        <v>4.25452196382429</v>
      </c>
      <c r="O27" s="94" t="n">
        <v>32.93</v>
      </c>
      <c r="P27" s="94" t="n">
        <v>0</v>
      </c>
      <c r="Q27" s="118" t="s">
        <v>43</v>
      </c>
      <c r="R27" s="118" t="s">
        <v>884</v>
      </c>
      <c r="S27" s="112"/>
      <c r="T27" s="118"/>
      <c r="U27" s="112"/>
      <c r="V27" s="112"/>
      <c r="W27" s="112"/>
      <c r="X27" s="112"/>
      <c r="Y27" s="112"/>
      <c r="Z27" s="112"/>
      <c r="AA27" s="118" t="s">
        <v>82</v>
      </c>
      <c r="AB27" s="118" t="n">
        <v>0.42</v>
      </c>
      <c r="AC27" s="115" t="s">
        <v>852</v>
      </c>
      <c r="AD27" s="131" t="n">
        <v>24.841412</v>
      </c>
      <c r="AE27" s="131" t="n">
        <v>76.257552</v>
      </c>
    </row>
    <row r="28" customFormat="false" ht="15" hidden="false" customHeight="false" outlineLevel="0" collapsed="false">
      <c r="A28" s="94" t="s">
        <v>39</v>
      </c>
      <c r="B28" s="95" t="s">
        <v>849</v>
      </c>
      <c r="C28" s="95" t="s">
        <v>882</v>
      </c>
      <c r="D28" s="94" t="s">
        <v>885</v>
      </c>
      <c r="E28" s="95" t="n">
        <v>103806</v>
      </c>
      <c r="F28" s="94" t="n">
        <v>468.24</v>
      </c>
      <c r="G28" s="94" t="n">
        <v>124</v>
      </c>
      <c r="H28" s="94" t="n">
        <v>666</v>
      </c>
      <c r="I28" s="94" t="n">
        <v>330</v>
      </c>
      <c r="J28" s="94" t="n">
        <v>336</v>
      </c>
      <c r="K28" s="94" t="n">
        <v>30</v>
      </c>
      <c r="L28" s="112" t="n">
        <f aca="false">K28/H28*100</f>
        <v>4.50450450450451</v>
      </c>
      <c r="M28" s="94" t="n">
        <v>19</v>
      </c>
      <c r="N28" s="112" t="n">
        <f aca="false">O28/H28*100</f>
        <v>6.45495495495496</v>
      </c>
      <c r="O28" s="94" t="n">
        <v>42.99</v>
      </c>
      <c r="P28" s="94" t="n">
        <v>0</v>
      </c>
      <c r="Q28" s="118" t="s">
        <v>43</v>
      </c>
      <c r="R28" s="118" t="s">
        <v>884</v>
      </c>
      <c r="S28" s="112"/>
      <c r="T28" s="118"/>
      <c r="U28" s="112"/>
      <c r="V28" s="112"/>
      <c r="W28" s="112"/>
      <c r="X28" s="112"/>
      <c r="Y28" s="112"/>
      <c r="Z28" s="112"/>
      <c r="AA28" s="118" t="s">
        <v>82</v>
      </c>
      <c r="AB28" s="118" t="n">
        <v>0.55</v>
      </c>
      <c r="AC28" s="115" t="s">
        <v>852</v>
      </c>
      <c r="AD28" s="118" t="n">
        <v>24.8115691</v>
      </c>
      <c r="AE28" s="118" t="n">
        <v>76.235744</v>
      </c>
    </row>
    <row r="29" customFormat="false" ht="15" hidden="false" customHeight="false" outlineLevel="0" collapsed="false">
      <c r="A29" s="94" t="s">
        <v>39</v>
      </c>
      <c r="B29" s="95" t="s">
        <v>849</v>
      </c>
      <c r="C29" s="95" t="s">
        <v>882</v>
      </c>
      <c r="D29" s="94" t="s">
        <v>886</v>
      </c>
      <c r="E29" s="95" t="n">
        <v>103807</v>
      </c>
      <c r="F29" s="94" t="n">
        <v>183.82</v>
      </c>
      <c r="G29" s="94" t="n">
        <v>39</v>
      </c>
      <c r="H29" s="94" t="n">
        <v>168</v>
      </c>
      <c r="I29" s="94" t="n">
        <v>86</v>
      </c>
      <c r="J29" s="94" t="n">
        <v>82</v>
      </c>
      <c r="K29" s="94" t="n">
        <v>0</v>
      </c>
      <c r="L29" s="112" t="n">
        <f aca="false">K29/H29*100</f>
        <v>0</v>
      </c>
      <c r="M29" s="94" t="n">
        <v>0</v>
      </c>
      <c r="N29" s="112" t="n">
        <f aca="false">O29/H29*100</f>
        <v>0</v>
      </c>
      <c r="O29" s="94" t="n">
        <v>0</v>
      </c>
      <c r="P29" s="94" t="n">
        <v>32.16</v>
      </c>
      <c r="Q29" s="118" t="s">
        <v>43</v>
      </c>
      <c r="R29" s="118" t="s">
        <v>884</v>
      </c>
      <c r="S29" s="112"/>
      <c r="T29" s="118"/>
      <c r="U29" s="112"/>
      <c r="V29" s="112"/>
      <c r="W29" s="112"/>
      <c r="X29" s="112"/>
      <c r="Y29" s="112"/>
      <c r="Z29" s="112"/>
      <c r="AA29" s="118"/>
      <c r="AB29" s="118"/>
      <c r="AC29" s="115" t="s">
        <v>852</v>
      </c>
      <c r="AD29" s="131"/>
      <c r="AE29" s="131"/>
    </row>
    <row r="30" customFormat="false" ht="15" hidden="false" customHeight="false" outlineLevel="0" collapsed="false">
      <c r="A30" s="94" t="s">
        <v>39</v>
      </c>
      <c r="B30" s="95" t="s">
        <v>849</v>
      </c>
      <c r="C30" s="95" t="s">
        <v>857</v>
      </c>
      <c r="D30" s="94" t="s">
        <v>887</v>
      </c>
      <c r="E30" s="95" t="n">
        <v>103860</v>
      </c>
      <c r="F30" s="94" t="n">
        <v>233.33</v>
      </c>
      <c r="G30" s="94" t="n">
        <v>213</v>
      </c>
      <c r="H30" s="94" t="n">
        <v>1125</v>
      </c>
      <c r="I30" s="94" t="n">
        <v>595</v>
      </c>
      <c r="J30" s="94" t="n">
        <v>530</v>
      </c>
      <c r="K30" s="94" t="n">
        <v>173</v>
      </c>
      <c r="L30" s="112" t="n">
        <f aca="false">K30/H30*100</f>
        <v>15.3777777777778</v>
      </c>
      <c r="M30" s="94" t="n">
        <v>0</v>
      </c>
      <c r="N30" s="112" t="n">
        <f aca="false">O30/H30*100</f>
        <v>2.85955555555556</v>
      </c>
      <c r="O30" s="94" t="n">
        <v>32.17</v>
      </c>
      <c r="P30" s="94" t="n">
        <v>0</v>
      </c>
      <c r="Q30" s="123"/>
      <c r="R30" s="124"/>
      <c r="S30" s="112"/>
      <c r="T30" s="123"/>
      <c r="U30" s="112"/>
      <c r="V30" s="112"/>
      <c r="W30" s="112"/>
      <c r="X30" s="112"/>
      <c r="Y30" s="112"/>
      <c r="Z30" s="112"/>
      <c r="AA30" s="123"/>
      <c r="AB30" s="123"/>
      <c r="AC30" s="130"/>
      <c r="AD30" s="123"/>
      <c r="AE30" s="123"/>
    </row>
    <row r="31" customFormat="false" ht="15" hidden="false" customHeight="false" outlineLevel="0" collapsed="false">
      <c r="A31" s="94" t="s">
        <v>39</v>
      </c>
      <c r="B31" s="95" t="s">
        <v>849</v>
      </c>
      <c r="C31" s="95" t="s">
        <v>888</v>
      </c>
      <c r="D31" s="94" t="s">
        <v>889</v>
      </c>
      <c r="E31" s="95" t="n">
        <v>103891</v>
      </c>
      <c r="F31" s="94" t="n">
        <v>401.73</v>
      </c>
      <c r="G31" s="94" t="n">
        <v>20</v>
      </c>
      <c r="H31" s="94" t="n">
        <v>118</v>
      </c>
      <c r="I31" s="94" t="n">
        <v>62</v>
      </c>
      <c r="J31" s="94" t="n">
        <v>56</v>
      </c>
      <c r="K31" s="94" t="n">
        <v>0</v>
      </c>
      <c r="L31" s="112" t="n">
        <f aca="false">K31/H31*100</f>
        <v>0</v>
      </c>
      <c r="M31" s="94" t="n">
        <v>118</v>
      </c>
      <c r="N31" s="112" t="n">
        <f aca="false">O31/H31*100</f>
        <v>7.52542372881356</v>
      </c>
      <c r="O31" s="94" t="n">
        <v>8.88</v>
      </c>
      <c r="P31" s="94" t="n">
        <v>19.35</v>
      </c>
      <c r="Q31" s="132" t="s">
        <v>82</v>
      </c>
      <c r="R31" s="132" t="s">
        <v>890</v>
      </c>
      <c r="S31" s="112"/>
      <c r="T31" s="132" t="n">
        <v>32.38</v>
      </c>
      <c r="U31" s="112"/>
      <c r="V31" s="112"/>
      <c r="W31" s="112"/>
      <c r="X31" s="112"/>
      <c r="Y31" s="112"/>
      <c r="Z31" s="112"/>
      <c r="AA31" s="133" t="s">
        <v>891</v>
      </c>
      <c r="AB31" s="132" t="n">
        <v>5</v>
      </c>
      <c r="AC31" s="134" t="s">
        <v>892</v>
      </c>
      <c r="AD31" s="134" t="n">
        <v>24.608188</v>
      </c>
      <c r="AE31" s="134" t="n">
        <v>76.330513</v>
      </c>
    </row>
    <row r="32" customFormat="false" ht="15" hidden="false" customHeight="false" outlineLevel="0" collapsed="false">
      <c r="A32" s="94"/>
      <c r="B32" s="95"/>
      <c r="C32" s="95"/>
      <c r="D32" s="94"/>
      <c r="E32" s="95"/>
      <c r="F32" s="94"/>
      <c r="G32" s="94"/>
      <c r="H32" s="94"/>
      <c r="I32" s="94"/>
      <c r="J32" s="94"/>
      <c r="K32" s="94"/>
      <c r="L32" s="112" t="e">
        <f aca="false">K32/H32*100</f>
        <v>#DIV/0!</v>
      </c>
      <c r="M32" s="94"/>
      <c r="N32" s="112" t="e">
        <f aca="false">O32/H32*100</f>
        <v>#DIV/0!</v>
      </c>
      <c r="O32" s="94"/>
      <c r="P32" s="94"/>
      <c r="Q32" s="118" t="s">
        <v>43</v>
      </c>
      <c r="R32" s="118" t="s">
        <v>884</v>
      </c>
      <c r="S32" s="112"/>
      <c r="T32" s="118"/>
      <c r="U32" s="112"/>
      <c r="V32" s="112"/>
      <c r="W32" s="112"/>
      <c r="X32" s="112"/>
      <c r="Y32" s="112"/>
      <c r="Z32" s="112"/>
      <c r="AA32" s="118"/>
      <c r="AB32" s="118"/>
      <c r="AC32" s="134"/>
      <c r="AD32" s="118"/>
      <c r="AE32" s="118"/>
    </row>
    <row r="33" customFormat="false" ht="15" hidden="false" customHeight="false" outlineLevel="0" collapsed="false">
      <c r="A33" s="94" t="s">
        <v>39</v>
      </c>
      <c r="B33" s="95" t="s">
        <v>849</v>
      </c>
      <c r="C33" s="95" t="s">
        <v>882</v>
      </c>
      <c r="D33" s="94" t="s">
        <v>893</v>
      </c>
      <c r="E33" s="95" t="n">
        <v>103810</v>
      </c>
      <c r="F33" s="94" t="n">
        <v>172.87</v>
      </c>
      <c r="G33" s="94" t="n">
        <v>100</v>
      </c>
      <c r="H33" s="94" t="n">
        <v>524</v>
      </c>
      <c r="I33" s="94" t="n">
        <v>260</v>
      </c>
      <c r="J33" s="94" t="n">
        <v>264</v>
      </c>
      <c r="K33" s="94" t="n">
        <v>138</v>
      </c>
      <c r="L33" s="112" t="n">
        <f aca="false">K33/H33*100</f>
        <v>26.3358778625954</v>
      </c>
      <c r="M33" s="94" t="n">
        <v>0</v>
      </c>
      <c r="N33" s="112" t="n">
        <f aca="false">O33/H33*100</f>
        <v>1.09160305343511</v>
      </c>
      <c r="O33" s="94" t="n">
        <v>5.72</v>
      </c>
      <c r="P33" s="94" t="n"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28"/>
      <c r="AD33" s="112"/>
      <c r="AE33" s="112"/>
    </row>
    <row r="34" customFormat="false" ht="15" hidden="false" customHeight="false" outlineLevel="0" collapsed="false">
      <c r="A34" s="94" t="s">
        <v>39</v>
      </c>
      <c r="B34" s="95" t="s">
        <v>849</v>
      </c>
      <c r="C34" s="95" t="s">
        <v>894</v>
      </c>
      <c r="D34" s="94" t="s">
        <v>895</v>
      </c>
      <c r="E34" s="95" t="n">
        <v>103811</v>
      </c>
      <c r="F34" s="94" t="n">
        <v>377.48</v>
      </c>
      <c r="G34" s="94" t="n">
        <v>138</v>
      </c>
      <c r="H34" s="94" t="n">
        <v>812</v>
      </c>
      <c r="I34" s="94" t="n">
        <v>402</v>
      </c>
      <c r="J34" s="94" t="n">
        <v>410</v>
      </c>
      <c r="K34" s="94" t="n">
        <v>811</v>
      </c>
      <c r="L34" s="112" t="n">
        <f aca="false">K34/H34*100</f>
        <v>99.8768472906404</v>
      </c>
      <c r="M34" s="94" t="n">
        <v>0</v>
      </c>
      <c r="N34" s="112" t="n">
        <f aca="false">O34/H34*100</f>
        <v>0</v>
      </c>
      <c r="O34" s="94" t="n">
        <v>0</v>
      </c>
      <c r="P34" s="94" t="n">
        <v>0</v>
      </c>
      <c r="Q34" s="113" t="s">
        <v>45</v>
      </c>
      <c r="R34" s="113" t="s">
        <v>257</v>
      </c>
      <c r="S34" s="112"/>
      <c r="T34" s="114" t="n">
        <v>5.6714</v>
      </c>
      <c r="U34" s="112"/>
      <c r="V34" s="112" t="s">
        <v>49</v>
      </c>
      <c r="W34" s="112"/>
      <c r="X34" s="112"/>
      <c r="Y34" s="112"/>
      <c r="Z34" s="112"/>
      <c r="AA34" s="112" t="s">
        <v>82</v>
      </c>
      <c r="AB34" s="117" t="n">
        <v>0.83</v>
      </c>
      <c r="AC34" s="115" t="s">
        <v>852</v>
      </c>
      <c r="AD34" s="116" t="n">
        <v>24.752944</v>
      </c>
      <c r="AE34" s="116" t="n">
        <v>76.212484</v>
      </c>
    </row>
    <row r="35" customFormat="false" ht="15" hidden="false" customHeight="false" outlineLevel="0" collapsed="false">
      <c r="A35" s="94" t="s">
        <v>39</v>
      </c>
      <c r="B35" s="95" t="s">
        <v>849</v>
      </c>
      <c r="C35" s="95" t="s">
        <v>896</v>
      </c>
      <c r="D35" s="94" t="s">
        <v>897</v>
      </c>
      <c r="E35" s="95" t="n">
        <v>103812</v>
      </c>
      <c r="F35" s="94" t="n">
        <v>608.81</v>
      </c>
      <c r="G35" s="94" t="n">
        <v>7</v>
      </c>
      <c r="H35" s="94" t="n">
        <v>20</v>
      </c>
      <c r="I35" s="94" t="n">
        <v>11</v>
      </c>
      <c r="J35" s="94" t="n">
        <v>9</v>
      </c>
      <c r="K35" s="94" t="n">
        <v>0</v>
      </c>
      <c r="L35" s="112" t="n">
        <f aca="false">K35/H35*100</f>
        <v>0</v>
      </c>
      <c r="M35" s="94" t="n">
        <v>0</v>
      </c>
      <c r="N35" s="112" t="n">
        <f aca="false">O35/H35*100</f>
        <v>0</v>
      </c>
      <c r="O35" s="94" t="n">
        <v>0</v>
      </c>
      <c r="P35" s="94" t="n">
        <v>0</v>
      </c>
      <c r="Q35" s="112"/>
      <c r="R35" s="112"/>
      <c r="S35" s="112"/>
      <c r="T35" s="112"/>
      <c r="U35" s="112" t="s">
        <v>49</v>
      </c>
      <c r="V35" s="112"/>
      <c r="W35" s="112"/>
      <c r="X35" s="112"/>
      <c r="Y35" s="112"/>
      <c r="Z35" s="112"/>
      <c r="AA35" s="112"/>
      <c r="AB35" s="112"/>
      <c r="AC35" s="128"/>
      <c r="AD35" s="112"/>
      <c r="AE35" s="112"/>
    </row>
    <row r="36" customFormat="false" ht="15" hidden="false" customHeight="false" outlineLevel="0" collapsed="false">
      <c r="A36" s="94" t="s">
        <v>39</v>
      </c>
      <c r="B36" s="95" t="s">
        <v>849</v>
      </c>
      <c r="C36" s="95" t="s">
        <v>896</v>
      </c>
      <c r="D36" s="94" t="s">
        <v>898</v>
      </c>
      <c r="E36" s="95" t="n">
        <v>103813</v>
      </c>
      <c r="F36" s="94" t="n">
        <v>1230</v>
      </c>
      <c r="G36" s="94" t="n">
        <v>1140</v>
      </c>
      <c r="H36" s="94" t="n">
        <v>6196</v>
      </c>
      <c r="I36" s="94" t="n">
        <v>3218</v>
      </c>
      <c r="J36" s="94" t="n">
        <v>2978</v>
      </c>
      <c r="K36" s="94" t="n">
        <v>1178</v>
      </c>
      <c r="L36" s="112" t="n">
        <f aca="false">K36/H36*100</f>
        <v>19.0122659780504</v>
      </c>
      <c r="M36" s="94" t="n">
        <v>49</v>
      </c>
      <c r="N36" s="112" t="n">
        <f aca="false">O36/H36*100</f>
        <v>1.32876049063912</v>
      </c>
      <c r="O36" s="94" t="n">
        <v>82.33</v>
      </c>
      <c r="P36" s="94" t="n">
        <v>0</v>
      </c>
      <c r="Q36" s="113" t="s">
        <v>45</v>
      </c>
      <c r="R36" s="126" t="n">
        <v>44868</v>
      </c>
      <c r="S36" s="112"/>
      <c r="T36" s="121" t="s">
        <v>45</v>
      </c>
      <c r="U36" s="112"/>
      <c r="V36" s="112"/>
      <c r="W36" s="112"/>
      <c r="X36" s="112"/>
      <c r="Y36" s="112"/>
      <c r="Z36" s="112"/>
      <c r="AA36" s="112"/>
      <c r="AB36" s="112"/>
      <c r="AC36" s="115" t="s">
        <v>859</v>
      </c>
      <c r="AD36" s="116" t="n">
        <v>24.76501</v>
      </c>
      <c r="AE36" s="116" t="n">
        <v>76.25625</v>
      </c>
    </row>
    <row r="37" customFormat="false" ht="15" hidden="false" customHeight="false" outlineLevel="0" collapsed="false">
      <c r="A37" s="94" t="s">
        <v>39</v>
      </c>
      <c r="B37" s="95" t="s">
        <v>849</v>
      </c>
      <c r="C37" s="95" t="s">
        <v>877</v>
      </c>
      <c r="D37" s="94" t="s">
        <v>899</v>
      </c>
      <c r="E37" s="95" t="n">
        <v>103814</v>
      </c>
      <c r="F37" s="94" t="n">
        <v>297.69</v>
      </c>
      <c r="G37" s="94" t="n">
        <v>130</v>
      </c>
      <c r="H37" s="94" t="n">
        <v>635</v>
      </c>
      <c r="I37" s="94" t="n">
        <v>329</v>
      </c>
      <c r="J37" s="94" t="n">
        <v>306</v>
      </c>
      <c r="K37" s="94" t="n">
        <v>94</v>
      </c>
      <c r="L37" s="112" t="n">
        <f aca="false">K37/H37*100</f>
        <v>14.8031496062992</v>
      </c>
      <c r="M37" s="94" t="n">
        <v>389</v>
      </c>
      <c r="N37" s="112" t="n">
        <f aca="false">O37/H37*100</f>
        <v>5.19370078740157</v>
      </c>
      <c r="O37" s="94" t="n">
        <v>32.98</v>
      </c>
      <c r="P37" s="94" t="n">
        <v>0</v>
      </c>
      <c r="Q37" s="123"/>
      <c r="R37" s="124"/>
      <c r="S37" s="112"/>
      <c r="T37" s="123"/>
      <c r="U37" s="112"/>
      <c r="V37" s="112"/>
      <c r="W37" s="112"/>
      <c r="X37" s="112"/>
      <c r="Y37" s="112"/>
      <c r="Z37" s="112"/>
      <c r="AA37" s="123"/>
      <c r="AB37" s="123"/>
      <c r="AC37" s="130"/>
      <c r="AD37" s="123"/>
      <c r="AE37" s="123"/>
    </row>
    <row r="38" customFormat="false" ht="15" hidden="false" customHeight="false" outlineLevel="0" collapsed="false">
      <c r="A38" s="94" t="s">
        <v>39</v>
      </c>
      <c r="B38" s="95" t="s">
        <v>849</v>
      </c>
      <c r="C38" s="95" t="s">
        <v>900</v>
      </c>
      <c r="D38" s="94" t="s">
        <v>901</v>
      </c>
      <c r="E38" s="95" t="n">
        <v>103815</v>
      </c>
      <c r="F38" s="94" t="n">
        <v>118.4</v>
      </c>
      <c r="G38" s="94" t="n">
        <v>46</v>
      </c>
      <c r="H38" s="94" t="n">
        <v>246</v>
      </c>
      <c r="I38" s="94" t="n">
        <v>127</v>
      </c>
      <c r="J38" s="94" t="n">
        <v>119</v>
      </c>
      <c r="K38" s="94" t="n">
        <v>8</v>
      </c>
      <c r="L38" s="112" t="n">
        <f aca="false">K38/H38*100</f>
        <v>3.2520325203252</v>
      </c>
      <c r="M38" s="94" t="n">
        <v>237</v>
      </c>
      <c r="N38" s="112" t="n">
        <f aca="false">O38/H38*100</f>
        <v>5.28048780487805</v>
      </c>
      <c r="O38" s="94" t="n">
        <v>12.99</v>
      </c>
      <c r="P38" s="94" t="n">
        <v>0</v>
      </c>
      <c r="Q38" s="123"/>
      <c r="R38" s="124"/>
      <c r="S38" s="112"/>
      <c r="T38" s="123"/>
      <c r="U38" s="112"/>
      <c r="V38" s="112"/>
      <c r="W38" s="112"/>
      <c r="X38" s="112"/>
      <c r="Y38" s="112"/>
      <c r="Z38" s="112"/>
      <c r="AA38" s="123"/>
      <c r="AB38" s="123"/>
      <c r="AC38" s="130"/>
      <c r="AD38" s="123"/>
      <c r="AE38" s="123"/>
    </row>
    <row r="39" customFormat="false" ht="15" hidden="false" customHeight="false" outlineLevel="0" collapsed="false">
      <c r="A39" s="94" t="s">
        <v>39</v>
      </c>
      <c r="B39" s="95" t="s">
        <v>849</v>
      </c>
      <c r="C39" s="95" t="s">
        <v>870</v>
      </c>
      <c r="D39" s="94" t="s">
        <v>902</v>
      </c>
      <c r="E39" s="95" t="n">
        <v>103816</v>
      </c>
      <c r="F39" s="94" t="n">
        <v>397.14</v>
      </c>
      <c r="G39" s="94" t="n">
        <v>129</v>
      </c>
      <c r="H39" s="94" t="n">
        <v>661</v>
      </c>
      <c r="I39" s="94" t="n">
        <v>371</v>
      </c>
      <c r="J39" s="94" t="n">
        <v>290</v>
      </c>
      <c r="K39" s="94" t="n">
        <v>76</v>
      </c>
      <c r="L39" s="112" t="n">
        <f aca="false">K39/H39*100</f>
        <v>11.4977307110439</v>
      </c>
      <c r="M39" s="94" t="n">
        <v>541</v>
      </c>
      <c r="N39" s="112" t="n">
        <f aca="false">O39/H39*100</f>
        <v>6.74130105900151</v>
      </c>
      <c r="O39" s="94" t="n">
        <v>44.56</v>
      </c>
      <c r="P39" s="94" t="n">
        <v>0</v>
      </c>
      <c r="Q39" s="123"/>
      <c r="R39" s="124"/>
      <c r="S39" s="112"/>
      <c r="T39" s="123"/>
      <c r="U39" s="112"/>
      <c r="V39" s="112"/>
      <c r="W39" s="112"/>
      <c r="X39" s="112"/>
      <c r="Y39" s="112"/>
      <c r="Z39" s="112"/>
      <c r="AA39" s="123"/>
      <c r="AB39" s="123"/>
      <c r="AC39" s="130"/>
      <c r="AD39" s="123"/>
      <c r="AE39" s="123"/>
    </row>
    <row r="40" customFormat="false" ht="15" hidden="false" customHeight="false" outlineLevel="0" collapsed="false">
      <c r="A40" s="94" t="s">
        <v>39</v>
      </c>
      <c r="B40" s="95" t="s">
        <v>849</v>
      </c>
      <c r="C40" s="95" t="s">
        <v>870</v>
      </c>
      <c r="D40" s="94" t="s">
        <v>903</v>
      </c>
      <c r="E40" s="95" t="n">
        <v>103817</v>
      </c>
      <c r="F40" s="94" t="n">
        <v>199.11</v>
      </c>
      <c r="G40" s="94" t="n">
        <v>100</v>
      </c>
      <c r="H40" s="94" t="n">
        <v>529</v>
      </c>
      <c r="I40" s="94" t="n">
        <v>291</v>
      </c>
      <c r="J40" s="94" t="n">
        <v>238</v>
      </c>
      <c r="K40" s="94" t="n">
        <v>13</v>
      </c>
      <c r="L40" s="112" t="n">
        <f aca="false">K40/H40*100</f>
        <v>2.45746691871456</v>
      </c>
      <c r="M40" s="94" t="n">
        <v>297</v>
      </c>
      <c r="N40" s="112" t="n">
        <f aca="false">O40/H40*100</f>
        <v>6.10018903591682</v>
      </c>
      <c r="O40" s="94" t="n">
        <v>32.27</v>
      </c>
      <c r="P40" s="94" t="n">
        <v>0</v>
      </c>
      <c r="Q40" s="123"/>
      <c r="R40" s="124"/>
      <c r="S40" s="112"/>
      <c r="T40" s="123"/>
      <c r="U40" s="112"/>
      <c r="V40" s="112"/>
      <c r="W40" s="112"/>
      <c r="X40" s="112"/>
      <c r="Y40" s="112"/>
      <c r="Z40" s="112"/>
      <c r="AA40" s="123"/>
      <c r="AB40" s="123"/>
      <c r="AC40" s="130"/>
      <c r="AD40" s="123"/>
      <c r="AE40" s="123"/>
    </row>
    <row r="41" customFormat="false" ht="15" hidden="false" customHeight="false" outlineLevel="0" collapsed="false">
      <c r="A41" s="94" t="s">
        <v>39</v>
      </c>
      <c r="B41" s="95" t="s">
        <v>849</v>
      </c>
      <c r="C41" s="95" t="s">
        <v>870</v>
      </c>
      <c r="D41" s="94" t="s">
        <v>904</v>
      </c>
      <c r="E41" s="95" t="n">
        <v>103819</v>
      </c>
      <c r="F41" s="94" t="n">
        <v>174.93</v>
      </c>
      <c r="G41" s="94" t="n">
        <v>69</v>
      </c>
      <c r="H41" s="94" t="n">
        <v>412</v>
      </c>
      <c r="I41" s="94" t="n">
        <v>208</v>
      </c>
      <c r="J41" s="94" t="n">
        <v>204</v>
      </c>
      <c r="K41" s="94" t="n">
        <v>56</v>
      </c>
      <c r="L41" s="112" t="n">
        <f aca="false">K41/H41*100</f>
        <v>13.5922330097087</v>
      </c>
      <c r="M41" s="94" t="n">
        <v>248</v>
      </c>
      <c r="N41" s="112" t="n">
        <f aca="false">O41/H41*100</f>
        <v>4.46359223300971</v>
      </c>
      <c r="O41" s="94" t="n">
        <v>18.39</v>
      </c>
      <c r="P41" s="94" t="n">
        <v>0</v>
      </c>
      <c r="Q41" s="94"/>
      <c r="R41" s="127"/>
      <c r="S41" s="112"/>
      <c r="T41" s="112"/>
      <c r="U41" s="112"/>
      <c r="V41" s="112"/>
      <c r="W41" s="112"/>
      <c r="X41" s="112"/>
      <c r="Y41" s="112"/>
      <c r="Z41" s="112"/>
      <c r="AA41" s="94"/>
      <c r="AB41" s="112"/>
      <c r="AC41" s="129"/>
      <c r="AD41" s="112"/>
      <c r="AE41" s="112"/>
    </row>
    <row r="42" customFormat="false" ht="15" hidden="false" customHeight="false" outlineLevel="0" collapsed="false">
      <c r="A42" s="94" t="s">
        <v>39</v>
      </c>
      <c r="B42" s="95" t="s">
        <v>849</v>
      </c>
      <c r="C42" s="95" t="s">
        <v>905</v>
      </c>
      <c r="D42" s="94" t="s">
        <v>906</v>
      </c>
      <c r="E42" s="95" t="n">
        <v>103820</v>
      </c>
      <c r="F42" s="94" t="n">
        <v>216.02</v>
      </c>
      <c r="G42" s="94" t="n">
        <v>80</v>
      </c>
      <c r="H42" s="94" t="n">
        <v>362</v>
      </c>
      <c r="I42" s="94" t="n">
        <v>184</v>
      </c>
      <c r="J42" s="94" t="n">
        <v>178</v>
      </c>
      <c r="K42" s="94" t="n">
        <v>101</v>
      </c>
      <c r="L42" s="112" t="n">
        <f aca="false">K42/H42*100</f>
        <v>27.9005524861878</v>
      </c>
      <c r="M42" s="94" t="n">
        <v>106</v>
      </c>
      <c r="N42" s="112" t="n">
        <f aca="false">O42/H42*100</f>
        <v>5.55801104972376</v>
      </c>
      <c r="O42" s="94" t="n">
        <v>20.12</v>
      </c>
      <c r="P42" s="94" t="n">
        <v>0</v>
      </c>
      <c r="Q42" s="94"/>
      <c r="R42" s="127"/>
      <c r="S42" s="112"/>
      <c r="T42" s="112"/>
      <c r="U42" s="112"/>
      <c r="V42" s="112"/>
      <c r="W42" s="112"/>
      <c r="X42" s="112"/>
      <c r="Y42" s="112"/>
      <c r="Z42" s="112"/>
      <c r="AA42" s="94"/>
      <c r="AB42" s="112"/>
      <c r="AC42" s="129"/>
      <c r="AD42" s="112"/>
      <c r="AE42" s="112"/>
    </row>
    <row r="43" customFormat="false" ht="15" hidden="false" customHeight="false" outlineLevel="0" collapsed="false">
      <c r="A43" s="94" t="s">
        <v>39</v>
      </c>
      <c r="B43" s="95" t="s">
        <v>849</v>
      </c>
      <c r="C43" s="95" t="s">
        <v>905</v>
      </c>
      <c r="D43" s="94" t="s">
        <v>907</v>
      </c>
      <c r="E43" s="95" t="n">
        <v>103822</v>
      </c>
      <c r="F43" s="94" t="n">
        <v>196.9</v>
      </c>
      <c r="G43" s="94" t="n">
        <v>68</v>
      </c>
      <c r="H43" s="94" t="n">
        <v>373</v>
      </c>
      <c r="I43" s="94" t="n">
        <v>196</v>
      </c>
      <c r="J43" s="94" t="n">
        <v>177</v>
      </c>
      <c r="K43" s="94" t="n">
        <v>70</v>
      </c>
      <c r="L43" s="112" t="n">
        <f aca="false">K43/H43*100</f>
        <v>18.7667560321716</v>
      </c>
      <c r="M43" s="94" t="n">
        <v>100</v>
      </c>
      <c r="N43" s="112" t="n">
        <f aca="false">O43/H43*100</f>
        <v>5.71313672922252</v>
      </c>
      <c r="O43" s="94" t="n">
        <v>21.31</v>
      </c>
      <c r="P43" s="94" t="n">
        <v>0</v>
      </c>
      <c r="Q43" s="94"/>
      <c r="R43" s="127"/>
      <c r="S43" s="112"/>
      <c r="T43" s="112"/>
      <c r="U43" s="112"/>
      <c r="V43" s="112"/>
      <c r="W43" s="112"/>
      <c r="X43" s="112"/>
      <c r="Y43" s="112"/>
      <c r="Z43" s="112"/>
      <c r="AA43" s="94"/>
      <c r="AB43" s="112"/>
      <c r="AC43" s="129"/>
      <c r="AD43" s="112"/>
      <c r="AE43" s="112"/>
    </row>
    <row r="44" customFormat="false" ht="15" hidden="false" customHeight="false" outlineLevel="0" collapsed="false">
      <c r="A44" s="94" t="s">
        <v>39</v>
      </c>
      <c r="B44" s="95" t="s">
        <v>849</v>
      </c>
      <c r="C44" s="95" t="s">
        <v>905</v>
      </c>
      <c r="D44" s="94" t="s">
        <v>908</v>
      </c>
      <c r="E44" s="95" t="n">
        <v>103823</v>
      </c>
      <c r="F44" s="94" t="n">
        <v>171.3</v>
      </c>
      <c r="G44" s="94" t="n">
        <v>35</v>
      </c>
      <c r="H44" s="94" t="n">
        <v>168</v>
      </c>
      <c r="I44" s="94" t="n">
        <v>93</v>
      </c>
      <c r="J44" s="94" t="n">
        <v>75</v>
      </c>
      <c r="K44" s="94" t="n">
        <v>4</v>
      </c>
      <c r="L44" s="112" t="n">
        <f aca="false">K44/H44*100</f>
        <v>2.38095238095238</v>
      </c>
      <c r="M44" s="94" t="n">
        <v>0</v>
      </c>
      <c r="N44" s="112" t="n">
        <f aca="false">O44/H44*100</f>
        <v>12.577380952381</v>
      </c>
      <c r="O44" s="94" t="n">
        <v>21.13</v>
      </c>
      <c r="P44" s="94" t="n">
        <v>0</v>
      </c>
      <c r="Q44" s="118" t="s">
        <v>43</v>
      </c>
      <c r="R44" s="118" t="s">
        <v>909</v>
      </c>
      <c r="S44" s="112"/>
      <c r="T44" s="118" t="n">
        <v>25.058</v>
      </c>
      <c r="U44" s="112"/>
      <c r="V44" s="112"/>
      <c r="W44" s="112"/>
      <c r="X44" s="112"/>
      <c r="Y44" s="112"/>
      <c r="Z44" s="112"/>
      <c r="AA44" s="118" t="s">
        <v>47</v>
      </c>
      <c r="AB44" s="118" t="n">
        <v>0</v>
      </c>
      <c r="AC44" s="118" t="s">
        <v>910</v>
      </c>
      <c r="AD44" s="118" t="n">
        <v>24.766</v>
      </c>
      <c r="AE44" s="118" t="n">
        <v>76.3693</v>
      </c>
    </row>
    <row r="45" customFormat="false" ht="15" hidden="false" customHeight="false" outlineLevel="0" collapsed="false">
      <c r="A45" s="94" t="s">
        <v>39</v>
      </c>
      <c r="B45" s="95" t="s">
        <v>849</v>
      </c>
      <c r="C45" s="95" t="s">
        <v>905</v>
      </c>
      <c r="D45" s="94" t="s">
        <v>911</v>
      </c>
      <c r="E45" s="95" t="n">
        <v>103824</v>
      </c>
      <c r="F45" s="94" t="n">
        <v>396.7</v>
      </c>
      <c r="G45" s="94" t="n">
        <v>82</v>
      </c>
      <c r="H45" s="94" t="n">
        <v>451</v>
      </c>
      <c r="I45" s="94" t="n">
        <v>242</v>
      </c>
      <c r="J45" s="94" t="n">
        <v>209</v>
      </c>
      <c r="K45" s="94" t="n">
        <v>126</v>
      </c>
      <c r="L45" s="112" t="n">
        <f aca="false">K45/H45*100</f>
        <v>27.9379157427938</v>
      </c>
      <c r="M45" s="94" t="n">
        <v>194</v>
      </c>
      <c r="N45" s="112" t="n">
        <f aca="false">O45/H45*100</f>
        <v>4.49889135254989</v>
      </c>
      <c r="O45" s="94" t="n">
        <v>20.29</v>
      </c>
      <c r="P45" s="94" t="n">
        <v>0</v>
      </c>
      <c r="Q45" s="94"/>
      <c r="R45" s="127"/>
      <c r="S45" s="112"/>
      <c r="T45" s="112"/>
      <c r="U45" s="112"/>
      <c r="V45" s="112"/>
      <c r="W45" s="112"/>
      <c r="X45" s="112"/>
      <c r="Y45" s="112"/>
      <c r="Z45" s="112"/>
      <c r="AA45" s="94"/>
      <c r="AB45" s="112"/>
      <c r="AC45" s="129"/>
      <c r="AD45" s="112"/>
      <c r="AE45" s="112"/>
    </row>
    <row r="46" customFormat="false" ht="15" hidden="false" customHeight="false" outlineLevel="0" collapsed="false">
      <c r="A46" s="94" t="s">
        <v>39</v>
      </c>
      <c r="B46" s="95" t="s">
        <v>849</v>
      </c>
      <c r="C46" s="95" t="s">
        <v>912</v>
      </c>
      <c r="D46" s="94" t="s">
        <v>913</v>
      </c>
      <c r="E46" s="95" t="n">
        <v>103825</v>
      </c>
      <c r="F46" s="94" t="n">
        <v>311</v>
      </c>
      <c r="G46" s="94" t="n">
        <v>98</v>
      </c>
      <c r="H46" s="94" t="n">
        <v>569</v>
      </c>
      <c r="I46" s="94" t="n">
        <v>289</v>
      </c>
      <c r="J46" s="94" t="n">
        <v>280</v>
      </c>
      <c r="K46" s="94" t="n">
        <v>164</v>
      </c>
      <c r="L46" s="112" t="n">
        <f aca="false">K46/H46*100</f>
        <v>28.8224956063269</v>
      </c>
      <c r="M46" s="94" t="n">
        <v>105</v>
      </c>
      <c r="N46" s="112" t="n">
        <f aca="false">O46/H46*100</f>
        <v>3.69068541300527</v>
      </c>
      <c r="O46" s="94" t="n">
        <v>21</v>
      </c>
      <c r="P46" s="94" t="n">
        <v>0</v>
      </c>
      <c r="Q46" s="94"/>
      <c r="R46" s="127"/>
      <c r="S46" s="112"/>
      <c r="T46" s="112"/>
      <c r="U46" s="112"/>
      <c r="V46" s="112"/>
      <c r="W46" s="112"/>
      <c r="X46" s="112"/>
      <c r="Y46" s="112"/>
      <c r="Z46" s="112"/>
      <c r="AA46" s="94"/>
      <c r="AB46" s="112"/>
      <c r="AC46" s="129"/>
      <c r="AD46" s="112"/>
      <c r="AE46" s="112"/>
    </row>
    <row r="47" customFormat="false" ht="15" hidden="false" customHeight="false" outlineLevel="0" collapsed="false">
      <c r="A47" s="94" t="s">
        <v>39</v>
      </c>
      <c r="B47" s="95" t="s">
        <v>849</v>
      </c>
      <c r="C47" s="95" t="s">
        <v>863</v>
      </c>
      <c r="D47" s="94" t="s">
        <v>914</v>
      </c>
      <c r="E47" s="95" t="n">
        <v>103826</v>
      </c>
      <c r="F47" s="94" t="n">
        <v>64.18</v>
      </c>
      <c r="G47" s="94" t="n">
        <v>51</v>
      </c>
      <c r="H47" s="94" t="n">
        <v>266</v>
      </c>
      <c r="I47" s="94" t="n">
        <v>142</v>
      </c>
      <c r="J47" s="94" t="n">
        <v>124</v>
      </c>
      <c r="K47" s="94" t="n">
        <v>9</v>
      </c>
      <c r="L47" s="112" t="n">
        <f aca="false">K47/H47*100</f>
        <v>3.38345864661654</v>
      </c>
      <c r="M47" s="94" t="n">
        <v>39</v>
      </c>
      <c r="N47" s="112" t="n">
        <f aca="false">O47/H47*100</f>
        <v>3.35338345864662</v>
      </c>
      <c r="O47" s="94" t="n">
        <v>8.92</v>
      </c>
      <c r="P47" s="94" t="n">
        <v>0</v>
      </c>
      <c r="Q47" s="113" t="s">
        <v>45</v>
      </c>
      <c r="R47" s="113" t="s">
        <v>262</v>
      </c>
      <c r="S47" s="112"/>
      <c r="T47" s="121" t="n">
        <v>57.99</v>
      </c>
      <c r="U47" s="112"/>
      <c r="V47" s="112"/>
      <c r="W47" s="112"/>
      <c r="X47" s="112"/>
      <c r="Y47" s="112"/>
      <c r="Z47" s="112"/>
      <c r="AA47" s="112" t="s">
        <v>82</v>
      </c>
      <c r="AB47" s="117" t="n">
        <v>0.5</v>
      </c>
      <c r="AC47" s="115" t="s">
        <v>852</v>
      </c>
      <c r="AD47" s="116" t="n">
        <v>24.779232</v>
      </c>
      <c r="AE47" s="116" t="n">
        <v>76.420865</v>
      </c>
    </row>
    <row r="48" customFormat="false" ht="15" hidden="false" customHeight="false" outlineLevel="0" collapsed="false">
      <c r="A48" s="94" t="s">
        <v>39</v>
      </c>
      <c r="B48" s="95" t="s">
        <v>849</v>
      </c>
      <c r="C48" s="95" t="s">
        <v>912</v>
      </c>
      <c r="D48" s="94" t="s">
        <v>915</v>
      </c>
      <c r="E48" s="95" t="n">
        <v>103827</v>
      </c>
      <c r="F48" s="94" t="n">
        <v>1126</v>
      </c>
      <c r="G48" s="94" t="n">
        <v>301</v>
      </c>
      <c r="H48" s="94" t="n">
        <v>1700</v>
      </c>
      <c r="I48" s="94" t="n">
        <v>909</v>
      </c>
      <c r="J48" s="94" t="n">
        <v>791</v>
      </c>
      <c r="K48" s="94" t="n">
        <v>675</v>
      </c>
      <c r="L48" s="112" t="n">
        <f aca="false">K48/H48*100</f>
        <v>39.7058823529412</v>
      </c>
      <c r="M48" s="94" t="n">
        <v>55</v>
      </c>
      <c r="N48" s="112" t="n">
        <f aca="false">O48/H48*100</f>
        <v>0.705882352941176</v>
      </c>
      <c r="O48" s="94" t="n">
        <v>12</v>
      </c>
      <c r="P48" s="94" t="n">
        <v>310</v>
      </c>
      <c r="Q48" s="113" t="s">
        <v>45</v>
      </c>
      <c r="R48" s="126" t="n">
        <v>44868</v>
      </c>
      <c r="S48" s="112"/>
      <c r="T48" s="121" t="s">
        <v>45</v>
      </c>
      <c r="U48" s="112"/>
      <c r="V48" s="112"/>
      <c r="W48" s="112"/>
      <c r="X48" s="112"/>
      <c r="Y48" s="112"/>
      <c r="Z48" s="112"/>
      <c r="AA48" s="112"/>
      <c r="AB48" s="112"/>
      <c r="AC48" s="115" t="s">
        <v>852</v>
      </c>
      <c r="AD48" s="116" t="n">
        <v>24.728226</v>
      </c>
      <c r="AE48" s="116" t="n">
        <v>76.403027</v>
      </c>
    </row>
    <row r="49" customFormat="false" ht="15" hidden="false" customHeight="false" outlineLevel="0" collapsed="false">
      <c r="A49" s="94" t="s">
        <v>39</v>
      </c>
      <c r="B49" s="95" t="s">
        <v>849</v>
      </c>
      <c r="C49" s="95" t="s">
        <v>912</v>
      </c>
      <c r="D49" s="94" t="s">
        <v>916</v>
      </c>
      <c r="E49" s="95" t="n">
        <v>103828</v>
      </c>
      <c r="F49" s="94" t="n">
        <v>379</v>
      </c>
      <c r="G49" s="94" t="n">
        <v>142</v>
      </c>
      <c r="H49" s="94" t="n">
        <v>686</v>
      </c>
      <c r="I49" s="94" t="n">
        <v>365</v>
      </c>
      <c r="J49" s="94" t="n">
        <v>321</v>
      </c>
      <c r="K49" s="94" t="n">
        <v>50</v>
      </c>
      <c r="L49" s="112" t="n">
        <f aca="false">K49/H49*100</f>
        <v>7.28862973760933</v>
      </c>
      <c r="M49" s="94" t="n">
        <v>0</v>
      </c>
      <c r="N49" s="112" t="n">
        <f aca="false">O49/H49*100</f>
        <v>8.16326530612245</v>
      </c>
      <c r="O49" s="94" t="n">
        <v>56</v>
      </c>
      <c r="P49" s="94" t="n">
        <v>82</v>
      </c>
      <c r="Q49" s="118" t="s">
        <v>43</v>
      </c>
      <c r="R49" s="118" t="s">
        <v>917</v>
      </c>
      <c r="S49" s="112"/>
      <c r="T49" s="118" t="n">
        <v>3.33</v>
      </c>
      <c r="U49" s="112"/>
      <c r="V49" s="112"/>
      <c r="W49" s="112"/>
      <c r="X49" s="112"/>
      <c r="Y49" s="112"/>
      <c r="Z49" s="112"/>
      <c r="AA49" s="118" t="s">
        <v>43</v>
      </c>
      <c r="AB49" s="118" t="n">
        <v>3</v>
      </c>
      <c r="AC49" s="115" t="s">
        <v>852</v>
      </c>
      <c r="AD49" s="118" t="n">
        <v>24.7393</v>
      </c>
      <c r="AE49" s="118" t="n">
        <v>76.4278</v>
      </c>
    </row>
    <row r="50" customFormat="false" ht="16.5" hidden="false" customHeight="false" outlineLevel="0" collapsed="false">
      <c r="A50" s="94" t="s">
        <v>39</v>
      </c>
      <c r="B50" s="95" t="s">
        <v>849</v>
      </c>
      <c r="C50" s="95" t="s">
        <v>918</v>
      </c>
      <c r="D50" s="94" t="s">
        <v>919</v>
      </c>
      <c r="E50" s="95" t="n">
        <v>103829</v>
      </c>
      <c r="F50" s="94" t="n">
        <v>438</v>
      </c>
      <c r="G50" s="94" t="n">
        <v>222</v>
      </c>
      <c r="H50" s="94" t="n">
        <v>1113</v>
      </c>
      <c r="I50" s="94" t="n">
        <v>556</v>
      </c>
      <c r="J50" s="94" t="n">
        <v>557</v>
      </c>
      <c r="K50" s="94" t="n">
        <v>185</v>
      </c>
      <c r="L50" s="112" t="n">
        <f aca="false">K50/H50*100</f>
        <v>16.6217430368374</v>
      </c>
      <c r="M50" s="94" t="n">
        <v>0</v>
      </c>
      <c r="N50" s="112" t="n">
        <f aca="false">O50/H50*100</f>
        <v>0</v>
      </c>
      <c r="O50" s="94" t="n">
        <v>0</v>
      </c>
      <c r="P50" s="94" t="n">
        <v>42</v>
      </c>
      <c r="Q50" s="123"/>
      <c r="R50" s="124"/>
      <c r="S50" s="112"/>
      <c r="T50" s="123"/>
      <c r="U50" s="112"/>
      <c r="V50" s="112"/>
      <c r="W50" s="112"/>
      <c r="X50" s="112"/>
      <c r="Y50" s="112"/>
      <c r="Z50" s="112"/>
      <c r="AA50" s="123"/>
      <c r="AB50" s="123"/>
      <c r="AC50" s="135"/>
      <c r="AD50" s="123"/>
      <c r="AE50" s="123"/>
    </row>
    <row r="51" customFormat="false" ht="15" hidden="false" customHeight="false" outlineLevel="0" collapsed="false">
      <c r="A51" s="94" t="s">
        <v>39</v>
      </c>
      <c r="B51" s="95" t="s">
        <v>849</v>
      </c>
      <c r="C51" s="95" t="s">
        <v>920</v>
      </c>
      <c r="D51" s="94" t="s">
        <v>921</v>
      </c>
      <c r="E51" s="95" t="n">
        <v>103833</v>
      </c>
      <c r="F51" s="94" t="n">
        <v>356.66</v>
      </c>
      <c r="G51" s="94" t="n">
        <v>256</v>
      </c>
      <c r="H51" s="94" t="n">
        <v>1252</v>
      </c>
      <c r="I51" s="94" t="n">
        <v>657</v>
      </c>
      <c r="J51" s="94" t="n">
        <v>595</v>
      </c>
      <c r="K51" s="94" t="n">
        <v>515</v>
      </c>
      <c r="L51" s="112" t="n">
        <f aca="false">K51/H51*100</f>
        <v>41.1341853035144</v>
      </c>
      <c r="M51" s="94" t="n">
        <v>0</v>
      </c>
      <c r="N51" s="112" t="n">
        <f aca="false">O51/H51*100</f>
        <v>1.9464856230032</v>
      </c>
      <c r="O51" s="94" t="n">
        <v>24.37</v>
      </c>
      <c r="P51" s="94" t="n">
        <v>0</v>
      </c>
      <c r="Q51" s="118" t="s">
        <v>45</v>
      </c>
      <c r="R51" s="118" t="s">
        <v>922</v>
      </c>
      <c r="S51" s="112"/>
      <c r="T51" s="118" t="n">
        <v>23.9815</v>
      </c>
      <c r="U51" s="112" t="s">
        <v>49</v>
      </c>
      <c r="V51" s="112" t="s">
        <v>49</v>
      </c>
      <c r="W51" s="112"/>
      <c r="X51" s="112"/>
      <c r="Y51" s="112"/>
      <c r="Z51" s="112"/>
      <c r="AA51" s="118" t="s">
        <v>272</v>
      </c>
      <c r="AB51" s="118" t="n">
        <v>0</v>
      </c>
      <c r="AC51" s="115" t="s">
        <v>852</v>
      </c>
      <c r="AD51" s="118" t="n">
        <v>24.73059</v>
      </c>
      <c r="AE51" s="118" t="n">
        <v>76.376085</v>
      </c>
    </row>
    <row r="52" customFormat="false" ht="17.25" hidden="false" customHeight="false" outlineLevel="0" collapsed="false">
      <c r="A52" s="94" t="s">
        <v>39</v>
      </c>
      <c r="B52" s="95" t="s">
        <v>849</v>
      </c>
      <c r="C52" s="95" t="s">
        <v>920</v>
      </c>
      <c r="D52" s="94" t="s">
        <v>808</v>
      </c>
      <c r="E52" s="95" t="n">
        <v>103834</v>
      </c>
      <c r="F52" s="94" t="n">
        <v>248.4</v>
      </c>
      <c r="G52" s="94" t="n">
        <v>51</v>
      </c>
      <c r="H52" s="94" t="n">
        <v>408</v>
      </c>
      <c r="I52" s="94" t="n">
        <v>205</v>
      </c>
      <c r="J52" s="94" t="n">
        <v>203</v>
      </c>
      <c r="K52" s="94" t="n">
        <v>22</v>
      </c>
      <c r="L52" s="112" t="n">
        <f aca="false">K52/H52*100</f>
        <v>5.3921568627451</v>
      </c>
      <c r="M52" s="94" t="n">
        <v>0</v>
      </c>
      <c r="N52" s="112" t="n">
        <f aca="false">O52/H52*100</f>
        <v>2.52205882352941</v>
      </c>
      <c r="O52" s="94" t="n">
        <v>10.29</v>
      </c>
      <c r="P52" s="94" t="n">
        <v>0</v>
      </c>
      <c r="Q52" s="123"/>
      <c r="R52" s="124"/>
      <c r="S52" s="112"/>
      <c r="T52" s="123"/>
      <c r="U52" s="112" t="s">
        <v>49</v>
      </c>
      <c r="V52" s="112" t="s">
        <v>49</v>
      </c>
      <c r="W52" s="112"/>
      <c r="X52" s="112"/>
      <c r="Y52" s="112"/>
      <c r="Z52" s="112"/>
      <c r="AA52" s="123"/>
      <c r="AB52" s="123"/>
      <c r="AC52" s="136"/>
      <c r="AD52" s="123"/>
      <c r="AE52" s="123"/>
    </row>
    <row r="53" customFormat="false" ht="15" hidden="false" customHeight="false" outlineLevel="0" collapsed="false">
      <c r="A53" s="94" t="s">
        <v>39</v>
      </c>
      <c r="B53" s="95" t="s">
        <v>849</v>
      </c>
      <c r="C53" s="95" t="s">
        <v>920</v>
      </c>
      <c r="D53" s="94" t="s">
        <v>923</v>
      </c>
      <c r="E53" s="95" t="n">
        <v>103835</v>
      </c>
      <c r="F53" s="94" t="n">
        <v>536.11</v>
      </c>
      <c r="G53" s="94" t="n">
        <v>195</v>
      </c>
      <c r="H53" s="94" t="n">
        <v>1058</v>
      </c>
      <c r="I53" s="94" t="n">
        <v>540</v>
      </c>
      <c r="J53" s="94" t="n">
        <v>518</v>
      </c>
      <c r="K53" s="94" t="n">
        <v>295</v>
      </c>
      <c r="L53" s="112" t="n">
        <f aca="false">K53/H53*100</f>
        <v>27.882797731569</v>
      </c>
      <c r="M53" s="94" t="n">
        <v>24</v>
      </c>
      <c r="N53" s="112" t="n">
        <f aca="false">O53/H53*100</f>
        <v>3.78071833648393</v>
      </c>
      <c r="O53" s="94" t="n">
        <v>40</v>
      </c>
      <c r="P53" s="94" t="n">
        <v>0</v>
      </c>
      <c r="Q53" s="94"/>
      <c r="R53" s="127"/>
      <c r="S53" s="112"/>
      <c r="T53" s="112"/>
      <c r="U53" s="112" t="s">
        <v>49</v>
      </c>
      <c r="V53" s="112" t="s">
        <v>49</v>
      </c>
      <c r="W53" s="112"/>
      <c r="X53" s="112"/>
      <c r="Y53" s="112"/>
      <c r="Z53" s="112"/>
      <c r="AA53" s="94"/>
      <c r="AB53" s="112"/>
      <c r="AC53" s="129"/>
      <c r="AD53" s="112"/>
      <c r="AE53" s="112"/>
    </row>
    <row r="54" customFormat="false" ht="15" hidden="false" customHeight="false" outlineLevel="0" collapsed="false">
      <c r="A54" s="94" t="s">
        <v>39</v>
      </c>
      <c r="B54" s="95" t="s">
        <v>849</v>
      </c>
      <c r="C54" s="95" t="s">
        <v>920</v>
      </c>
      <c r="D54" s="94" t="s">
        <v>924</v>
      </c>
      <c r="E54" s="95" t="n">
        <v>103836</v>
      </c>
      <c r="F54" s="94" t="n">
        <v>185.88</v>
      </c>
      <c r="G54" s="94" t="n">
        <v>51</v>
      </c>
      <c r="H54" s="94" t="n">
        <v>304</v>
      </c>
      <c r="I54" s="94" t="n">
        <v>163</v>
      </c>
      <c r="J54" s="94" t="n">
        <v>141</v>
      </c>
      <c r="K54" s="94" t="n">
        <v>153</v>
      </c>
      <c r="L54" s="112" t="n">
        <f aca="false">K54/H54*100</f>
        <v>50.328947368421</v>
      </c>
      <c r="M54" s="94" t="n">
        <v>0</v>
      </c>
      <c r="N54" s="112" t="n">
        <f aca="false">O54/H54*100</f>
        <v>4.51973684210526</v>
      </c>
      <c r="O54" s="94" t="n">
        <v>13.74</v>
      </c>
      <c r="P54" s="94" t="n">
        <v>0</v>
      </c>
      <c r="Q54" s="118" t="s">
        <v>45</v>
      </c>
      <c r="R54" s="118" t="s">
        <v>922</v>
      </c>
      <c r="S54" s="112"/>
      <c r="T54" s="118" t="n">
        <v>16.6162</v>
      </c>
      <c r="U54" s="112" t="s">
        <v>49</v>
      </c>
      <c r="V54" s="112" t="s">
        <v>49</v>
      </c>
      <c r="W54" s="112"/>
      <c r="X54" s="112"/>
      <c r="Y54" s="112"/>
      <c r="Z54" s="112"/>
      <c r="AA54" s="118" t="s">
        <v>272</v>
      </c>
      <c r="AB54" s="118" t="n">
        <v>0</v>
      </c>
      <c r="AC54" s="115" t="s">
        <v>852</v>
      </c>
      <c r="AD54" s="118" t="n">
        <v>24.753291</v>
      </c>
      <c r="AE54" s="118" t="n">
        <v>76.35181</v>
      </c>
    </row>
    <row r="55" customFormat="false" ht="15" hidden="false" customHeight="false" outlineLevel="0" collapsed="false">
      <c r="A55" s="94" t="s">
        <v>39</v>
      </c>
      <c r="B55" s="95" t="s">
        <v>849</v>
      </c>
      <c r="C55" s="95" t="s">
        <v>920</v>
      </c>
      <c r="D55" s="94" t="s">
        <v>925</v>
      </c>
      <c r="E55" s="95" t="n">
        <v>103837</v>
      </c>
      <c r="F55" s="94" t="n">
        <v>69.66</v>
      </c>
      <c r="G55" s="94" t="n">
        <v>43</v>
      </c>
      <c r="H55" s="94" t="n">
        <v>273</v>
      </c>
      <c r="I55" s="94" t="n">
        <v>138</v>
      </c>
      <c r="J55" s="94" t="n">
        <v>135</v>
      </c>
      <c r="K55" s="94" t="n">
        <v>79</v>
      </c>
      <c r="L55" s="112" t="n">
        <f aca="false">K55/H55*100</f>
        <v>28.9377289377289</v>
      </c>
      <c r="M55" s="94" t="n">
        <v>124</v>
      </c>
      <c r="N55" s="112" t="n">
        <f aca="false">O55/H55*100</f>
        <v>2.51282051282051</v>
      </c>
      <c r="O55" s="94" t="n">
        <v>6.86</v>
      </c>
      <c r="P55" s="94" t="n">
        <v>0</v>
      </c>
      <c r="Q55" s="118" t="s">
        <v>45</v>
      </c>
      <c r="R55" s="118" t="s">
        <v>922</v>
      </c>
      <c r="S55" s="112"/>
      <c r="T55" s="118" t="n">
        <v>8.1747</v>
      </c>
      <c r="U55" s="112" t="s">
        <v>49</v>
      </c>
      <c r="V55" s="112" t="s">
        <v>49</v>
      </c>
      <c r="W55" s="112"/>
      <c r="X55" s="112"/>
      <c r="Y55" s="112"/>
      <c r="Z55" s="112"/>
      <c r="AA55" s="118" t="s">
        <v>272</v>
      </c>
      <c r="AB55" s="118" t="n">
        <v>0</v>
      </c>
      <c r="AC55" s="115" t="s">
        <v>852</v>
      </c>
      <c r="AD55" s="118" t="n">
        <v>24.750898</v>
      </c>
      <c r="AE55" s="118" t="n">
        <v>76.3558</v>
      </c>
    </row>
    <row r="56" customFormat="false" ht="21" hidden="false" customHeight="false" outlineLevel="0" collapsed="false">
      <c r="A56" s="94" t="s">
        <v>39</v>
      </c>
      <c r="B56" s="95" t="s">
        <v>849</v>
      </c>
      <c r="C56" s="95" t="s">
        <v>926</v>
      </c>
      <c r="D56" s="94" t="s">
        <v>927</v>
      </c>
      <c r="E56" s="95" t="n">
        <v>103838</v>
      </c>
      <c r="F56" s="94" t="n">
        <v>548.68</v>
      </c>
      <c r="G56" s="94" t="n">
        <v>158</v>
      </c>
      <c r="H56" s="94" t="n">
        <v>844</v>
      </c>
      <c r="I56" s="94" t="n">
        <v>419</v>
      </c>
      <c r="J56" s="94" t="n">
        <v>425</v>
      </c>
      <c r="K56" s="94" t="n">
        <v>289</v>
      </c>
      <c r="L56" s="112" t="n">
        <f aca="false">K56/H56*100</f>
        <v>34.2417061611374</v>
      </c>
      <c r="M56" s="94" t="n">
        <v>293</v>
      </c>
      <c r="N56" s="112" t="n">
        <f aca="false">O56/H56*100</f>
        <v>3.93483412322275</v>
      </c>
      <c r="O56" s="94" t="n">
        <v>33.21</v>
      </c>
      <c r="P56" s="94" t="n">
        <v>0</v>
      </c>
      <c r="Q56" s="137"/>
      <c r="R56" s="138"/>
      <c r="S56" s="112"/>
      <c r="T56" s="137"/>
      <c r="U56" s="112" t="s">
        <v>49</v>
      </c>
      <c r="V56" s="112"/>
      <c r="W56" s="112"/>
      <c r="X56" s="112"/>
      <c r="Y56" s="112"/>
      <c r="Z56" s="112"/>
      <c r="AA56" s="137"/>
      <c r="AB56" s="137"/>
      <c r="AC56" s="139"/>
      <c r="AD56" s="137"/>
      <c r="AE56" s="137"/>
    </row>
    <row r="57" customFormat="false" ht="21" hidden="false" customHeight="false" outlineLevel="0" collapsed="false">
      <c r="A57" s="94" t="s">
        <v>39</v>
      </c>
      <c r="B57" s="95" t="s">
        <v>849</v>
      </c>
      <c r="C57" s="95" t="s">
        <v>926</v>
      </c>
      <c r="D57" s="94" t="s">
        <v>928</v>
      </c>
      <c r="E57" s="95" t="n">
        <v>103839</v>
      </c>
      <c r="F57" s="94" t="n">
        <v>351.65</v>
      </c>
      <c r="G57" s="94" t="n">
        <v>32</v>
      </c>
      <c r="H57" s="94" t="n">
        <v>193</v>
      </c>
      <c r="I57" s="94" t="n">
        <v>98</v>
      </c>
      <c r="J57" s="94" t="n">
        <v>95</v>
      </c>
      <c r="K57" s="94" t="n">
        <v>34</v>
      </c>
      <c r="L57" s="112" t="n">
        <f aca="false">K57/H57*100</f>
        <v>17.6165803108808</v>
      </c>
      <c r="M57" s="94" t="n">
        <v>143</v>
      </c>
      <c r="N57" s="112" t="n">
        <f aca="false">O57/H57*100</f>
        <v>6.72020725388601</v>
      </c>
      <c r="O57" s="94" t="n">
        <v>12.97</v>
      </c>
      <c r="P57" s="94" t="n">
        <v>0</v>
      </c>
      <c r="Q57" s="137"/>
      <c r="R57" s="138"/>
      <c r="S57" s="112"/>
      <c r="T57" s="137"/>
      <c r="U57" s="112" t="s">
        <v>49</v>
      </c>
      <c r="V57" s="112"/>
      <c r="W57" s="112"/>
      <c r="X57" s="112"/>
      <c r="Y57" s="112"/>
      <c r="Z57" s="112"/>
      <c r="AA57" s="137"/>
      <c r="AB57" s="137"/>
      <c r="AC57" s="139"/>
      <c r="AD57" s="137"/>
      <c r="AE57" s="137"/>
    </row>
    <row r="58" customFormat="false" ht="21" hidden="false" customHeight="false" outlineLevel="0" collapsed="false">
      <c r="A58" s="94" t="s">
        <v>39</v>
      </c>
      <c r="B58" s="95" t="s">
        <v>849</v>
      </c>
      <c r="C58" s="95" t="s">
        <v>926</v>
      </c>
      <c r="D58" s="94" t="s">
        <v>929</v>
      </c>
      <c r="E58" s="95" t="n">
        <v>103840</v>
      </c>
      <c r="F58" s="94" t="n">
        <v>226.69</v>
      </c>
      <c r="G58" s="94" t="n">
        <v>68</v>
      </c>
      <c r="H58" s="94" t="n">
        <v>419</v>
      </c>
      <c r="I58" s="94" t="n">
        <v>234</v>
      </c>
      <c r="J58" s="94" t="n">
        <v>185</v>
      </c>
      <c r="K58" s="94" t="n">
        <v>12</v>
      </c>
      <c r="L58" s="112" t="n">
        <f aca="false">K58/H58*100</f>
        <v>2.86396181384248</v>
      </c>
      <c r="M58" s="94" t="n">
        <v>153</v>
      </c>
      <c r="N58" s="112" t="n">
        <f aca="false">O58/H58*100</f>
        <v>3.5799522673031</v>
      </c>
      <c r="O58" s="94" t="n">
        <v>15</v>
      </c>
      <c r="P58" s="94" t="n">
        <v>20.76</v>
      </c>
      <c r="Q58" s="137"/>
      <c r="R58" s="138"/>
      <c r="S58" s="112"/>
      <c r="T58" s="137"/>
      <c r="U58" s="112" t="s">
        <v>49</v>
      </c>
      <c r="V58" s="112"/>
      <c r="W58" s="112"/>
      <c r="X58" s="112"/>
      <c r="Y58" s="112"/>
      <c r="Z58" s="112"/>
      <c r="AA58" s="137"/>
      <c r="AB58" s="137"/>
      <c r="AC58" s="139"/>
      <c r="AD58" s="137"/>
      <c r="AE58" s="137"/>
    </row>
    <row r="59" customFormat="false" ht="21" hidden="false" customHeight="false" outlineLevel="0" collapsed="false">
      <c r="A59" s="94" t="s">
        <v>39</v>
      </c>
      <c r="B59" s="95" t="s">
        <v>849</v>
      </c>
      <c r="C59" s="95" t="s">
        <v>900</v>
      </c>
      <c r="D59" s="94" t="s">
        <v>901</v>
      </c>
      <c r="E59" s="95" t="n">
        <v>103841</v>
      </c>
      <c r="F59" s="94" t="n">
        <v>188.67</v>
      </c>
      <c r="G59" s="94" t="n">
        <v>28</v>
      </c>
      <c r="H59" s="94" t="n">
        <v>166</v>
      </c>
      <c r="I59" s="94" t="n">
        <v>79</v>
      </c>
      <c r="J59" s="94" t="n">
        <v>87</v>
      </c>
      <c r="K59" s="94" t="n">
        <v>7</v>
      </c>
      <c r="L59" s="112" t="n">
        <f aca="false">K59/H59*100</f>
        <v>4.21686746987952</v>
      </c>
      <c r="M59" s="94" t="n">
        <v>159</v>
      </c>
      <c r="N59" s="112" t="n">
        <f aca="false">O59/H59*100</f>
        <v>6.70481927710843</v>
      </c>
      <c r="O59" s="94" t="n">
        <v>11.13</v>
      </c>
      <c r="P59" s="94" t="n">
        <v>0</v>
      </c>
      <c r="Q59" s="137"/>
      <c r="R59" s="138"/>
      <c r="S59" s="112"/>
      <c r="T59" s="137"/>
      <c r="U59" s="112"/>
      <c r="V59" s="112" t="s">
        <v>49</v>
      </c>
      <c r="W59" s="112"/>
      <c r="X59" s="112"/>
      <c r="Y59" s="112"/>
      <c r="Z59" s="112"/>
      <c r="AA59" s="137"/>
      <c r="AB59" s="137"/>
      <c r="AC59" s="139"/>
      <c r="AD59" s="137"/>
      <c r="AE59" s="137"/>
    </row>
    <row r="60" customFormat="false" ht="21" hidden="false" customHeight="false" outlineLevel="0" collapsed="false">
      <c r="A60" s="94" t="s">
        <v>39</v>
      </c>
      <c r="B60" s="95" t="s">
        <v>849</v>
      </c>
      <c r="C60" s="95" t="s">
        <v>900</v>
      </c>
      <c r="D60" s="94" t="s">
        <v>901</v>
      </c>
      <c r="E60" s="95" t="n">
        <v>103842</v>
      </c>
      <c r="F60" s="94" t="n">
        <v>143.09</v>
      </c>
      <c r="G60" s="94" t="n">
        <v>52</v>
      </c>
      <c r="H60" s="94" t="n">
        <v>298</v>
      </c>
      <c r="I60" s="94" t="n">
        <v>157</v>
      </c>
      <c r="J60" s="94" t="n">
        <v>141</v>
      </c>
      <c r="K60" s="94" t="n">
        <v>37</v>
      </c>
      <c r="L60" s="112" t="n">
        <f aca="false">K60/H60*100</f>
        <v>12.4161073825503</v>
      </c>
      <c r="M60" s="94" t="n">
        <v>63</v>
      </c>
      <c r="N60" s="112" t="n">
        <f aca="false">O60/H60*100</f>
        <v>2.97651006711409</v>
      </c>
      <c r="O60" s="94" t="n">
        <v>8.87</v>
      </c>
      <c r="P60" s="94" t="n">
        <v>0</v>
      </c>
      <c r="Q60" s="137"/>
      <c r="R60" s="138"/>
      <c r="S60" s="112"/>
      <c r="T60" s="137"/>
      <c r="U60" s="112"/>
      <c r="V60" s="112" t="s">
        <v>49</v>
      </c>
      <c r="W60" s="112"/>
      <c r="X60" s="112"/>
      <c r="Y60" s="112"/>
      <c r="Z60" s="112"/>
      <c r="AA60" s="137"/>
      <c r="AB60" s="137"/>
      <c r="AC60" s="139"/>
      <c r="AD60" s="137"/>
      <c r="AE60" s="137"/>
    </row>
    <row r="61" customFormat="false" ht="21" hidden="false" customHeight="false" outlineLevel="0" collapsed="false">
      <c r="A61" s="94" t="s">
        <v>39</v>
      </c>
      <c r="B61" s="95" t="s">
        <v>849</v>
      </c>
      <c r="C61" s="95" t="s">
        <v>930</v>
      </c>
      <c r="D61" s="94" t="s">
        <v>931</v>
      </c>
      <c r="E61" s="95" t="n">
        <v>103844</v>
      </c>
      <c r="F61" s="94" t="n">
        <v>616.45</v>
      </c>
      <c r="G61" s="94" t="n">
        <v>131</v>
      </c>
      <c r="H61" s="94" t="n">
        <v>714</v>
      </c>
      <c r="I61" s="94" t="n">
        <v>362</v>
      </c>
      <c r="J61" s="94" t="n">
        <v>352</v>
      </c>
      <c r="K61" s="94" t="n">
        <v>180</v>
      </c>
      <c r="L61" s="112" t="n">
        <f aca="false">K61/H61*100</f>
        <v>25.2100840336134</v>
      </c>
      <c r="M61" s="94" t="n">
        <v>0</v>
      </c>
      <c r="N61" s="112" t="n">
        <f aca="false">O61/H61*100</f>
        <v>4.17927170868347</v>
      </c>
      <c r="O61" s="94" t="n">
        <v>29.84</v>
      </c>
      <c r="P61" s="94" t="n">
        <v>0</v>
      </c>
      <c r="Q61" s="137"/>
      <c r="R61" s="138"/>
      <c r="S61" s="112"/>
      <c r="T61" s="137"/>
      <c r="U61" s="112"/>
      <c r="V61" s="112"/>
      <c r="W61" s="112"/>
      <c r="X61" s="112"/>
      <c r="Y61" s="112"/>
      <c r="Z61" s="112"/>
      <c r="AA61" s="137"/>
      <c r="AB61" s="137"/>
      <c r="AC61" s="139"/>
      <c r="AD61" s="137"/>
      <c r="AE61" s="137"/>
    </row>
    <row r="62" customFormat="false" ht="15" hidden="false" customHeight="false" outlineLevel="0" collapsed="false">
      <c r="A62" s="94" t="s">
        <v>39</v>
      </c>
      <c r="B62" s="95" t="s">
        <v>849</v>
      </c>
      <c r="C62" s="95" t="s">
        <v>894</v>
      </c>
      <c r="D62" s="94" t="s">
        <v>932</v>
      </c>
      <c r="E62" s="95" t="n">
        <v>103845</v>
      </c>
      <c r="F62" s="94" t="n">
        <v>483.98</v>
      </c>
      <c r="G62" s="94" t="n">
        <v>150</v>
      </c>
      <c r="H62" s="94" t="n">
        <v>867</v>
      </c>
      <c r="I62" s="94" t="n">
        <v>445</v>
      </c>
      <c r="J62" s="94" t="n">
        <v>422</v>
      </c>
      <c r="K62" s="94" t="n">
        <v>185</v>
      </c>
      <c r="L62" s="112" t="n">
        <f aca="false">K62/H62*100</f>
        <v>21.3379469434833</v>
      </c>
      <c r="M62" s="94" t="n">
        <v>21</v>
      </c>
      <c r="N62" s="112" t="n">
        <f aca="false">O62/H62*100</f>
        <v>2.75893886966551</v>
      </c>
      <c r="O62" s="94" t="n">
        <v>23.92</v>
      </c>
      <c r="P62" s="94" t="n">
        <v>0</v>
      </c>
      <c r="Q62" s="113" t="s">
        <v>45</v>
      </c>
      <c r="R62" s="126" t="n">
        <v>44868</v>
      </c>
      <c r="S62" s="112"/>
      <c r="T62" s="114" t="n">
        <v>12.5202</v>
      </c>
      <c r="U62" s="112"/>
      <c r="V62" s="112" t="s">
        <v>49</v>
      </c>
      <c r="W62" s="112"/>
      <c r="X62" s="112"/>
      <c r="Y62" s="112"/>
      <c r="Z62" s="112"/>
      <c r="AA62" s="121" t="s">
        <v>45</v>
      </c>
      <c r="AB62" s="117" t="n">
        <v>2</v>
      </c>
      <c r="AC62" s="115" t="s">
        <v>852</v>
      </c>
      <c r="AD62" s="116" t="n">
        <v>24.740408</v>
      </c>
      <c r="AE62" s="116" t="n">
        <v>76.25122</v>
      </c>
    </row>
    <row r="63" customFormat="false" ht="15" hidden="false" customHeight="false" outlineLevel="0" collapsed="false">
      <c r="A63" s="94" t="s">
        <v>39</v>
      </c>
      <c r="B63" s="95" t="s">
        <v>849</v>
      </c>
      <c r="C63" s="95" t="s">
        <v>894</v>
      </c>
      <c r="D63" s="94" t="s">
        <v>933</v>
      </c>
      <c r="E63" s="95" t="n">
        <v>103846</v>
      </c>
      <c r="F63" s="94" t="n">
        <v>300.6</v>
      </c>
      <c r="G63" s="94" t="n">
        <v>139</v>
      </c>
      <c r="H63" s="94" t="n">
        <v>797</v>
      </c>
      <c r="I63" s="94" t="n">
        <v>412</v>
      </c>
      <c r="J63" s="94" t="n">
        <v>385</v>
      </c>
      <c r="K63" s="94" t="n">
        <v>100</v>
      </c>
      <c r="L63" s="112" t="n">
        <f aca="false">K63/H63*100</f>
        <v>12.5470514429109</v>
      </c>
      <c r="M63" s="94" t="n">
        <v>0</v>
      </c>
      <c r="N63" s="112" t="n">
        <f aca="false">O63/H63*100</f>
        <v>4.01882057716437</v>
      </c>
      <c r="O63" s="94" t="n">
        <v>32.03</v>
      </c>
      <c r="P63" s="94" t="n">
        <v>0</v>
      </c>
      <c r="Q63" s="113" t="s">
        <v>45</v>
      </c>
      <c r="R63" s="113" t="s">
        <v>234</v>
      </c>
      <c r="S63" s="112"/>
      <c r="T63" s="114" t="n">
        <v>37.2195</v>
      </c>
      <c r="U63" s="112"/>
      <c r="V63" s="112"/>
      <c r="W63" s="112"/>
      <c r="X63" s="112"/>
      <c r="Y63" s="112"/>
      <c r="Z63" s="112"/>
      <c r="AA63" s="121" t="s">
        <v>45</v>
      </c>
      <c r="AB63" s="117" t="n">
        <v>1</v>
      </c>
      <c r="AC63" s="115" t="s">
        <v>852</v>
      </c>
      <c r="AD63" s="116" t="n">
        <v>24.731519</v>
      </c>
      <c r="AE63" s="116" t="n">
        <v>76.256007</v>
      </c>
    </row>
    <row r="64" customFormat="false" ht="15" hidden="false" customHeight="false" outlineLevel="0" collapsed="false">
      <c r="A64" s="94" t="s">
        <v>39</v>
      </c>
      <c r="B64" s="95" t="s">
        <v>849</v>
      </c>
      <c r="C64" s="95" t="s">
        <v>934</v>
      </c>
      <c r="D64" s="94" t="s">
        <v>935</v>
      </c>
      <c r="E64" s="95" t="n">
        <v>103847</v>
      </c>
      <c r="F64" s="94" t="n">
        <v>1498.9</v>
      </c>
      <c r="G64" s="94" t="n">
        <v>215</v>
      </c>
      <c r="H64" s="94" t="n">
        <v>1168</v>
      </c>
      <c r="I64" s="94" t="n">
        <v>618</v>
      </c>
      <c r="J64" s="94" t="n">
        <v>550</v>
      </c>
      <c r="K64" s="94" t="n">
        <v>139</v>
      </c>
      <c r="L64" s="112" t="n">
        <f aca="false">K64/H64*100</f>
        <v>11.9006849315069</v>
      </c>
      <c r="M64" s="94" t="n">
        <v>5</v>
      </c>
      <c r="N64" s="112" t="n">
        <f aca="false">O64/H64*100</f>
        <v>3.72602739726027</v>
      </c>
      <c r="O64" s="94" t="n">
        <v>43.52</v>
      </c>
      <c r="P64" s="94" t="n">
        <v>916.51</v>
      </c>
      <c r="Q64" s="113" t="s">
        <v>45</v>
      </c>
      <c r="R64" s="113" t="s">
        <v>322</v>
      </c>
      <c r="S64" s="112"/>
      <c r="T64" s="121" t="s">
        <v>45</v>
      </c>
      <c r="U64" s="112"/>
      <c r="V64" s="112"/>
      <c r="W64" s="112"/>
      <c r="X64" s="112"/>
      <c r="Y64" s="112"/>
      <c r="Z64" s="112"/>
      <c r="AA64" s="112"/>
      <c r="AB64" s="112"/>
      <c r="AC64" s="115" t="s">
        <v>852</v>
      </c>
      <c r="AD64" s="116" t="n">
        <v>24.700935</v>
      </c>
      <c r="AE64" s="116" t="n">
        <v>76.700935</v>
      </c>
    </row>
    <row r="65" customFormat="false" ht="15" hidden="false" customHeight="false" outlineLevel="0" collapsed="false">
      <c r="A65" s="94" t="s">
        <v>39</v>
      </c>
      <c r="B65" s="95" t="s">
        <v>849</v>
      </c>
      <c r="C65" s="95" t="s">
        <v>894</v>
      </c>
      <c r="D65" s="94" t="s">
        <v>936</v>
      </c>
      <c r="E65" s="95" t="n">
        <v>103848</v>
      </c>
      <c r="F65" s="94" t="n">
        <v>1357.17</v>
      </c>
      <c r="G65" s="94" t="n">
        <v>250</v>
      </c>
      <c r="H65" s="94" t="n">
        <v>1356</v>
      </c>
      <c r="I65" s="94" t="n">
        <v>702</v>
      </c>
      <c r="J65" s="94" t="n">
        <v>654</v>
      </c>
      <c r="K65" s="94" t="n">
        <v>368</v>
      </c>
      <c r="L65" s="112" t="n">
        <f aca="false">K65/H65*100</f>
        <v>27.1386430678466</v>
      </c>
      <c r="M65" s="94" t="n">
        <v>123</v>
      </c>
      <c r="N65" s="112" t="n">
        <f aca="false">O65/H65*100</f>
        <v>8.62463126843658</v>
      </c>
      <c r="O65" s="94" t="n">
        <v>116.95</v>
      </c>
      <c r="P65" s="94" t="n">
        <v>657.94</v>
      </c>
      <c r="Q65" s="113" t="s">
        <v>45</v>
      </c>
      <c r="R65" s="113" t="s">
        <v>257</v>
      </c>
      <c r="S65" s="112"/>
      <c r="T65" s="114" t="n">
        <v>50.8241</v>
      </c>
      <c r="U65" s="112"/>
      <c r="V65" s="112"/>
      <c r="W65" s="112"/>
      <c r="X65" s="112"/>
      <c r="Y65" s="112"/>
      <c r="Z65" s="112"/>
      <c r="AA65" s="121" t="s">
        <v>45</v>
      </c>
      <c r="AB65" s="117" t="n">
        <v>3</v>
      </c>
      <c r="AC65" s="115" t="s">
        <v>852</v>
      </c>
      <c r="AD65" s="116" t="n">
        <v>24.73966</v>
      </c>
      <c r="AE65" s="116" t="n">
        <v>76.199933</v>
      </c>
    </row>
    <row r="66" customFormat="false" ht="15" hidden="false" customHeight="false" outlineLevel="0" collapsed="false">
      <c r="A66" s="94" t="s">
        <v>39</v>
      </c>
      <c r="B66" s="95" t="s">
        <v>849</v>
      </c>
      <c r="C66" s="95" t="s">
        <v>934</v>
      </c>
      <c r="D66" s="94" t="s">
        <v>937</v>
      </c>
      <c r="E66" s="95" t="n">
        <v>103849</v>
      </c>
      <c r="F66" s="94" t="n">
        <v>2092.74</v>
      </c>
      <c r="G66" s="94" t="n">
        <v>136</v>
      </c>
      <c r="H66" s="94" t="n">
        <v>826</v>
      </c>
      <c r="I66" s="94" t="n">
        <v>430</v>
      </c>
      <c r="J66" s="94" t="n">
        <v>396</v>
      </c>
      <c r="K66" s="94" t="n">
        <v>234</v>
      </c>
      <c r="L66" s="112" t="n">
        <f aca="false">K66/H66*100</f>
        <v>28.3292978208232</v>
      </c>
      <c r="M66" s="94" t="n">
        <v>379</v>
      </c>
      <c r="N66" s="112" t="n">
        <f aca="false">O66/H66*100</f>
        <v>4.27239709443099</v>
      </c>
      <c r="O66" s="94" t="n">
        <v>35.29</v>
      </c>
      <c r="P66" s="94" t="n">
        <v>1593.11</v>
      </c>
      <c r="Q66" s="113" t="s">
        <v>45</v>
      </c>
      <c r="R66" s="126" t="n">
        <v>44837</v>
      </c>
      <c r="S66" s="112"/>
      <c r="T66" s="114" t="n">
        <v>21.8961</v>
      </c>
      <c r="U66" s="112"/>
      <c r="V66" s="112"/>
      <c r="W66" s="112"/>
      <c r="X66" s="112"/>
      <c r="Y66" s="112"/>
      <c r="Z66" s="112"/>
      <c r="AA66" s="112" t="s">
        <v>82</v>
      </c>
      <c r="AB66" s="112" t="n">
        <v>3</v>
      </c>
      <c r="AC66" s="115" t="s">
        <v>852</v>
      </c>
      <c r="AD66" s="116" t="n">
        <v>24.672665</v>
      </c>
      <c r="AE66" s="116" t="n">
        <v>76.1959</v>
      </c>
    </row>
    <row r="67" customFormat="false" ht="15" hidden="false" customHeight="false" outlineLevel="0" collapsed="false">
      <c r="A67" s="94" t="s">
        <v>39</v>
      </c>
      <c r="B67" s="95" t="s">
        <v>849</v>
      </c>
      <c r="C67" s="95" t="s">
        <v>934</v>
      </c>
      <c r="D67" s="94" t="s">
        <v>938</v>
      </c>
      <c r="E67" s="95" t="n">
        <v>103851</v>
      </c>
      <c r="F67" s="94" t="n">
        <v>538.11</v>
      </c>
      <c r="G67" s="94" t="n">
        <v>76</v>
      </c>
      <c r="H67" s="94" t="n">
        <v>353</v>
      </c>
      <c r="I67" s="94" t="n">
        <v>172</v>
      </c>
      <c r="J67" s="94" t="n">
        <v>181</v>
      </c>
      <c r="K67" s="94" t="n">
        <v>107</v>
      </c>
      <c r="L67" s="112" t="n">
        <f aca="false">K67/H67*100</f>
        <v>30.3116147308782</v>
      </c>
      <c r="M67" s="94" t="n">
        <v>0</v>
      </c>
      <c r="N67" s="112" t="n">
        <f aca="false">O67/H67*100</f>
        <v>7.42209631728045</v>
      </c>
      <c r="O67" s="94" t="n">
        <v>26.2</v>
      </c>
      <c r="P67" s="94" t="n">
        <v>210.42</v>
      </c>
      <c r="Q67" s="113" t="s">
        <v>45</v>
      </c>
      <c r="R67" s="126" t="n">
        <v>44837</v>
      </c>
      <c r="S67" s="112"/>
      <c r="T67" s="121" t="s">
        <v>45</v>
      </c>
      <c r="U67" s="112"/>
      <c r="V67" s="112"/>
      <c r="W67" s="112"/>
      <c r="X67" s="112"/>
      <c r="Y67" s="112"/>
      <c r="Z67" s="112"/>
      <c r="AA67" s="112"/>
      <c r="AB67" s="112"/>
      <c r="AC67" s="140"/>
      <c r="AD67" s="116" t="n">
        <v>24.672665</v>
      </c>
      <c r="AE67" s="116" t="n">
        <v>76.1959</v>
      </c>
    </row>
    <row r="68" customFormat="false" ht="15" hidden="false" customHeight="false" outlineLevel="0" collapsed="false">
      <c r="A68" s="94" t="s">
        <v>39</v>
      </c>
      <c r="B68" s="95" t="s">
        <v>849</v>
      </c>
      <c r="C68" s="95" t="s">
        <v>930</v>
      </c>
      <c r="D68" s="94" t="s">
        <v>462</v>
      </c>
      <c r="E68" s="95" t="n">
        <v>103852</v>
      </c>
      <c r="F68" s="94" t="n">
        <v>382.2</v>
      </c>
      <c r="G68" s="94" t="n">
        <v>137</v>
      </c>
      <c r="H68" s="94" t="n">
        <v>721</v>
      </c>
      <c r="I68" s="94" t="n">
        <v>376</v>
      </c>
      <c r="J68" s="94" t="n">
        <v>345</v>
      </c>
      <c r="K68" s="94" t="n">
        <v>63</v>
      </c>
      <c r="L68" s="112" t="n">
        <f aca="false">K68/H68*100</f>
        <v>8.7378640776699</v>
      </c>
      <c r="M68" s="94" t="n">
        <v>405</v>
      </c>
      <c r="N68" s="112" t="n">
        <f aca="false">O68/H68*100</f>
        <v>4.48543689320388</v>
      </c>
      <c r="O68" s="94" t="n">
        <v>32.34</v>
      </c>
      <c r="P68" s="94" t="n">
        <v>0</v>
      </c>
      <c r="Q68" s="141"/>
      <c r="R68" s="142"/>
      <c r="S68" s="112"/>
      <c r="T68" s="141"/>
      <c r="U68" s="112" t="s">
        <v>49</v>
      </c>
      <c r="V68" s="112"/>
      <c r="W68" s="112"/>
      <c r="X68" s="112"/>
      <c r="Y68" s="112"/>
      <c r="Z68" s="112"/>
      <c r="AA68" s="141"/>
      <c r="AB68" s="141"/>
      <c r="AC68" s="140"/>
      <c r="AD68" s="143"/>
      <c r="AE68" s="143"/>
    </row>
    <row r="69" customFormat="false" ht="15" hidden="false" customHeight="false" outlineLevel="0" collapsed="false">
      <c r="A69" s="94" t="s">
        <v>39</v>
      </c>
      <c r="B69" s="95" t="s">
        <v>849</v>
      </c>
      <c r="C69" s="95" t="s">
        <v>930</v>
      </c>
      <c r="D69" s="94" t="s">
        <v>939</v>
      </c>
      <c r="E69" s="95" t="n">
        <v>103854</v>
      </c>
      <c r="F69" s="94" t="n">
        <v>546.55</v>
      </c>
      <c r="G69" s="94" t="n">
        <v>261</v>
      </c>
      <c r="H69" s="94" t="n">
        <v>1364</v>
      </c>
      <c r="I69" s="94" t="n">
        <v>729</v>
      </c>
      <c r="J69" s="94" t="n">
        <v>635</v>
      </c>
      <c r="K69" s="94" t="n">
        <v>173</v>
      </c>
      <c r="L69" s="112" t="n">
        <f aca="false">K69/H69*100</f>
        <v>12.683284457478</v>
      </c>
      <c r="M69" s="94" t="n">
        <v>5</v>
      </c>
      <c r="N69" s="112" t="n">
        <f aca="false">O69/H69*100</f>
        <v>2.24340175953079</v>
      </c>
      <c r="O69" s="94" t="n">
        <v>30.6</v>
      </c>
      <c r="P69" s="94" t="n">
        <v>0</v>
      </c>
      <c r="Q69" s="94"/>
      <c r="R69" s="127"/>
      <c r="S69" s="112"/>
      <c r="T69" s="112"/>
      <c r="U69" s="112" t="s">
        <v>49</v>
      </c>
      <c r="V69" s="112" t="s">
        <v>49</v>
      </c>
      <c r="W69" s="112"/>
      <c r="X69" s="112"/>
      <c r="Y69" s="112"/>
      <c r="Z69" s="112"/>
      <c r="AA69" s="94"/>
      <c r="AB69" s="112"/>
      <c r="AC69" s="129"/>
      <c r="AD69" s="112"/>
      <c r="AE69" s="112"/>
    </row>
    <row r="70" customFormat="false" ht="15" hidden="false" customHeight="false" outlineLevel="0" collapsed="false">
      <c r="A70" s="94" t="s">
        <v>39</v>
      </c>
      <c r="B70" s="95" t="s">
        <v>849</v>
      </c>
      <c r="C70" s="95" t="s">
        <v>940</v>
      </c>
      <c r="D70" s="94" t="s">
        <v>941</v>
      </c>
      <c r="E70" s="95" t="n">
        <v>103855</v>
      </c>
      <c r="F70" s="94" t="n">
        <v>185.48</v>
      </c>
      <c r="G70" s="94" t="n">
        <v>55</v>
      </c>
      <c r="H70" s="94" t="n">
        <v>287</v>
      </c>
      <c r="I70" s="94" t="n">
        <v>145</v>
      </c>
      <c r="J70" s="94" t="n">
        <v>142</v>
      </c>
      <c r="K70" s="94" t="n">
        <v>31</v>
      </c>
      <c r="L70" s="112" t="n">
        <f aca="false">K70/H70*100</f>
        <v>10.801393728223</v>
      </c>
      <c r="M70" s="94" t="n">
        <v>209</v>
      </c>
      <c r="N70" s="112" t="n">
        <f aca="false">O70/H70*100</f>
        <v>1.04878048780488</v>
      </c>
      <c r="O70" s="94" t="n">
        <v>3.01</v>
      </c>
      <c r="P70" s="94" t="n">
        <v>0</v>
      </c>
      <c r="Q70" s="94"/>
      <c r="R70" s="127"/>
      <c r="S70" s="112"/>
      <c r="T70" s="112"/>
      <c r="U70" s="112" t="s">
        <v>49</v>
      </c>
      <c r="V70" s="112" t="s">
        <v>49</v>
      </c>
      <c r="W70" s="112"/>
      <c r="X70" s="112"/>
      <c r="Y70" s="112"/>
      <c r="Z70" s="112"/>
      <c r="AA70" s="94"/>
      <c r="AB70" s="112"/>
      <c r="AC70" s="129"/>
      <c r="AD70" s="112"/>
      <c r="AE70" s="112"/>
    </row>
    <row r="71" customFormat="false" ht="15" hidden="false" customHeight="false" outlineLevel="0" collapsed="false">
      <c r="A71" s="94" t="s">
        <v>39</v>
      </c>
      <c r="B71" s="95" t="s">
        <v>849</v>
      </c>
      <c r="C71" s="95" t="s">
        <v>942</v>
      </c>
      <c r="D71" s="94" t="s">
        <v>943</v>
      </c>
      <c r="E71" s="95" t="n">
        <v>103856</v>
      </c>
      <c r="F71" s="94" t="n">
        <v>251.93</v>
      </c>
      <c r="G71" s="94" t="n">
        <v>75</v>
      </c>
      <c r="H71" s="94" t="n">
        <v>441</v>
      </c>
      <c r="I71" s="94" t="n">
        <v>221</v>
      </c>
      <c r="J71" s="94" t="n">
        <v>220</v>
      </c>
      <c r="K71" s="94" t="n">
        <v>21</v>
      </c>
      <c r="L71" s="112" t="n">
        <f aca="false">K71/H71*100</f>
        <v>4.76190476190476</v>
      </c>
      <c r="M71" s="94" t="n">
        <v>379</v>
      </c>
      <c r="N71" s="112" t="n">
        <f aca="false">O71/H71*100</f>
        <v>2.13832199546485</v>
      </c>
      <c r="O71" s="94" t="n">
        <v>9.43</v>
      </c>
      <c r="P71" s="94" t="n">
        <v>0</v>
      </c>
      <c r="Q71" s="94"/>
      <c r="R71" s="127"/>
      <c r="S71" s="112"/>
      <c r="T71" s="112"/>
      <c r="U71" s="112"/>
      <c r="V71" s="112"/>
      <c r="W71" s="112"/>
      <c r="X71" s="112"/>
      <c r="Y71" s="112"/>
      <c r="Z71" s="112"/>
      <c r="AA71" s="94"/>
      <c r="AB71" s="112"/>
      <c r="AC71" s="129"/>
      <c r="AD71" s="112"/>
      <c r="AE71" s="112"/>
    </row>
    <row r="72" customFormat="false" ht="15" hidden="false" customHeight="false" outlineLevel="0" collapsed="false">
      <c r="A72" s="94" t="s">
        <v>39</v>
      </c>
      <c r="B72" s="95" t="s">
        <v>849</v>
      </c>
      <c r="C72" s="95" t="s">
        <v>942</v>
      </c>
      <c r="D72" s="94" t="s">
        <v>944</v>
      </c>
      <c r="E72" s="95" t="n">
        <v>103857</v>
      </c>
      <c r="F72" s="94" t="n">
        <v>122.91</v>
      </c>
      <c r="G72" s="94" t="n">
        <v>58</v>
      </c>
      <c r="H72" s="94" t="n">
        <v>268</v>
      </c>
      <c r="I72" s="94" t="n">
        <v>137</v>
      </c>
      <c r="J72" s="94" t="n">
        <v>131</v>
      </c>
      <c r="K72" s="94" t="n">
        <v>20</v>
      </c>
      <c r="L72" s="112" t="n">
        <f aca="false">K72/H72*100</f>
        <v>7.46268656716418</v>
      </c>
      <c r="M72" s="94" t="n">
        <v>238</v>
      </c>
      <c r="N72" s="112" t="n">
        <f aca="false">O72/H72*100</f>
        <v>3.47761194029851</v>
      </c>
      <c r="O72" s="94" t="n">
        <v>9.32</v>
      </c>
      <c r="P72" s="94" t="n">
        <v>0</v>
      </c>
      <c r="Q72" s="94"/>
      <c r="R72" s="127"/>
      <c r="S72" s="112"/>
      <c r="T72" s="112"/>
      <c r="U72" s="112"/>
      <c r="V72" s="112"/>
      <c r="W72" s="112"/>
      <c r="X72" s="112"/>
      <c r="Y72" s="112"/>
      <c r="Z72" s="112"/>
      <c r="AA72" s="94"/>
      <c r="AB72" s="112"/>
      <c r="AC72" s="129"/>
      <c r="AD72" s="112"/>
      <c r="AE72" s="112"/>
    </row>
    <row r="73" customFormat="false" ht="15" hidden="false" customHeight="false" outlineLevel="0" collapsed="false">
      <c r="A73" s="94" t="s">
        <v>39</v>
      </c>
      <c r="B73" s="95" t="s">
        <v>849</v>
      </c>
      <c r="C73" s="95" t="s">
        <v>942</v>
      </c>
      <c r="D73" s="94" t="s">
        <v>945</v>
      </c>
      <c r="E73" s="95" t="n">
        <v>103858</v>
      </c>
      <c r="F73" s="94" t="n">
        <v>864.52</v>
      </c>
      <c r="G73" s="94" t="n">
        <v>129</v>
      </c>
      <c r="H73" s="94" t="n">
        <v>628</v>
      </c>
      <c r="I73" s="94" t="n">
        <v>315</v>
      </c>
      <c r="J73" s="94" t="n">
        <v>313</v>
      </c>
      <c r="K73" s="94" t="n">
        <v>154</v>
      </c>
      <c r="L73" s="112" t="n">
        <f aca="false">K73/H73*100</f>
        <v>24.5222929936306</v>
      </c>
      <c r="M73" s="94" t="n">
        <v>15</v>
      </c>
      <c r="N73" s="112" t="n">
        <f aca="false">O73/H73*100</f>
        <v>6.5</v>
      </c>
      <c r="O73" s="94" t="n">
        <v>40.82</v>
      </c>
      <c r="P73" s="94" t="n">
        <v>353.82</v>
      </c>
      <c r="Q73" s="113" t="s">
        <v>45</v>
      </c>
      <c r="R73" s="126" t="n">
        <v>44622</v>
      </c>
      <c r="S73" s="112"/>
      <c r="T73" s="121" t="s">
        <v>45</v>
      </c>
      <c r="U73" s="112"/>
      <c r="V73" s="112"/>
      <c r="W73" s="112"/>
      <c r="X73" s="112"/>
      <c r="Y73" s="112"/>
      <c r="Z73" s="112"/>
      <c r="AA73" s="112" t="s">
        <v>946</v>
      </c>
      <c r="AB73" s="112"/>
      <c r="AC73" s="115" t="s">
        <v>852</v>
      </c>
      <c r="AD73" s="116" t="n">
        <v>24.681701</v>
      </c>
      <c r="AE73" s="116" t="n">
        <v>76.256087</v>
      </c>
    </row>
    <row r="74" customFormat="false" ht="15" hidden="false" customHeight="false" outlineLevel="0" collapsed="false">
      <c r="A74" s="94" t="s">
        <v>39</v>
      </c>
      <c r="B74" s="95" t="s">
        <v>849</v>
      </c>
      <c r="C74" s="95" t="s">
        <v>947</v>
      </c>
      <c r="D74" s="94" t="s">
        <v>948</v>
      </c>
      <c r="E74" s="95" t="n">
        <v>103873</v>
      </c>
      <c r="F74" s="94" t="n">
        <v>464.31</v>
      </c>
      <c r="G74" s="94" t="n">
        <v>112</v>
      </c>
      <c r="H74" s="94" t="n">
        <v>565</v>
      </c>
      <c r="I74" s="94" t="n">
        <v>291</v>
      </c>
      <c r="J74" s="94" t="n">
        <v>274</v>
      </c>
      <c r="K74" s="94" t="n">
        <v>56</v>
      </c>
      <c r="L74" s="112" t="n">
        <f aca="false">K74/H74*100</f>
        <v>9.91150442477876</v>
      </c>
      <c r="M74" s="94" t="n">
        <v>0</v>
      </c>
      <c r="N74" s="112" t="n">
        <f aca="false">O74/H74*100</f>
        <v>3.19646017699115</v>
      </c>
      <c r="O74" s="94" t="n">
        <v>18.06</v>
      </c>
      <c r="P74" s="94" t="n">
        <v>0</v>
      </c>
      <c r="Q74" s="113" t="s">
        <v>45</v>
      </c>
      <c r="R74" s="126" t="n">
        <v>44595</v>
      </c>
      <c r="S74" s="112"/>
      <c r="T74" s="114" t="n">
        <v>41.8238</v>
      </c>
      <c r="U74" s="112" t="s">
        <v>49</v>
      </c>
      <c r="V74" s="112" t="s">
        <v>49</v>
      </c>
      <c r="W74" s="112"/>
      <c r="X74" s="112"/>
      <c r="Y74" s="112"/>
      <c r="Z74" s="112"/>
      <c r="AA74" s="121" t="s">
        <v>45</v>
      </c>
      <c r="AB74" s="121" t="n">
        <v>1</v>
      </c>
      <c r="AC74" s="115" t="s">
        <v>852</v>
      </c>
      <c r="AD74" s="116" t="n">
        <v>24.695247</v>
      </c>
      <c r="AE74" s="116" t="n">
        <v>76.338842</v>
      </c>
    </row>
    <row r="75" customFormat="false" ht="15" hidden="false" customHeight="false" outlineLevel="0" collapsed="false">
      <c r="A75" s="94" t="s">
        <v>39</v>
      </c>
      <c r="B75" s="95" t="s">
        <v>849</v>
      </c>
      <c r="C75" s="95" t="s">
        <v>947</v>
      </c>
      <c r="D75" s="94" t="s">
        <v>949</v>
      </c>
      <c r="E75" s="95" t="n">
        <v>103897</v>
      </c>
      <c r="F75" s="94" t="n">
        <v>101.34</v>
      </c>
      <c r="G75" s="94" t="n">
        <v>57</v>
      </c>
      <c r="H75" s="94" t="n">
        <v>315</v>
      </c>
      <c r="I75" s="94" t="n">
        <v>160</v>
      </c>
      <c r="J75" s="94" t="n">
        <v>155</v>
      </c>
      <c r="K75" s="94" t="n">
        <v>26</v>
      </c>
      <c r="L75" s="112" t="n">
        <f aca="false">K75/H75*100</f>
        <v>8.25396825396825</v>
      </c>
      <c r="M75" s="94" t="n">
        <v>216</v>
      </c>
      <c r="N75" s="112" t="n">
        <f aca="false">O75/H75*100</f>
        <v>2.86666666666667</v>
      </c>
      <c r="O75" s="94" t="n">
        <v>9.03</v>
      </c>
      <c r="P75" s="94" t="n">
        <v>0</v>
      </c>
      <c r="Q75" s="112"/>
      <c r="R75" s="112"/>
      <c r="S75" s="112"/>
      <c r="T75" s="114" t="n">
        <v>12.4634</v>
      </c>
      <c r="U75" s="112" t="s">
        <v>49</v>
      </c>
      <c r="V75" s="112" t="s">
        <v>49</v>
      </c>
      <c r="W75" s="112"/>
      <c r="X75" s="112"/>
      <c r="Y75" s="112"/>
      <c r="Z75" s="112"/>
      <c r="AA75" s="121" t="s">
        <v>45</v>
      </c>
      <c r="AB75" s="121" t="n">
        <v>2</v>
      </c>
      <c r="AC75" s="115" t="s">
        <v>852</v>
      </c>
      <c r="AD75" s="116" t="n">
        <v>24.668789</v>
      </c>
      <c r="AE75" s="116" t="n">
        <v>76.328428</v>
      </c>
    </row>
    <row r="76" customFormat="false" ht="15" hidden="false" customHeight="false" outlineLevel="0" collapsed="false">
      <c r="A76" s="94" t="s">
        <v>39</v>
      </c>
      <c r="B76" s="95" t="s">
        <v>849</v>
      </c>
      <c r="C76" s="95" t="s">
        <v>947</v>
      </c>
      <c r="D76" s="94" t="s">
        <v>950</v>
      </c>
      <c r="E76" s="95" t="n">
        <v>103903</v>
      </c>
      <c r="F76" s="94" t="n">
        <v>303</v>
      </c>
      <c r="G76" s="94" t="n">
        <v>230</v>
      </c>
      <c r="H76" s="94" t="n">
        <v>1173</v>
      </c>
      <c r="I76" s="94" t="n">
        <v>613</v>
      </c>
      <c r="J76" s="94" t="n">
        <v>560</v>
      </c>
      <c r="K76" s="94" t="n">
        <v>249</v>
      </c>
      <c r="L76" s="112" t="n">
        <f aca="false">K76/H76*100</f>
        <v>21.227621483376</v>
      </c>
      <c r="M76" s="94" t="n">
        <v>24</v>
      </c>
      <c r="N76" s="112" t="n">
        <f aca="false">O76/H76*100</f>
        <v>0.682011935208866</v>
      </c>
      <c r="O76" s="94" t="n">
        <v>8</v>
      </c>
      <c r="P76" s="94" t="n">
        <v>0</v>
      </c>
      <c r="Q76" s="112"/>
      <c r="R76" s="112"/>
      <c r="S76" s="112"/>
      <c r="T76" s="112"/>
      <c r="U76" s="112" t="s">
        <v>49</v>
      </c>
      <c r="V76" s="112" t="s">
        <v>49</v>
      </c>
      <c r="W76" s="112"/>
      <c r="X76" s="112"/>
      <c r="Y76" s="112"/>
      <c r="Z76" s="112"/>
      <c r="AA76" s="112"/>
      <c r="AB76" s="112"/>
      <c r="AC76" s="128"/>
      <c r="AD76" s="112"/>
      <c r="AE76" s="112"/>
    </row>
    <row r="77" customFormat="false" ht="15" hidden="false" customHeight="false" outlineLevel="0" collapsed="false">
      <c r="A77" s="94" t="s">
        <v>39</v>
      </c>
      <c r="B77" s="95" t="s">
        <v>849</v>
      </c>
      <c r="C77" s="95" t="s">
        <v>947</v>
      </c>
      <c r="D77" s="94" t="s">
        <v>281</v>
      </c>
      <c r="E77" s="95" t="n">
        <v>103876</v>
      </c>
      <c r="F77" s="94" t="n">
        <v>482.06</v>
      </c>
      <c r="G77" s="94" t="n">
        <v>198</v>
      </c>
      <c r="H77" s="94" t="n">
        <v>924</v>
      </c>
      <c r="I77" s="94" t="n">
        <v>487</v>
      </c>
      <c r="J77" s="94" t="n">
        <v>437</v>
      </c>
      <c r="K77" s="94" t="n">
        <v>505</v>
      </c>
      <c r="L77" s="112" t="n">
        <f aca="false">K77/H77*100</f>
        <v>54.6536796536797</v>
      </c>
      <c r="M77" s="94" t="n">
        <v>2</v>
      </c>
      <c r="N77" s="112" t="n">
        <f aca="false">O77/H77*100</f>
        <v>8.23268398268398</v>
      </c>
      <c r="O77" s="94" t="n">
        <v>76.07</v>
      </c>
      <c r="P77" s="94" t="n">
        <v>137.9</v>
      </c>
      <c r="Q77" s="112"/>
      <c r="R77" s="112"/>
      <c r="S77" s="112"/>
      <c r="T77" s="112"/>
      <c r="U77" s="112" t="s">
        <v>49</v>
      </c>
      <c r="V77" s="112" t="s">
        <v>49</v>
      </c>
      <c r="W77" s="112"/>
      <c r="X77" s="112"/>
      <c r="Y77" s="112"/>
      <c r="Z77" s="112"/>
      <c r="AA77" s="112"/>
      <c r="AB77" s="112"/>
      <c r="AC77" s="128"/>
      <c r="AD77" s="112"/>
      <c r="AE77" s="112"/>
    </row>
    <row r="78" customFormat="false" ht="15" hidden="false" customHeight="false" outlineLevel="0" collapsed="false">
      <c r="A78" s="94" t="s">
        <v>39</v>
      </c>
      <c r="B78" s="95" t="s">
        <v>849</v>
      </c>
      <c r="C78" s="95" t="s">
        <v>877</v>
      </c>
      <c r="D78" s="94" t="s">
        <v>887</v>
      </c>
      <c r="E78" s="95" t="n">
        <v>103808</v>
      </c>
      <c r="F78" s="94" t="n">
        <v>209.48</v>
      </c>
      <c r="G78" s="94" t="n">
        <v>30</v>
      </c>
      <c r="H78" s="94" t="n">
        <v>132</v>
      </c>
      <c r="I78" s="94" t="n">
        <v>64</v>
      </c>
      <c r="J78" s="94" t="n">
        <v>68</v>
      </c>
      <c r="K78" s="94" t="n">
        <v>88</v>
      </c>
      <c r="L78" s="112" t="n">
        <f aca="false">K78/H78*100</f>
        <v>66.6666666666667</v>
      </c>
      <c r="M78" s="94" t="n">
        <v>0</v>
      </c>
      <c r="N78" s="112" t="n">
        <f aca="false">O78/H78*100</f>
        <v>0</v>
      </c>
      <c r="O78" s="94" t="n">
        <v>0</v>
      </c>
      <c r="P78" s="94" t="n">
        <v>73.22</v>
      </c>
      <c r="Q78" s="123"/>
      <c r="R78" s="124"/>
      <c r="S78" s="112"/>
      <c r="T78" s="123"/>
      <c r="U78" s="112"/>
      <c r="V78" s="112"/>
      <c r="W78" s="112"/>
      <c r="X78" s="112"/>
      <c r="Y78" s="112"/>
      <c r="Z78" s="112"/>
      <c r="AA78" s="123"/>
      <c r="AB78" s="123"/>
      <c r="AC78" s="130"/>
      <c r="AD78" s="123"/>
      <c r="AE78" s="123"/>
    </row>
    <row r="79" customFormat="false" ht="15" hidden="false" customHeight="false" outlineLevel="0" collapsed="false">
      <c r="A79" s="94" t="s">
        <v>39</v>
      </c>
      <c r="B79" s="95" t="s">
        <v>849</v>
      </c>
      <c r="C79" s="95" t="s">
        <v>951</v>
      </c>
      <c r="D79" s="94" t="s">
        <v>952</v>
      </c>
      <c r="E79" s="95" t="n">
        <v>103861</v>
      </c>
      <c r="F79" s="94" t="n">
        <v>759.66</v>
      </c>
      <c r="G79" s="94" t="n">
        <v>268</v>
      </c>
      <c r="H79" s="94" t="n">
        <v>1355</v>
      </c>
      <c r="I79" s="94" t="n">
        <v>719</v>
      </c>
      <c r="J79" s="94" t="n">
        <v>636</v>
      </c>
      <c r="K79" s="94" t="n">
        <v>155</v>
      </c>
      <c r="L79" s="112" t="n">
        <f aca="false">K79/H79*100</f>
        <v>11.4391143911439</v>
      </c>
      <c r="M79" s="94" t="n">
        <v>114</v>
      </c>
      <c r="N79" s="112" t="n">
        <f aca="false">O79/H79*100</f>
        <v>0</v>
      </c>
      <c r="O79" s="94" t="n">
        <v>0</v>
      </c>
      <c r="P79" s="94" t="n">
        <v>0</v>
      </c>
      <c r="Q79" s="113" t="s">
        <v>45</v>
      </c>
      <c r="R79" s="113" t="s">
        <v>332</v>
      </c>
      <c r="S79" s="112"/>
      <c r="T79" s="114" t="n">
        <v>41.7385</v>
      </c>
      <c r="U79" s="112" t="s">
        <v>49</v>
      </c>
      <c r="V79" s="112" t="s">
        <v>49</v>
      </c>
      <c r="W79" s="112"/>
      <c r="X79" s="112"/>
      <c r="Y79" s="112"/>
      <c r="Z79" s="112"/>
      <c r="AA79" s="121" t="s">
        <v>45</v>
      </c>
      <c r="AB79" s="121" t="n">
        <v>2</v>
      </c>
      <c r="AC79" s="115" t="s">
        <v>852</v>
      </c>
      <c r="AD79" s="116"/>
      <c r="AE79" s="116" t="n">
        <v>76.26469</v>
      </c>
    </row>
    <row r="80" customFormat="false" ht="15" hidden="false" customHeight="false" outlineLevel="0" collapsed="false">
      <c r="A80" s="94" t="s">
        <v>39</v>
      </c>
      <c r="B80" s="95" t="s">
        <v>849</v>
      </c>
      <c r="C80" s="95" t="s">
        <v>951</v>
      </c>
      <c r="D80" s="94" t="s">
        <v>953</v>
      </c>
      <c r="E80" s="95" t="n">
        <v>103862</v>
      </c>
      <c r="F80" s="94" t="n">
        <v>103.96</v>
      </c>
      <c r="G80" s="94" t="n">
        <v>45</v>
      </c>
      <c r="H80" s="94" t="n">
        <v>207</v>
      </c>
      <c r="I80" s="94" t="n">
        <v>112</v>
      </c>
      <c r="J80" s="94" t="n">
        <v>95</v>
      </c>
      <c r="K80" s="94" t="n">
        <v>0</v>
      </c>
      <c r="L80" s="112" t="n">
        <f aca="false">K80/H80*100</f>
        <v>0</v>
      </c>
      <c r="M80" s="94" t="n">
        <v>206</v>
      </c>
      <c r="N80" s="112" t="n">
        <f aca="false">O80/H80*100</f>
        <v>0.801932367149758</v>
      </c>
      <c r="O80" s="94" t="n">
        <v>1.66</v>
      </c>
      <c r="P80" s="94" t="n">
        <v>0</v>
      </c>
      <c r="Q80" s="123"/>
      <c r="R80" s="124"/>
      <c r="S80" s="112"/>
      <c r="T80" s="123"/>
      <c r="U80" s="112" t="s">
        <v>49</v>
      </c>
      <c r="V80" s="112" t="s">
        <v>49</v>
      </c>
      <c r="W80" s="112"/>
      <c r="X80" s="112"/>
      <c r="Y80" s="112"/>
      <c r="Z80" s="112"/>
      <c r="AA80" s="123"/>
      <c r="AB80" s="123"/>
      <c r="AC80" s="130"/>
      <c r="AD80" s="123"/>
      <c r="AE80" s="123"/>
    </row>
    <row r="81" customFormat="false" ht="15" hidden="false" customHeight="false" outlineLevel="0" collapsed="false">
      <c r="A81" s="94" t="s">
        <v>39</v>
      </c>
      <c r="B81" s="95" t="s">
        <v>849</v>
      </c>
      <c r="C81" s="95" t="s">
        <v>942</v>
      </c>
      <c r="D81" s="94" t="s">
        <v>954</v>
      </c>
      <c r="E81" s="95" t="n">
        <v>103863</v>
      </c>
      <c r="F81" s="94" t="n">
        <v>228.73</v>
      </c>
      <c r="G81" s="94" t="n">
        <v>123</v>
      </c>
      <c r="H81" s="94" t="n">
        <v>649</v>
      </c>
      <c r="I81" s="94" t="n">
        <v>346</v>
      </c>
      <c r="J81" s="94" t="n">
        <v>303</v>
      </c>
      <c r="K81" s="94" t="n">
        <v>184</v>
      </c>
      <c r="L81" s="112" t="n">
        <f aca="false">K81/H81*100</f>
        <v>28.3513097072419</v>
      </c>
      <c r="M81" s="94" t="n">
        <v>30</v>
      </c>
      <c r="N81" s="112" t="n">
        <f aca="false">O81/H81*100</f>
        <v>2.15408320493066</v>
      </c>
      <c r="O81" s="94" t="n">
        <v>13.98</v>
      </c>
      <c r="P81" s="94" t="n">
        <v>0</v>
      </c>
      <c r="Q81" s="113" t="s">
        <v>45</v>
      </c>
      <c r="R81" s="113" t="s">
        <v>955</v>
      </c>
      <c r="S81" s="112"/>
      <c r="T81" s="121" t="s">
        <v>45</v>
      </c>
      <c r="U81" s="112"/>
      <c r="V81" s="112"/>
      <c r="W81" s="112"/>
      <c r="X81" s="112"/>
      <c r="Y81" s="112"/>
      <c r="Z81" s="112"/>
      <c r="AA81" s="112"/>
      <c r="AB81" s="112"/>
      <c r="AC81" s="113" t="s">
        <v>956</v>
      </c>
      <c r="AD81" s="116" t="n">
        <v>24.676613</v>
      </c>
      <c r="AE81" s="116" t="n">
        <v>76.281483</v>
      </c>
    </row>
    <row r="82" customFormat="false" ht="15" hidden="false" customHeight="false" outlineLevel="0" collapsed="false">
      <c r="A82" s="94" t="s">
        <v>39</v>
      </c>
      <c r="B82" s="95" t="s">
        <v>849</v>
      </c>
      <c r="C82" s="95" t="s">
        <v>942</v>
      </c>
      <c r="D82" s="113" t="s">
        <v>957</v>
      </c>
      <c r="E82" s="95" t="n">
        <v>103864</v>
      </c>
      <c r="F82" s="94" t="n">
        <v>144</v>
      </c>
      <c r="G82" s="94" t="n">
        <v>37</v>
      </c>
      <c r="H82" s="94" t="n">
        <v>208</v>
      </c>
      <c r="I82" s="94" t="n">
        <v>114</v>
      </c>
      <c r="J82" s="94" t="n">
        <v>94</v>
      </c>
      <c r="K82" s="94" t="n">
        <v>54</v>
      </c>
      <c r="L82" s="112" t="n">
        <f aca="false">K82/H82*100</f>
        <v>25.9615384615385</v>
      </c>
      <c r="M82" s="94" t="n">
        <v>36</v>
      </c>
      <c r="N82" s="112" t="n">
        <f aca="false">O82/H82*100</f>
        <v>5.48557692307692</v>
      </c>
      <c r="O82" s="94" t="n">
        <v>11.41</v>
      </c>
      <c r="P82" s="94" t="n">
        <v>0</v>
      </c>
      <c r="Q82" s="113" t="s">
        <v>45</v>
      </c>
      <c r="R82" s="113" t="s">
        <v>332</v>
      </c>
      <c r="S82" s="112"/>
      <c r="T82" s="121" t="s">
        <v>45</v>
      </c>
      <c r="U82" s="112"/>
      <c r="V82" s="112"/>
      <c r="W82" s="112"/>
      <c r="X82" s="112"/>
      <c r="Y82" s="112"/>
      <c r="Z82" s="112"/>
      <c r="AA82" s="112" t="s">
        <v>946</v>
      </c>
      <c r="AB82" s="112"/>
      <c r="AC82" s="115" t="s">
        <v>852</v>
      </c>
      <c r="AD82" s="116" t="n">
        <v>24.680117</v>
      </c>
      <c r="AE82" s="116" t="n">
        <v>76.270897</v>
      </c>
    </row>
    <row r="83" customFormat="false" ht="15" hidden="false" customHeight="false" outlineLevel="0" collapsed="false">
      <c r="A83" s="94" t="s">
        <v>39</v>
      </c>
      <c r="B83" s="95" t="s">
        <v>849</v>
      </c>
      <c r="C83" s="95" t="s">
        <v>940</v>
      </c>
      <c r="D83" s="94" t="s">
        <v>958</v>
      </c>
      <c r="E83" s="95" t="n">
        <v>103866</v>
      </c>
      <c r="F83" s="94" t="n">
        <v>120.43</v>
      </c>
      <c r="G83" s="94" t="n">
        <v>68</v>
      </c>
      <c r="H83" s="94" t="n">
        <v>392</v>
      </c>
      <c r="I83" s="94" t="n">
        <v>206</v>
      </c>
      <c r="J83" s="94" t="n">
        <v>186</v>
      </c>
      <c r="K83" s="94" t="n">
        <v>38</v>
      </c>
      <c r="L83" s="112" t="n">
        <f aca="false">K83/H83*100</f>
        <v>9.69387755102041</v>
      </c>
      <c r="M83" s="94" t="n">
        <v>283</v>
      </c>
      <c r="N83" s="112" t="n">
        <f aca="false">O83/H83*100</f>
        <v>1.05867346938776</v>
      </c>
      <c r="O83" s="94" t="n">
        <v>4.15</v>
      </c>
      <c r="P83" s="94" t="n">
        <v>0</v>
      </c>
      <c r="Q83" s="94"/>
      <c r="R83" s="127"/>
      <c r="S83" s="112"/>
      <c r="T83" s="112"/>
      <c r="U83" s="112" t="s">
        <v>49</v>
      </c>
      <c r="V83" s="112"/>
      <c r="W83" s="112"/>
      <c r="X83" s="112"/>
      <c r="Y83" s="112"/>
      <c r="Z83" s="112"/>
      <c r="AA83" s="94"/>
      <c r="AB83" s="112"/>
      <c r="AC83" s="129"/>
      <c r="AD83" s="112"/>
      <c r="AE83" s="112"/>
    </row>
    <row r="84" customFormat="false" ht="15" hidden="false" customHeight="false" outlineLevel="0" collapsed="false">
      <c r="A84" s="94" t="s">
        <v>39</v>
      </c>
      <c r="B84" s="95" t="s">
        <v>849</v>
      </c>
      <c r="C84" s="95" t="s">
        <v>940</v>
      </c>
      <c r="D84" s="94" t="s">
        <v>959</v>
      </c>
      <c r="E84" s="95" t="n">
        <v>103867</v>
      </c>
      <c r="F84" s="94" t="n">
        <v>72.26</v>
      </c>
      <c r="G84" s="94" t="n">
        <v>10</v>
      </c>
      <c r="H84" s="94" t="n">
        <v>49</v>
      </c>
      <c r="I84" s="94" t="n">
        <v>25</v>
      </c>
      <c r="J84" s="94" t="n">
        <v>24</v>
      </c>
      <c r="K84" s="94" t="n">
        <v>49</v>
      </c>
      <c r="L84" s="112" t="n">
        <f aca="false">K84/H84*100</f>
        <v>100</v>
      </c>
      <c r="M84" s="94" t="n">
        <v>0</v>
      </c>
      <c r="N84" s="112" t="n">
        <f aca="false">O84/H84*100</f>
        <v>0</v>
      </c>
      <c r="O84" s="94" t="n">
        <v>0</v>
      </c>
      <c r="P84" s="94" t="n">
        <v>0</v>
      </c>
      <c r="Q84" s="94"/>
      <c r="R84" s="127"/>
      <c r="S84" s="112"/>
      <c r="T84" s="112"/>
      <c r="U84" s="112" t="s">
        <v>49</v>
      </c>
      <c r="V84" s="112"/>
      <c r="W84" s="112"/>
      <c r="X84" s="112"/>
      <c r="Y84" s="112"/>
      <c r="Z84" s="112"/>
      <c r="AA84" s="94"/>
      <c r="AB84" s="112"/>
      <c r="AC84" s="128"/>
      <c r="AD84" s="112"/>
      <c r="AE84" s="112"/>
    </row>
    <row r="85" customFormat="false" ht="15" hidden="false" customHeight="false" outlineLevel="0" collapsed="false">
      <c r="A85" s="94" t="s">
        <v>39</v>
      </c>
      <c r="B85" s="95" t="s">
        <v>849</v>
      </c>
      <c r="C85" s="95" t="s">
        <v>940</v>
      </c>
      <c r="D85" s="94" t="s">
        <v>960</v>
      </c>
      <c r="E85" s="95" t="n">
        <v>103868</v>
      </c>
      <c r="F85" s="94" t="n">
        <v>166.49</v>
      </c>
      <c r="G85" s="94" t="n">
        <v>61</v>
      </c>
      <c r="H85" s="94" t="n">
        <v>341</v>
      </c>
      <c r="I85" s="94" t="n">
        <v>177</v>
      </c>
      <c r="J85" s="94" t="n">
        <v>164</v>
      </c>
      <c r="K85" s="94" t="n">
        <v>59</v>
      </c>
      <c r="L85" s="112" t="n">
        <f aca="false">K85/H85*100</f>
        <v>17.3020527859238</v>
      </c>
      <c r="M85" s="94" t="n">
        <v>4</v>
      </c>
      <c r="N85" s="112" t="n">
        <f aca="false">O85/H85*100</f>
        <v>6.7683284457478</v>
      </c>
      <c r="O85" s="94" t="n">
        <v>23.08</v>
      </c>
      <c r="P85" s="94" t="n">
        <v>0</v>
      </c>
      <c r="Q85" s="113" t="s">
        <v>45</v>
      </c>
      <c r="R85" s="113" t="s">
        <v>262</v>
      </c>
      <c r="S85" s="112"/>
      <c r="T85" s="121" t="s">
        <v>45</v>
      </c>
      <c r="U85" s="112" t="s">
        <v>49</v>
      </c>
      <c r="V85" s="112" t="s">
        <v>49</v>
      </c>
      <c r="W85" s="112"/>
      <c r="X85" s="112"/>
      <c r="Y85" s="112"/>
      <c r="Z85" s="112"/>
      <c r="AA85" s="112"/>
      <c r="AB85" s="112"/>
      <c r="AC85" s="115" t="s">
        <v>859</v>
      </c>
      <c r="AD85" s="116" t="n">
        <v>24.701842</v>
      </c>
      <c r="AE85" s="116" t="n">
        <v>76.310298</v>
      </c>
    </row>
    <row r="86" customFormat="false" ht="15" hidden="false" customHeight="false" outlineLevel="0" collapsed="false">
      <c r="A86" s="94" t="s">
        <v>39</v>
      </c>
      <c r="B86" s="95" t="s">
        <v>849</v>
      </c>
      <c r="C86" s="95" t="s">
        <v>940</v>
      </c>
      <c r="D86" s="94" t="s">
        <v>961</v>
      </c>
      <c r="E86" s="95" t="n">
        <v>103869</v>
      </c>
      <c r="F86" s="94" t="n">
        <v>207.46</v>
      </c>
      <c r="G86" s="94" t="n">
        <v>91</v>
      </c>
      <c r="H86" s="94" t="n">
        <v>538</v>
      </c>
      <c r="I86" s="94" t="n">
        <v>295</v>
      </c>
      <c r="J86" s="94" t="n">
        <v>243</v>
      </c>
      <c r="K86" s="94" t="n">
        <v>85</v>
      </c>
      <c r="L86" s="112" t="n">
        <f aca="false">K86/H86*100</f>
        <v>15.7992565055762</v>
      </c>
      <c r="M86" s="94" t="n">
        <v>0</v>
      </c>
      <c r="N86" s="112" t="n">
        <f aca="false">O86/H86*100</f>
        <v>1.11895910780669</v>
      </c>
      <c r="O86" s="94" t="n">
        <v>6.02</v>
      </c>
      <c r="P86" s="94" t="n">
        <v>6.02</v>
      </c>
      <c r="Q86" s="94"/>
      <c r="R86" s="127"/>
      <c r="S86" s="112"/>
      <c r="T86" s="112"/>
      <c r="U86" s="112" t="s">
        <v>49</v>
      </c>
      <c r="V86" s="112"/>
      <c r="W86" s="112"/>
      <c r="X86" s="112"/>
      <c r="Y86" s="112"/>
      <c r="Z86" s="112"/>
      <c r="AA86" s="94"/>
      <c r="AB86" s="112"/>
      <c r="AC86" s="129"/>
      <c r="AD86" s="112"/>
      <c r="AE86" s="112"/>
    </row>
    <row r="87" customFormat="false" ht="15" hidden="false" customHeight="false" outlineLevel="0" collapsed="false">
      <c r="A87" s="94" t="s">
        <v>39</v>
      </c>
      <c r="B87" s="95" t="s">
        <v>849</v>
      </c>
      <c r="C87" s="95" t="s">
        <v>900</v>
      </c>
      <c r="D87" s="94" t="s">
        <v>962</v>
      </c>
      <c r="E87" s="95" t="n">
        <v>103870</v>
      </c>
      <c r="F87" s="94" t="n">
        <v>276.25</v>
      </c>
      <c r="G87" s="94" t="n">
        <v>75</v>
      </c>
      <c r="H87" s="94" t="n">
        <v>400</v>
      </c>
      <c r="I87" s="94" t="n">
        <v>207</v>
      </c>
      <c r="J87" s="94" t="n">
        <v>193</v>
      </c>
      <c r="K87" s="94" t="n">
        <v>57</v>
      </c>
      <c r="L87" s="112" t="n">
        <f aca="false">K87/H87*100</f>
        <v>14.25</v>
      </c>
      <c r="M87" s="94" t="n">
        <v>46</v>
      </c>
      <c r="N87" s="112" t="n">
        <f aca="false">O87/H87*100</f>
        <v>0</v>
      </c>
      <c r="O87" s="94" t="n">
        <v>0</v>
      </c>
      <c r="P87" s="94" t="n">
        <v>94.74</v>
      </c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44"/>
      <c r="AD87" s="145"/>
      <c r="AE87" s="112"/>
    </row>
    <row r="88" customFormat="false" ht="15" hidden="false" customHeight="false" outlineLevel="0" collapsed="false">
      <c r="A88" s="94" t="s">
        <v>39</v>
      </c>
      <c r="B88" s="95" t="s">
        <v>849</v>
      </c>
      <c r="C88" s="95" t="s">
        <v>926</v>
      </c>
      <c r="D88" s="94" t="s">
        <v>963</v>
      </c>
      <c r="E88" s="95" t="n">
        <v>103871</v>
      </c>
      <c r="F88" s="94" t="n">
        <v>820.11</v>
      </c>
      <c r="G88" s="94" t="n">
        <v>287</v>
      </c>
      <c r="H88" s="94" t="n">
        <v>1504</v>
      </c>
      <c r="I88" s="94" t="n">
        <v>779</v>
      </c>
      <c r="J88" s="94" t="n">
        <v>725</v>
      </c>
      <c r="K88" s="94" t="n">
        <v>263</v>
      </c>
      <c r="L88" s="112" t="n">
        <f aca="false">K88/H88*100</f>
        <v>17.4867021276596</v>
      </c>
      <c r="M88" s="94" t="n">
        <v>303</v>
      </c>
      <c r="N88" s="112" t="n">
        <f aca="false">O88/H88*100</f>
        <v>4.01462765957447</v>
      </c>
      <c r="O88" s="94" t="n">
        <v>60.38</v>
      </c>
      <c r="P88" s="94" t="n">
        <v>45.53</v>
      </c>
      <c r="Q88" s="112"/>
      <c r="R88" s="112"/>
      <c r="S88" s="112"/>
      <c r="T88" s="112"/>
      <c r="U88" s="112" t="s">
        <v>49</v>
      </c>
      <c r="V88" s="112" t="s">
        <v>49</v>
      </c>
      <c r="W88" s="112"/>
      <c r="X88" s="112"/>
      <c r="Y88" s="112"/>
      <c r="Z88" s="112"/>
      <c r="AA88" s="112"/>
      <c r="AB88" s="112"/>
      <c r="AC88" s="144"/>
      <c r="AD88" s="145"/>
      <c r="AE88" s="112"/>
    </row>
    <row r="89" customFormat="false" ht="15" hidden="false" customHeight="false" outlineLevel="0" collapsed="false">
      <c r="A89" s="94" t="s">
        <v>39</v>
      </c>
      <c r="B89" s="95" t="s">
        <v>849</v>
      </c>
      <c r="C89" s="95" t="s">
        <v>920</v>
      </c>
      <c r="D89" s="94" t="s">
        <v>964</v>
      </c>
      <c r="E89" s="95" t="n">
        <v>103872</v>
      </c>
      <c r="F89" s="94" t="n">
        <v>236.71</v>
      </c>
      <c r="G89" s="94" t="n">
        <v>89</v>
      </c>
      <c r="H89" s="94" t="n">
        <v>474</v>
      </c>
      <c r="I89" s="94" t="n">
        <v>241</v>
      </c>
      <c r="J89" s="94" t="n">
        <v>233</v>
      </c>
      <c r="K89" s="94" t="n">
        <v>27</v>
      </c>
      <c r="L89" s="112" t="n">
        <f aca="false">K89/H89*100</f>
        <v>5.69620253164557</v>
      </c>
      <c r="M89" s="94" t="n">
        <v>133</v>
      </c>
      <c r="N89" s="112" t="n">
        <f aca="false">O89/H89*100</f>
        <v>4.22362869198312</v>
      </c>
      <c r="O89" s="94" t="n">
        <v>20.02</v>
      </c>
      <c r="P89" s="94" t="n">
        <v>0</v>
      </c>
      <c r="Q89" s="94"/>
      <c r="R89" s="119"/>
      <c r="S89" s="112"/>
      <c r="T89" s="94"/>
      <c r="U89" s="112"/>
      <c r="V89" s="112"/>
      <c r="W89" s="112"/>
      <c r="X89" s="112"/>
      <c r="Y89" s="112"/>
      <c r="Z89" s="112"/>
      <c r="AA89" s="94"/>
      <c r="AB89" s="94"/>
      <c r="AC89" s="125"/>
      <c r="AD89" s="94"/>
      <c r="AE89" s="94"/>
    </row>
    <row r="90" customFormat="false" ht="15" hidden="false" customHeight="false" outlineLevel="0" collapsed="false">
      <c r="A90" s="94" t="s">
        <v>39</v>
      </c>
      <c r="B90" s="95" t="s">
        <v>849</v>
      </c>
      <c r="C90" s="95" t="s">
        <v>947</v>
      </c>
      <c r="D90" s="94" t="s">
        <v>948</v>
      </c>
      <c r="E90" s="95" t="n">
        <v>103873</v>
      </c>
      <c r="F90" s="94" t="n">
        <v>464.31</v>
      </c>
      <c r="G90" s="94" t="n">
        <v>112</v>
      </c>
      <c r="H90" s="94" t="n">
        <v>565</v>
      </c>
      <c r="I90" s="94" t="n">
        <v>291</v>
      </c>
      <c r="J90" s="94" t="n">
        <v>274</v>
      </c>
      <c r="K90" s="94" t="n">
        <v>56</v>
      </c>
      <c r="L90" s="112" t="n">
        <f aca="false">K90/H90*100</f>
        <v>9.91150442477876</v>
      </c>
      <c r="M90" s="94" t="n">
        <v>0</v>
      </c>
      <c r="N90" s="112" t="n">
        <f aca="false">O90/H90*100</f>
        <v>3.19646017699115</v>
      </c>
      <c r="O90" s="94" t="n">
        <v>18.06</v>
      </c>
      <c r="P90" s="94" t="n">
        <v>0</v>
      </c>
      <c r="Q90" s="113" t="s">
        <v>45</v>
      </c>
      <c r="R90" s="126" t="n">
        <v>44595</v>
      </c>
      <c r="S90" s="112"/>
      <c r="T90" s="114" t="n">
        <v>41.8238</v>
      </c>
      <c r="U90" s="112" t="s">
        <v>49</v>
      </c>
      <c r="V90" s="112" t="s">
        <v>49</v>
      </c>
      <c r="W90" s="112"/>
      <c r="X90" s="112"/>
      <c r="Y90" s="112"/>
      <c r="Z90" s="112"/>
      <c r="AA90" s="121" t="s">
        <v>45</v>
      </c>
      <c r="AB90" s="121" t="n">
        <v>1</v>
      </c>
      <c r="AC90" s="115" t="s">
        <v>852</v>
      </c>
      <c r="AD90" s="116" t="n">
        <v>24.695247</v>
      </c>
      <c r="AE90" s="116" t="n">
        <v>76.338842</v>
      </c>
    </row>
    <row r="91" customFormat="false" ht="15" hidden="false" customHeight="false" outlineLevel="0" collapsed="false">
      <c r="A91" s="94" t="s">
        <v>39</v>
      </c>
      <c r="B91" s="95" t="s">
        <v>849</v>
      </c>
      <c r="C91" s="95" t="s">
        <v>940</v>
      </c>
      <c r="D91" s="94" t="s">
        <v>965</v>
      </c>
      <c r="E91" s="95" t="n">
        <v>103874</v>
      </c>
      <c r="F91" s="94" t="n">
        <v>253.44</v>
      </c>
      <c r="G91" s="94" t="n">
        <v>66</v>
      </c>
      <c r="H91" s="94" t="n">
        <v>491</v>
      </c>
      <c r="I91" s="94" t="n">
        <v>266</v>
      </c>
      <c r="J91" s="94" t="n">
        <v>225</v>
      </c>
      <c r="K91" s="94" t="n">
        <v>15</v>
      </c>
      <c r="L91" s="112" t="n">
        <f aca="false">K91/H91*100</f>
        <v>3.05498981670061</v>
      </c>
      <c r="M91" s="94" t="n">
        <v>56</v>
      </c>
      <c r="N91" s="112" t="n">
        <f aca="false">O91/H91*100</f>
        <v>4.90427698574338</v>
      </c>
      <c r="O91" s="94" t="n">
        <v>24.08</v>
      </c>
      <c r="P91" s="94" t="n">
        <v>0</v>
      </c>
      <c r="Q91" s="94"/>
      <c r="R91" s="127"/>
      <c r="S91" s="112"/>
      <c r="T91" s="112"/>
      <c r="U91" s="112" t="s">
        <v>49</v>
      </c>
      <c r="V91" s="112"/>
      <c r="W91" s="112"/>
      <c r="X91" s="112"/>
      <c r="Y91" s="112"/>
      <c r="Z91" s="112"/>
      <c r="AA91" s="94"/>
      <c r="AB91" s="112"/>
      <c r="AC91" s="129"/>
      <c r="AD91" s="112"/>
      <c r="AE91" s="112"/>
    </row>
    <row r="92" customFormat="false" ht="15" hidden="false" customHeight="false" outlineLevel="0" collapsed="false">
      <c r="A92" s="94" t="s">
        <v>39</v>
      </c>
      <c r="B92" s="95" t="s">
        <v>849</v>
      </c>
      <c r="C92" s="95" t="s">
        <v>940</v>
      </c>
      <c r="D92" s="94" t="s">
        <v>966</v>
      </c>
      <c r="E92" s="95" t="n">
        <v>103875</v>
      </c>
      <c r="F92" s="94" t="n">
        <v>519.47</v>
      </c>
      <c r="G92" s="94" t="n">
        <v>251</v>
      </c>
      <c r="H92" s="94" t="n">
        <v>1385</v>
      </c>
      <c r="I92" s="94" t="n">
        <v>738</v>
      </c>
      <c r="J92" s="94" t="n">
        <v>647</v>
      </c>
      <c r="K92" s="94" t="n">
        <v>465</v>
      </c>
      <c r="L92" s="112" t="n">
        <f aca="false">K92/H92*100</f>
        <v>33.5740072202166</v>
      </c>
      <c r="M92" s="94" t="n">
        <v>3</v>
      </c>
      <c r="N92" s="112" t="n">
        <f aca="false">O92/H92*100</f>
        <v>3.69530685920578</v>
      </c>
      <c r="O92" s="94" t="n">
        <v>51.18</v>
      </c>
      <c r="P92" s="94" t="n">
        <v>0</v>
      </c>
      <c r="Q92" s="113" t="s">
        <v>45</v>
      </c>
      <c r="R92" s="113" t="s">
        <v>234</v>
      </c>
      <c r="S92" s="112"/>
      <c r="T92" s="121" t="s">
        <v>45</v>
      </c>
      <c r="U92" s="112" t="s">
        <v>49</v>
      </c>
      <c r="V92" s="112"/>
      <c r="W92" s="112"/>
      <c r="X92" s="112"/>
      <c r="Y92" s="112"/>
      <c r="Z92" s="112"/>
      <c r="AA92" s="112"/>
      <c r="AB92" s="112"/>
      <c r="AC92" s="115" t="s">
        <v>859</v>
      </c>
      <c r="AD92" s="116" t="n">
        <v>24.693238</v>
      </c>
      <c r="AE92" s="116" t="n">
        <v>76.310523</v>
      </c>
    </row>
    <row r="93" customFormat="false" ht="15" hidden="false" customHeight="false" outlineLevel="0" collapsed="false">
      <c r="A93" s="94" t="s">
        <v>39</v>
      </c>
      <c r="B93" s="95" t="s">
        <v>849</v>
      </c>
      <c r="C93" s="95" t="s">
        <v>942</v>
      </c>
      <c r="D93" s="94" t="s">
        <v>967</v>
      </c>
      <c r="E93" s="95" t="n">
        <v>103877</v>
      </c>
      <c r="F93" s="94" t="n">
        <v>138.45</v>
      </c>
      <c r="G93" s="94" t="n">
        <v>52</v>
      </c>
      <c r="H93" s="94" t="n">
        <v>289</v>
      </c>
      <c r="I93" s="94" t="n">
        <v>149</v>
      </c>
      <c r="J93" s="94" t="n">
        <v>140</v>
      </c>
      <c r="K93" s="94" t="n">
        <v>12</v>
      </c>
      <c r="L93" s="112" t="n">
        <f aca="false">K93/H93*100</f>
        <v>4.1522491349481</v>
      </c>
      <c r="M93" s="94" t="n">
        <v>0</v>
      </c>
      <c r="N93" s="112" t="n">
        <f aca="false">O93/H93*100</f>
        <v>8.23529411764706</v>
      </c>
      <c r="O93" s="94" t="n">
        <v>23.8</v>
      </c>
      <c r="P93" s="94" t="n">
        <v>0</v>
      </c>
      <c r="Q93" s="94"/>
      <c r="R93" s="127"/>
      <c r="S93" s="112"/>
      <c r="T93" s="112"/>
      <c r="U93" s="112" t="s">
        <v>49</v>
      </c>
      <c r="V93" s="112"/>
      <c r="W93" s="112"/>
      <c r="X93" s="112"/>
      <c r="Y93" s="112"/>
      <c r="Z93" s="112"/>
      <c r="AA93" s="94"/>
      <c r="AB93" s="112"/>
      <c r="AC93" s="129"/>
      <c r="AD93" s="112"/>
      <c r="AE93" s="112"/>
    </row>
    <row r="94" customFormat="false" ht="15" hidden="false" customHeight="false" outlineLevel="0" collapsed="false">
      <c r="A94" s="94" t="s">
        <v>39</v>
      </c>
      <c r="B94" s="95" t="s">
        <v>849</v>
      </c>
      <c r="C94" s="95" t="s">
        <v>942</v>
      </c>
      <c r="D94" s="94" t="s">
        <v>968</v>
      </c>
      <c r="E94" s="95" t="n">
        <v>103878</v>
      </c>
      <c r="F94" s="94" t="n">
        <v>239.38</v>
      </c>
      <c r="G94" s="94" t="n">
        <v>55</v>
      </c>
      <c r="H94" s="94" t="n">
        <v>267</v>
      </c>
      <c r="I94" s="94" t="n">
        <v>139</v>
      </c>
      <c r="J94" s="94" t="n">
        <v>128</v>
      </c>
      <c r="K94" s="94" t="n">
        <v>64</v>
      </c>
      <c r="L94" s="112" t="n">
        <f aca="false">K94/H94*100</f>
        <v>23.9700374531835</v>
      </c>
      <c r="M94" s="94" t="n">
        <v>90</v>
      </c>
      <c r="N94" s="112" t="n">
        <f aca="false">O94/H94*100</f>
        <v>5.28089887640449</v>
      </c>
      <c r="O94" s="94" t="n">
        <v>14.1</v>
      </c>
      <c r="P94" s="94" t="n">
        <v>0</v>
      </c>
      <c r="Q94" s="94"/>
      <c r="R94" s="127"/>
      <c r="S94" s="112"/>
      <c r="T94" s="112"/>
      <c r="U94" s="112" t="s">
        <v>49</v>
      </c>
      <c r="V94" s="112"/>
      <c r="W94" s="112"/>
      <c r="X94" s="112"/>
      <c r="Y94" s="112"/>
      <c r="Z94" s="112"/>
      <c r="AA94" s="94"/>
      <c r="AB94" s="112"/>
      <c r="AC94" s="129"/>
      <c r="AD94" s="112"/>
      <c r="AE94" s="112"/>
    </row>
    <row r="95" customFormat="false" ht="15" hidden="false" customHeight="false" outlineLevel="0" collapsed="false">
      <c r="A95" s="94" t="s">
        <v>39</v>
      </c>
      <c r="B95" s="95" t="s">
        <v>849</v>
      </c>
      <c r="C95" s="95" t="s">
        <v>888</v>
      </c>
      <c r="D95" s="94" t="s">
        <v>969</v>
      </c>
      <c r="E95" s="95" t="n">
        <v>103879</v>
      </c>
      <c r="F95" s="94" t="n">
        <v>375</v>
      </c>
      <c r="G95" s="94" t="n">
        <v>83</v>
      </c>
      <c r="H95" s="94" t="n">
        <v>431</v>
      </c>
      <c r="I95" s="94" t="n">
        <v>225</v>
      </c>
      <c r="J95" s="94" t="n">
        <v>206</v>
      </c>
      <c r="K95" s="94" t="n">
        <v>81</v>
      </c>
      <c r="L95" s="112" t="n">
        <f aca="false">K95/H95*100</f>
        <v>18.7935034802784</v>
      </c>
      <c r="M95" s="94" t="n">
        <v>50</v>
      </c>
      <c r="N95" s="112" t="n">
        <f aca="false">O95/H95*100</f>
        <v>3.94431554524362</v>
      </c>
      <c r="O95" s="94" t="n">
        <v>17</v>
      </c>
      <c r="P95" s="94" t="n">
        <v>0</v>
      </c>
      <c r="Q95" s="132" t="s">
        <v>82</v>
      </c>
      <c r="R95" s="132" t="s">
        <v>970</v>
      </c>
      <c r="S95" s="112"/>
      <c r="T95" s="132" t="n">
        <v>1.61</v>
      </c>
      <c r="U95" s="112"/>
      <c r="V95" s="112"/>
      <c r="W95" s="112"/>
      <c r="X95" s="112"/>
      <c r="Y95" s="112"/>
      <c r="Z95" s="112"/>
      <c r="AA95" s="133" t="s">
        <v>891</v>
      </c>
      <c r="AB95" s="132" t="n">
        <v>1</v>
      </c>
      <c r="AC95" s="134" t="s">
        <v>971</v>
      </c>
      <c r="AD95" s="134" t="n">
        <v>24.655718</v>
      </c>
      <c r="AE95" s="134" t="n">
        <v>76.330145</v>
      </c>
    </row>
    <row r="96" customFormat="false" ht="15" hidden="false" customHeight="false" outlineLevel="0" collapsed="false">
      <c r="A96" s="94" t="s">
        <v>39</v>
      </c>
      <c r="B96" s="95" t="s">
        <v>849</v>
      </c>
      <c r="C96" s="95" t="s">
        <v>951</v>
      </c>
      <c r="D96" s="94" t="s">
        <v>972</v>
      </c>
      <c r="E96" s="95" t="n">
        <v>103880</v>
      </c>
      <c r="F96" s="94" t="n">
        <v>370.94</v>
      </c>
      <c r="G96" s="94" t="n">
        <v>145</v>
      </c>
      <c r="H96" s="94" t="n">
        <v>801</v>
      </c>
      <c r="I96" s="94" t="n">
        <v>407</v>
      </c>
      <c r="J96" s="94" t="n">
        <v>394</v>
      </c>
      <c r="K96" s="94" t="n">
        <v>51</v>
      </c>
      <c r="L96" s="112" t="n">
        <f aca="false">K96/H96*100</f>
        <v>6.36704119850187</v>
      </c>
      <c r="M96" s="94" t="n">
        <v>432</v>
      </c>
      <c r="N96" s="112" t="n">
        <f aca="false">O96/H96*100</f>
        <v>3.51935081148564</v>
      </c>
      <c r="O96" s="94" t="n">
        <v>28.19</v>
      </c>
      <c r="P96" s="94" t="n">
        <v>0</v>
      </c>
      <c r="Q96" s="113" t="s">
        <v>45</v>
      </c>
      <c r="R96" s="113" t="s">
        <v>332</v>
      </c>
      <c r="S96" s="112"/>
      <c r="T96" s="114" t="n">
        <v>21.8515</v>
      </c>
      <c r="U96" s="112"/>
      <c r="V96" s="112"/>
      <c r="W96" s="112"/>
      <c r="X96" s="112"/>
      <c r="Y96" s="112"/>
      <c r="Z96" s="112"/>
      <c r="AA96" s="121" t="s">
        <v>45</v>
      </c>
      <c r="AB96" s="121" t="n">
        <v>3.66</v>
      </c>
      <c r="AC96" s="115" t="s">
        <v>852</v>
      </c>
      <c r="AD96" s="116" t="n">
        <v>24.641172</v>
      </c>
      <c r="AE96" s="116" t="n">
        <v>76.305988</v>
      </c>
    </row>
    <row r="97" customFormat="false" ht="15" hidden="false" customHeight="false" outlineLevel="0" collapsed="false">
      <c r="A97" s="94" t="s">
        <v>39</v>
      </c>
      <c r="B97" s="95" t="s">
        <v>849</v>
      </c>
      <c r="C97" s="95" t="s">
        <v>857</v>
      </c>
      <c r="D97" s="94" t="s">
        <v>973</v>
      </c>
      <c r="E97" s="95" t="n">
        <v>103881</v>
      </c>
      <c r="F97" s="94" t="n">
        <v>448</v>
      </c>
      <c r="G97" s="94" t="n">
        <v>166</v>
      </c>
      <c r="H97" s="94" t="n">
        <v>906</v>
      </c>
      <c r="I97" s="94" t="n">
        <v>469</v>
      </c>
      <c r="J97" s="94" t="n">
        <v>437</v>
      </c>
      <c r="K97" s="94" t="n">
        <v>182</v>
      </c>
      <c r="L97" s="112" t="n">
        <f aca="false">K97/H97*100</f>
        <v>20.0883002207506</v>
      </c>
      <c r="M97" s="94" t="n">
        <v>206</v>
      </c>
      <c r="N97" s="112" t="n">
        <f aca="false">O97/H97*100</f>
        <v>2.09713024282561</v>
      </c>
      <c r="O97" s="94" t="n">
        <v>19</v>
      </c>
      <c r="P97" s="94" t="n">
        <v>0</v>
      </c>
      <c r="Q97" s="118" t="s">
        <v>43</v>
      </c>
      <c r="R97" s="118" t="s">
        <v>327</v>
      </c>
      <c r="S97" s="112"/>
      <c r="T97" s="118"/>
      <c r="U97" s="112" t="s">
        <v>49</v>
      </c>
      <c r="V97" s="112"/>
      <c r="W97" s="112"/>
      <c r="X97" s="112"/>
      <c r="Y97" s="112"/>
      <c r="Z97" s="112"/>
      <c r="AA97" s="118"/>
      <c r="AB97" s="118"/>
      <c r="AC97" s="118" t="s">
        <v>910</v>
      </c>
      <c r="AD97" s="118" t="n">
        <v>24.630744</v>
      </c>
      <c r="AE97" s="118" t="n">
        <v>76.309424</v>
      </c>
    </row>
    <row r="98" customFormat="false" ht="16.5" hidden="false" customHeight="false" outlineLevel="0" collapsed="false">
      <c r="A98" s="94" t="s">
        <v>39</v>
      </c>
      <c r="B98" s="95" t="s">
        <v>849</v>
      </c>
      <c r="C98" s="95" t="s">
        <v>857</v>
      </c>
      <c r="D98" s="94" t="s">
        <v>974</v>
      </c>
      <c r="E98" s="95" t="n">
        <v>103882</v>
      </c>
      <c r="F98" s="94" t="n">
        <v>1604.83</v>
      </c>
      <c r="G98" s="94" t="n">
        <v>314</v>
      </c>
      <c r="H98" s="94" t="n">
        <v>1739</v>
      </c>
      <c r="I98" s="94" t="n">
        <v>895</v>
      </c>
      <c r="J98" s="94" t="n">
        <v>844</v>
      </c>
      <c r="K98" s="94" t="n">
        <v>236</v>
      </c>
      <c r="L98" s="112" t="n">
        <f aca="false">K98/H98*100</f>
        <v>13.571017826337</v>
      </c>
      <c r="M98" s="94" t="n">
        <v>657</v>
      </c>
      <c r="N98" s="112" t="n">
        <f aca="false">O98/H98*100</f>
        <v>1.54629097182289</v>
      </c>
      <c r="O98" s="94" t="n">
        <v>26.89</v>
      </c>
      <c r="P98" s="94" t="n">
        <v>837.36</v>
      </c>
      <c r="Q98" s="113" t="s">
        <v>45</v>
      </c>
      <c r="R98" s="113" t="s">
        <v>325</v>
      </c>
      <c r="S98" s="112"/>
      <c r="T98" s="114" t="n">
        <v>12.0903</v>
      </c>
      <c r="U98" s="112" t="s">
        <v>49</v>
      </c>
      <c r="V98" s="112" t="s">
        <v>49</v>
      </c>
      <c r="W98" s="112"/>
      <c r="X98" s="112"/>
      <c r="Y98" s="112"/>
      <c r="Z98" s="112"/>
      <c r="AA98" s="121" t="s">
        <v>45</v>
      </c>
      <c r="AB98" s="121" t="n">
        <v>8.33</v>
      </c>
      <c r="AC98" s="122" t="s">
        <v>859</v>
      </c>
      <c r="AD98" s="116" t="n">
        <v>24.60928</v>
      </c>
      <c r="AE98" s="116" t="n">
        <v>76.274756</v>
      </c>
    </row>
    <row r="99" customFormat="false" ht="15" hidden="false" customHeight="false" outlineLevel="0" collapsed="false">
      <c r="A99" s="94" t="s">
        <v>39</v>
      </c>
      <c r="B99" s="95" t="s">
        <v>849</v>
      </c>
      <c r="C99" s="95" t="s">
        <v>860</v>
      </c>
      <c r="D99" s="94"/>
      <c r="E99" s="95"/>
      <c r="F99" s="94"/>
      <c r="G99" s="94"/>
      <c r="H99" s="94"/>
      <c r="I99" s="94"/>
      <c r="J99" s="94"/>
      <c r="K99" s="94"/>
      <c r="L99" s="112" t="e">
        <f aca="false">K99/H99*100</f>
        <v>#DIV/0!</v>
      </c>
      <c r="M99" s="94"/>
      <c r="N99" s="112" t="e">
        <f aca="false">O99/H99*100</f>
        <v>#DIV/0!</v>
      </c>
      <c r="O99" s="94"/>
      <c r="P99" s="94"/>
      <c r="Q99" s="146" t="s">
        <v>45</v>
      </c>
      <c r="R99" s="146" t="s">
        <v>322</v>
      </c>
      <c r="S99" s="112"/>
      <c r="T99" s="118"/>
      <c r="U99" s="112" t="s">
        <v>49</v>
      </c>
      <c r="V99" s="112"/>
      <c r="W99" s="112"/>
      <c r="X99" s="112"/>
      <c r="Y99" s="112"/>
      <c r="Z99" s="112"/>
      <c r="AA99" s="118"/>
      <c r="AB99" s="118"/>
      <c r="AC99" s="115" t="s">
        <v>852</v>
      </c>
      <c r="AD99" s="118" t="n">
        <v>24.814011</v>
      </c>
      <c r="AE99" s="118" t="n">
        <v>76.389958</v>
      </c>
    </row>
    <row r="100" customFormat="false" ht="15" hidden="false" customHeight="false" outlineLevel="0" collapsed="false">
      <c r="A100" s="94" t="s">
        <v>39</v>
      </c>
      <c r="B100" s="95" t="s">
        <v>849</v>
      </c>
      <c r="C100" s="95" t="s">
        <v>860</v>
      </c>
      <c r="D100" s="94" t="s">
        <v>858</v>
      </c>
      <c r="E100" s="95" t="n">
        <v>103783</v>
      </c>
      <c r="F100" s="94" t="n">
        <v>638.45</v>
      </c>
      <c r="G100" s="94" t="n">
        <v>192</v>
      </c>
      <c r="H100" s="94" t="n">
        <v>1117</v>
      </c>
      <c r="I100" s="94" t="n">
        <v>584</v>
      </c>
      <c r="J100" s="94" t="n">
        <v>533</v>
      </c>
      <c r="K100" s="94" t="n">
        <v>125</v>
      </c>
      <c r="L100" s="112" t="n">
        <f aca="false">K100/H100*100</f>
        <v>11.1906893464637</v>
      </c>
      <c r="M100" s="94" t="n">
        <v>369</v>
      </c>
      <c r="N100" s="112" t="n">
        <f aca="false">O100/H100*100</f>
        <v>0.239033124440466</v>
      </c>
      <c r="O100" s="94" t="n">
        <v>2.67</v>
      </c>
      <c r="P100" s="94" t="n">
        <v>307.38</v>
      </c>
      <c r="Q100" s="118" t="s">
        <v>45</v>
      </c>
      <c r="R100" s="118" t="s">
        <v>884</v>
      </c>
      <c r="S100" s="112"/>
      <c r="T100" s="118"/>
      <c r="U100" s="112" t="s">
        <v>49</v>
      </c>
      <c r="V100" s="112"/>
      <c r="W100" s="112"/>
      <c r="X100" s="112"/>
      <c r="Y100" s="112"/>
      <c r="Z100" s="112"/>
      <c r="AA100" s="118"/>
      <c r="AB100" s="118"/>
      <c r="AC100" s="115" t="s">
        <v>852</v>
      </c>
      <c r="AD100" s="118" t="n">
        <v>24.830109</v>
      </c>
      <c r="AE100" s="118" t="n">
        <v>76.414572</v>
      </c>
    </row>
    <row r="101" customFormat="false" ht="15" hidden="false" customHeight="false" outlineLevel="0" collapsed="false">
      <c r="A101" s="94" t="s">
        <v>39</v>
      </c>
      <c r="B101" s="95" t="s">
        <v>849</v>
      </c>
      <c r="C101" s="95" t="s">
        <v>857</v>
      </c>
      <c r="D101" s="94" t="s">
        <v>975</v>
      </c>
      <c r="E101" s="95" t="n">
        <v>103884</v>
      </c>
      <c r="F101" s="94" t="n">
        <v>1285</v>
      </c>
      <c r="G101" s="94" t="n">
        <v>239</v>
      </c>
      <c r="H101" s="94" t="n">
        <v>1320</v>
      </c>
      <c r="I101" s="94" t="n">
        <v>691</v>
      </c>
      <c r="J101" s="94" t="n">
        <v>629</v>
      </c>
      <c r="K101" s="94" t="n">
        <v>138</v>
      </c>
      <c r="L101" s="112" t="n">
        <f aca="false">K101/H101*100</f>
        <v>10.4545454545455</v>
      </c>
      <c r="M101" s="94" t="n">
        <v>0</v>
      </c>
      <c r="N101" s="112" t="n">
        <f aca="false">O101/H101*100</f>
        <v>0</v>
      </c>
      <c r="O101" s="94" t="n">
        <v>0</v>
      </c>
      <c r="P101" s="94" t="n">
        <v>856</v>
      </c>
      <c r="Q101" s="94"/>
      <c r="R101" s="127"/>
      <c r="S101" s="112"/>
      <c r="T101" s="112"/>
      <c r="U101" s="112" t="s">
        <v>49</v>
      </c>
      <c r="V101" s="112" t="s">
        <v>49</v>
      </c>
      <c r="W101" s="112"/>
      <c r="X101" s="112"/>
      <c r="Y101" s="112"/>
      <c r="Z101" s="112"/>
      <c r="AA101" s="94"/>
      <c r="AB101" s="112"/>
      <c r="AC101" s="129"/>
      <c r="AD101" s="112"/>
      <c r="AE101" s="112"/>
    </row>
    <row r="102" customFormat="false" ht="17.25" hidden="false" customHeight="false" outlineLevel="0" collapsed="false">
      <c r="A102" s="94" t="s">
        <v>39</v>
      </c>
      <c r="B102" s="95" t="s">
        <v>849</v>
      </c>
      <c r="C102" s="95" t="s">
        <v>976</v>
      </c>
      <c r="D102" s="94" t="s">
        <v>977</v>
      </c>
      <c r="E102" s="95" t="n">
        <v>103885</v>
      </c>
      <c r="F102" s="94" t="n">
        <v>341</v>
      </c>
      <c r="G102" s="94"/>
      <c r="H102" s="94" t="n">
        <v>0</v>
      </c>
      <c r="I102" s="94"/>
      <c r="J102" s="94"/>
      <c r="K102" s="94"/>
      <c r="L102" s="112" t="e">
        <f aca="false">K102/H102*100</f>
        <v>#DIV/0!</v>
      </c>
      <c r="M102" s="94"/>
      <c r="N102" s="112" t="e">
        <f aca="false">O102/H102*100</f>
        <v>#DIV/0!</v>
      </c>
      <c r="O102" s="94" t="n">
        <v>0</v>
      </c>
      <c r="P102" s="94" t="n">
        <v>341</v>
      </c>
      <c r="Q102" s="94"/>
      <c r="R102" s="119"/>
      <c r="S102" s="112"/>
      <c r="T102" s="94"/>
      <c r="U102" s="112" t="s">
        <v>49</v>
      </c>
      <c r="V102" s="112"/>
      <c r="W102" s="112"/>
      <c r="X102" s="112"/>
      <c r="Y102" s="112"/>
      <c r="Z102" s="112"/>
      <c r="AA102" s="94"/>
      <c r="AB102" s="94"/>
      <c r="AC102" s="147"/>
      <c r="AD102" s="94"/>
      <c r="AE102" s="94"/>
    </row>
    <row r="103" customFormat="false" ht="15" hidden="false" customHeight="false" outlineLevel="0" collapsed="false">
      <c r="A103" s="94" t="s">
        <v>39</v>
      </c>
      <c r="B103" s="95" t="s">
        <v>849</v>
      </c>
      <c r="C103" s="95" t="s">
        <v>976</v>
      </c>
      <c r="D103" s="94" t="s">
        <v>978</v>
      </c>
      <c r="E103" s="95" t="n">
        <v>103887</v>
      </c>
      <c r="F103" s="94" t="n">
        <v>182</v>
      </c>
      <c r="G103" s="94" t="n">
        <v>51</v>
      </c>
      <c r="H103" s="94" t="n">
        <v>224</v>
      </c>
      <c r="I103" s="94" t="n">
        <v>117</v>
      </c>
      <c r="J103" s="94" t="n">
        <v>107</v>
      </c>
      <c r="K103" s="94" t="n">
        <v>4</v>
      </c>
      <c r="L103" s="112" t="n">
        <f aca="false">K103/H103*100</f>
        <v>1.78571428571429</v>
      </c>
      <c r="M103" s="94" t="n">
        <v>7</v>
      </c>
      <c r="N103" s="112" t="n">
        <f aca="false">O103/H103*100</f>
        <v>4.46428571428571</v>
      </c>
      <c r="O103" s="94" t="n">
        <v>10</v>
      </c>
      <c r="P103" s="94" t="n">
        <v>15</v>
      </c>
      <c r="Q103" s="94"/>
      <c r="R103" s="119"/>
      <c r="S103" s="112"/>
      <c r="T103" s="94"/>
      <c r="U103" s="112" t="s">
        <v>49</v>
      </c>
      <c r="V103" s="112"/>
      <c r="W103" s="112"/>
      <c r="X103" s="112"/>
      <c r="Y103" s="112"/>
      <c r="Z103" s="112"/>
      <c r="AA103" s="94"/>
      <c r="AB103" s="94"/>
      <c r="AC103" s="148"/>
      <c r="AD103" s="94"/>
      <c r="AE103" s="94"/>
    </row>
    <row r="104" customFormat="false" ht="15" hidden="false" customHeight="false" outlineLevel="0" collapsed="false">
      <c r="A104" s="94" t="s">
        <v>39</v>
      </c>
      <c r="B104" s="95" t="s">
        <v>849</v>
      </c>
      <c r="C104" s="95" t="s">
        <v>976</v>
      </c>
      <c r="D104" s="94" t="s">
        <v>979</v>
      </c>
      <c r="E104" s="95" t="n">
        <v>103888</v>
      </c>
      <c r="F104" s="94" t="n">
        <v>97</v>
      </c>
      <c r="G104" s="94" t="n">
        <v>57</v>
      </c>
      <c r="H104" s="94" t="n">
        <v>274</v>
      </c>
      <c r="I104" s="94" t="n">
        <v>142</v>
      </c>
      <c r="J104" s="94" t="n">
        <v>132</v>
      </c>
      <c r="K104" s="94" t="n">
        <v>25</v>
      </c>
      <c r="L104" s="112" t="n">
        <f aca="false">K104/H104*100</f>
        <v>9.12408759124088</v>
      </c>
      <c r="M104" s="94" t="n">
        <v>200</v>
      </c>
      <c r="N104" s="112" t="n">
        <f aca="false">O104/H104*100</f>
        <v>5.83941605839416</v>
      </c>
      <c r="O104" s="94" t="n">
        <v>16</v>
      </c>
      <c r="P104" s="94" t="n">
        <v>0</v>
      </c>
      <c r="Q104" s="94"/>
      <c r="R104" s="127"/>
      <c r="S104" s="112"/>
      <c r="T104" s="112"/>
      <c r="U104" s="112" t="s">
        <v>49</v>
      </c>
      <c r="V104" s="112"/>
      <c r="W104" s="112"/>
      <c r="X104" s="112"/>
      <c r="Y104" s="112"/>
      <c r="Z104" s="112"/>
      <c r="AA104" s="94"/>
      <c r="AB104" s="112"/>
      <c r="AC104" s="129"/>
      <c r="AD104" s="112"/>
      <c r="AE104" s="112"/>
    </row>
    <row r="105" customFormat="false" ht="15" hidden="false" customHeight="false" outlineLevel="0" collapsed="false">
      <c r="A105" s="94" t="s">
        <v>39</v>
      </c>
      <c r="B105" s="95" t="s">
        <v>849</v>
      </c>
      <c r="C105" s="95" t="s">
        <v>976</v>
      </c>
      <c r="D105" s="94" t="s">
        <v>980</v>
      </c>
      <c r="E105" s="95" t="n">
        <v>103889</v>
      </c>
      <c r="F105" s="94" t="n">
        <v>141</v>
      </c>
      <c r="G105" s="94" t="n">
        <v>91</v>
      </c>
      <c r="H105" s="94" t="n">
        <v>441</v>
      </c>
      <c r="I105" s="94" t="n">
        <v>220</v>
      </c>
      <c r="J105" s="94" t="n">
        <v>221</v>
      </c>
      <c r="K105" s="94" t="n">
        <v>178</v>
      </c>
      <c r="L105" s="112" t="n">
        <f aca="false">K105/H105*100</f>
        <v>40.3628117913832</v>
      </c>
      <c r="M105" s="94" t="n">
        <v>242</v>
      </c>
      <c r="N105" s="112" t="n">
        <f aca="false">O105/H105*100</f>
        <v>5.4421768707483</v>
      </c>
      <c r="O105" s="94" t="n">
        <v>24</v>
      </c>
      <c r="P105" s="94" t="n">
        <v>0</v>
      </c>
      <c r="Q105" s="94"/>
      <c r="R105" s="127"/>
      <c r="S105" s="112"/>
      <c r="T105" s="112"/>
      <c r="U105" s="112" t="s">
        <v>49</v>
      </c>
      <c r="V105" s="112"/>
      <c r="W105" s="112"/>
      <c r="X105" s="112"/>
      <c r="Y105" s="112"/>
      <c r="Z105" s="112"/>
      <c r="AA105" s="94"/>
      <c r="AB105" s="112"/>
      <c r="AC105" s="129"/>
      <c r="AD105" s="112"/>
      <c r="AE105" s="112"/>
    </row>
    <row r="106" customFormat="false" ht="15" hidden="false" customHeight="false" outlineLevel="0" collapsed="false">
      <c r="A106" s="94" t="s">
        <v>39</v>
      </c>
      <c r="B106" s="95" t="s">
        <v>849</v>
      </c>
      <c r="C106" s="95" t="s">
        <v>888</v>
      </c>
      <c r="D106" s="94" t="s">
        <v>981</v>
      </c>
      <c r="E106" s="95" t="n">
        <v>103890</v>
      </c>
      <c r="F106" s="94" t="n">
        <v>196</v>
      </c>
      <c r="G106" s="94" t="n">
        <v>75</v>
      </c>
      <c r="H106" s="94" t="n">
        <v>468</v>
      </c>
      <c r="I106" s="94" t="n">
        <v>242</v>
      </c>
      <c r="J106" s="94" t="n">
        <v>226</v>
      </c>
      <c r="K106" s="94" t="n">
        <v>12</v>
      </c>
      <c r="L106" s="112" t="n">
        <f aca="false">K106/H106*100</f>
        <v>2.56410256410256</v>
      </c>
      <c r="M106" s="94" t="n">
        <v>445</v>
      </c>
      <c r="N106" s="112" t="n">
        <f aca="false">O106/H106*100</f>
        <v>3.2051282051282</v>
      </c>
      <c r="O106" s="94" t="n">
        <v>15</v>
      </c>
      <c r="P106" s="94" t="n">
        <v>0</v>
      </c>
      <c r="Q106" s="132" t="s">
        <v>82</v>
      </c>
      <c r="R106" s="132" t="s">
        <v>890</v>
      </c>
      <c r="S106" s="112"/>
      <c r="T106" s="132" t="n">
        <v>19.75</v>
      </c>
      <c r="U106" s="112"/>
      <c r="V106" s="112" t="s">
        <v>49</v>
      </c>
      <c r="W106" s="112"/>
      <c r="X106" s="112"/>
      <c r="Y106" s="112"/>
      <c r="Z106" s="112"/>
      <c r="AA106" s="133"/>
      <c r="AB106" s="132" t="n">
        <v>4</v>
      </c>
      <c r="AC106" s="134" t="s">
        <v>982</v>
      </c>
      <c r="AD106" s="134" t="n">
        <v>24.598546</v>
      </c>
      <c r="AE106" s="134" t="n">
        <v>76.323304</v>
      </c>
    </row>
    <row r="107" customFormat="false" ht="15" hidden="false" customHeight="false" outlineLevel="0" collapsed="false">
      <c r="A107" s="94" t="s">
        <v>39</v>
      </c>
      <c r="B107" s="95" t="s">
        <v>849</v>
      </c>
      <c r="C107" s="95" t="s">
        <v>857</v>
      </c>
      <c r="D107" s="94" t="s">
        <v>983</v>
      </c>
      <c r="E107" s="95" t="n">
        <v>103892</v>
      </c>
      <c r="F107" s="94" t="n">
        <v>172</v>
      </c>
      <c r="G107" s="94" t="n">
        <v>120</v>
      </c>
      <c r="H107" s="94" t="n">
        <v>747</v>
      </c>
      <c r="I107" s="94" t="n">
        <v>380</v>
      </c>
      <c r="J107" s="94" t="n">
        <v>367</v>
      </c>
      <c r="K107" s="94" t="n">
        <v>67</v>
      </c>
      <c r="L107" s="112" t="n">
        <f aca="false">K107/H107*100</f>
        <v>8.96921017402945</v>
      </c>
      <c r="M107" s="94" t="n">
        <v>430</v>
      </c>
      <c r="N107" s="112" t="n">
        <f aca="false">O107/H107*100</f>
        <v>4.81927710843374</v>
      </c>
      <c r="O107" s="94" t="n">
        <v>36</v>
      </c>
      <c r="P107" s="94" t="n">
        <v>0</v>
      </c>
      <c r="Q107" s="123"/>
      <c r="R107" s="124"/>
      <c r="S107" s="112"/>
      <c r="T107" s="123"/>
      <c r="U107" s="112" t="s">
        <v>49</v>
      </c>
      <c r="V107" s="112" t="s">
        <v>49</v>
      </c>
      <c r="W107" s="112"/>
      <c r="X107" s="112"/>
      <c r="Y107" s="112"/>
      <c r="Z107" s="112"/>
      <c r="AA107" s="123"/>
      <c r="AB107" s="123"/>
      <c r="AC107" s="130"/>
      <c r="AD107" s="123"/>
      <c r="AE107" s="123"/>
    </row>
    <row r="108" customFormat="false" ht="15" hidden="false" customHeight="false" outlineLevel="0" collapsed="false">
      <c r="A108" s="94" t="s">
        <v>39</v>
      </c>
      <c r="B108" s="95" t="s">
        <v>849</v>
      </c>
      <c r="C108" s="95" t="s">
        <v>888</v>
      </c>
      <c r="D108" s="94" t="s">
        <v>984</v>
      </c>
      <c r="E108" s="95" t="n">
        <v>103893</v>
      </c>
      <c r="F108" s="94" t="n">
        <v>553</v>
      </c>
      <c r="G108" s="94" t="n">
        <v>279</v>
      </c>
      <c r="H108" s="94" t="n">
        <v>1605</v>
      </c>
      <c r="I108" s="94" t="n">
        <v>834</v>
      </c>
      <c r="J108" s="94" t="n">
        <v>771</v>
      </c>
      <c r="K108" s="94" t="n">
        <v>269</v>
      </c>
      <c r="L108" s="112" t="n">
        <f aca="false">K108/H108*100</f>
        <v>16.7601246105919</v>
      </c>
      <c r="M108" s="94" t="n">
        <v>116</v>
      </c>
      <c r="N108" s="112" t="n">
        <f aca="false">O108/H108*100</f>
        <v>2.86604361370716</v>
      </c>
      <c r="O108" s="94" t="n">
        <v>46</v>
      </c>
      <c r="P108" s="94" t="n">
        <v>0</v>
      </c>
      <c r="Q108" s="94"/>
      <c r="R108" s="127"/>
      <c r="S108" s="112"/>
      <c r="T108" s="112"/>
      <c r="U108" s="112"/>
      <c r="V108" s="112" t="s">
        <v>49</v>
      </c>
      <c r="W108" s="112"/>
      <c r="X108" s="112"/>
      <c r="Y108" s="112"/>
      <c r="Z108" s="112"/>
      <c r="AA108" s="94"/>
      <c r="AB108" s="112"/>
      <c r="AC108" s="129"/>
      <c r="AD108" s="112"/>
      <c r="AE108" s="112"/>
    </row>
    <row r="109" customFormat="false" ht="15" hidden="false" customHeight="false" outlineLevel="0" collapsed="false">
      <c r="A109" s="94" t="s">
        <v>39</v>
      </c>
      <c r="B109" s="95" t="s">
        <v>849</v>
      </c>
      <c r="C109" s="95" t="s">
        <v>888</v>
      </c>
      <c r="D109" s="94" t="s">
        <v>985</v>
      </c>
      <c r="E109" s="95" t="n">
        <v>103894</v>
      </c>
      <c r="F109" s="94" t="n">
        <v>152</v>
      </c>
      <c r="G109" s="94" t="n">
        <v>60</v>
      </c>
      <c r="H109" s="94" t="n">
        <v>367</v>
      </c>
      <c r="I109" s="94" t="n">
        <v>187</v>
      </c>
      <c r="J109" s="94" t="n">
        <v>180</v>
      </c>
      <c r="K109" s="94" t="n">
        <v>111</v>
      </c>
      <c r="L109" s="112" t="n">
        <f aca="false">K109/H109*100</f>
        <v>30.2452316076294</v>
      </c>
      <c r="M109" s="94" t="n">
        <v>220</v>
      </c>
      <c r="N109" s="112" t="n">
        <f aca="false">O109/H109*100</f>
        <v>6.53950953678474</v>
      </c>
      <c r="O109" s="94" t="n">
        <v>24</v>
      </c>
      <c r="P109" s="94" t="n">
        <v>0</v>
      </c>
      <c r="Q109" s="149" t="s">
        <v>82</v>
      </c>
      <c r="R109" s="149" t="s">
        <v>890</v>
      </c>
      <c r="S109" s="112"/>
      <c r="T109" s="149" t="n">
        <v>39.4</v>
      </c>
      <c r="U109" s="112"/>
      <c r="V109" s="112" t="s">
        <v>49</v>
      </c>
      <c r="W109" s="112"/>
      <c r="X109" s="112"/>
      <c r="Y109" s="112"/>
      <c r="Z109" s="112"/>
      <c r="AA109" s="150"/>
      <c r="AB109" s="149" t="n">
        <v>10</v>
      </c>
      <c r="AC109" s="151" t="s">
        <v>986</v>
      </c>
      <c r="AD109" s="151" t="n">
        <v>24.617931</v>
      </c>
      <c r="AE109" s="151" t="n">
        <v>76.342428</v>
      </c>
    </row>
    <row r="110" customFormat="false" ht="15" hidden="false" customHeight="false" outlineLevel="0" collapsed="false">
      <c r="A110" s="94" t="s">
        <v>39</v>
      </c>
      <c r="B110" s="95" t="s">
        <v>849</v>
      </c>
      <c r="C110" s="95" t="s">
        <v>888</v>
      </c>
      <c r="D110" s="94" t="s">
        <v>718</v>
      </c>
      <c r="E110" s="95" t="n">
        <v>103895</v>
      </c>
      <c r="F110" s="94" t="n">
        <v>277</v>
      </c>
      <c r="G110" s="94" t="n">
        <v>53</v>
      </c>
      <c r="H110" s="94" t="n">
        <v>272</v>
      </c>
      <c r="I110" s="94" t="n">
        <v>134</v>
      </c>
      <c r="J110" s="94" t="n">
        <v>138</v>
      </c>
      <c r="K110" s="94" t="n">
        <v>23</v>
      </c>
      <c r="L110" s="112" t="n">
        <f aca="false">K110/H110*100</f>
        <v>8.45588235294118</v>
      </c>
      <c r="M110" s="94" t="n">
        <v>51</v>
      </c>
      <c r="N110" s="112" t="n">
        <f aca="false">O110/H110*100</f>
        <v>8.45588235294118</v>
      </c>
      <c r="O110" s="94" t="n">
        <v>23</v>
      </c>
      <c r="P110" s="94" t="n">
        <v>0</v>
      </c>
      <c r="Q110" s="123"/>
      <c r="R110" s="124"/>
      <c r="S110" s="112"/>
      <c r="T110" s="123"/>
      <c r="U110" s="112"/>
      <c r="V110" s="112"/>
      <c r="W110" s="112"/>
      <c r="X110" s="112"/>
      <c r="Y110" s="112"/>
      <c r="Z110" s="112"/>
      <c r="AA110" s="123"/>
      <c r="AB110" s="123"/>
      <c r="AC110" s="130"/>
      <c r="AD110" s="123"/>
      <c r="AE110" s="123"/>
    </row>
    <row r="111" customFormat="false" ht="15" hidden="false" customHeight="false" outlineLevel="0" collapsed="false">
      <c r="A111" s="94" t="s">
        <v>39</v>
      </c>
      <c r="B111" s="95" t="s">
        <v>849</v>
      </c>
      <c r="C111" s="95" t="s">
        <v>942</v>
      </c>
      <c r="D111" s="94" t="s">
        <v>987</v>
      </c>
      <c r="E111" s="95" t="n">
        <v>103896</v>
      </c>
      <c r="F111" s="94" t="n">
        <v>137.03</v>
      </c>
      <c r="G111" s="94" t="n">
        <v>93</v>
      </c>
      <c r="H111" s="94" t="n">
        <v>488</v>
      </c>
      <c r="I111" s="94" t="n">
        <v>243</v>
      </c>
      <c r="J111" s="94" t="n">
        <v>245</v>
      </c>
      <c r="K111" s="94" t="n">
        <v>93</v>
      </c>
      <c r="L111" s="112" t="n">
        <f aca="false">K111/H111*100</f>
        <v>19.0573770491803</v>
      </c>
      <c r="M111" s="94" t="n">
        <v>5</v>
      </c>
      <c r="N111" s="112" t="n">
        <f aca="false">O111/H111*100</f>
        <v>3.00614754098361</v>
      </c>
      <c r="O111" s="94" t="n">
        <v>14.67</v>
      </c>
      <c r="P111" s="94" t="n">
        <v>0</v>
      </c>
      <c r="Q111" s="94"/>
      <c r="R111" s="127"/>
      <c r="S111" s="112"/>
      <c r="T111" s="112"/>
      <c r="U111" s="112"/>
      <c r="V111" s="112"/>
      <c r="W111" s="112"/>
      <c r="X111" s="112"/>
      <c r="Y111" s="112"/>
      <c r="Z111" s="112"/>
      <c r="AA111" s="94"/>
      <c r="AB111" s="112"/>
      <c r="AC111" s="129"/>
      <c r="AD111" s="112"/>
      <c r="AE111" s="112"/>
    </row>
    <row r="112" customFormat="false" ht="15" hidden="false" customHeight="false" outlineLevel="0" collapsed="false">
      <c r="A112" s="94" t="s">
        <v>39</v>
      </c>
      <c r="B112" s="95" t="s">
        <v>849</v>
      </c>
      <c r="C112" s="95" t="s">
        <v>947</v>
      </c>
      <c r="D112" s="94" t="s">
        <v>949</v>
      </c>
      <c r="E112" s="95" t="n">
        <v>103897</v>
      </c>
      <c r="F112" s="94" t="n">
        <v>101.34</v>
      </c>
      <c r="G112" s="94" t="n">
        <v>57</v>
      </c>
      <c r="H112" s="94" t="n">
        <v>315</v>
      </c>
      <c r="I112" s="94" t="n">
        <v>160</v>
      </c>
      <c r="J112" s="94" t="n">
        <v>155</v>
      </c>
      <c r="K112" s="94" t="n">
        <v>26</v>
      </c>
      <c r="L112" s="112" t="n">
        <f aca="false">K112/H112*100</f>
        <v>8.25396825396825</v>
      </c>
      <c r="M112" s="94" t="n">
        <v>216</v>
      </c>
      <c r="N112" s="112" t="n">
        <f aca="false">O112/H112*100</f>
        <v>2.86666666666667</v>
      </c>
      <c r="O112" s="94" t="n">
        <v>9.03</v>
      </c>
      <c r="P112" s="94" t="n">
        <v>0</v>
      </c>
      <c r="Q112" s="112"/>
      <c r="R112" s="112"/>
      <c r="S112" s="112"/>
      <c r="T112" s="114" t="n">
        <v>12.4634</v>
      </c>
      <c r="U112" s="112" t="s">
        <v>49</v>
      </c>
      <c r="V112" s="112"/>
      <c r="W112" s="112"/>
      <c r="X112" s="112"/>
      <c r="Y112" s="112"/>
      <c r="Z112" s="112"/>
      <c r="AA112" s="121" t="s">
        <v>45</v>
      </c>
      <c r="AB112" s="121" t="n">
        <v>2</v>
      </c>
      <c r="AC112" s="115" t="s">
        <v>852</v>
      </c>
      <c r="AD112" s="116" t="n">
        <v>24.668789</v>
      </c>
      <c r="AE112" s="116" t="n">
        <v>76.328428</v>
      </c>
    </row>
    <row r="113" customFormat="false" ht="15" hidden="false" customHeight="false" outlineLevel="0" collapsed="false">
      <c r="A113" s="94" t="s">
        <v>39</v>
      </c>
      <c r="B113" s="95" t="s">
        <v>849</v>
      </c>
      <c r="C113" s="95" t="s">
        <v>942</v>
      </c>
      <c r="D113" s="94" t="s">
        <v>988</v>
      </c>
      <c r="E113" s="95" t="n">
        <v>103898</v>
      </c>
      <c r="F113" s="94" t="n">
        <v>98.68</v>
      </c>
      <c r="G113" s="94" t="n">
        <v>53</v>
      </c>
      <c r="H113" s="94" t="n">
        <v>281</v>
      </c>
      <c r="I113" s="94" t="n">
        <v>147</v>
      </c>
      <c r="J113" s="94" t="n">
        <v>134</v>
      </c>
      <c r="K113" s="94" t="n">
        <v>30</v>
      </c>
      <c r="L113" s="112" t="n">
        <f aca="false">K113/H113*100</f>
        <v>10.6761565836299</v>
      </c>
      <c r="M113" s="94" t="n">
        <v>228</v>
      </c>
      <c r="N113" s="112" t="n">
        <f aca="false">O113/H113*100</f>
        <v>3.06761565836299</v>
      </c>
      <c r="O113" s="94" t="n">
        <v>8.62</v>
      </c>
      <c r="P113" s="94" t="n">
        <v>0</v>
      </c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28"/>
      <c r="AD113" s="112"/>
      <c r="AE113" s="112"/>
    </row>
    <row r="114" customFormat="false" ht="15" hidden="false" customHeight="false" outlineLevel="0" collapsed="false">
      <c r="A114" s="94" t="s">
        <v>39</v>
      </c>
      <c r="B114" s="95" t="s">
        <v>849</v>
      </c>
      <c r="C114" s="95" t="s">
        <v>942</v>
      </c>
      <c r="D114" s="94" t="s">
        <v>989</v>
      </c>
      <c r="E114" s="95" t="n">
        <v>103899</v>
      </c>
      <c r="F114" s="94" t="n">
        <v>101.39</v>
      </c>
      <c r="G114" s="94" t="n">
        <v>28</v>
      </c>
      <c r="H114" s="94" t="n">
        <v>169</v>
      </c>
      <c r="I114" s="94" t="n">
        <v>88</v>
      </c>
      <c r="J114" s="94" t="n">
        <v>81</v>
      </c>
      <c r="K114" s="94" t="n">
        <v>20</v>
      </c>
      <c r="L114" s="112" t="n">
        <f aca="false">K114/H114*100</f>
        <v>11.8343195266272</v>
      </c>
      <c r="M114" s="94" t="n">
        <v>8</v>
      </c>
      <c r="N114" s="112" t="n">
        <f aca="false">O114/H114*100</f>
        <v>6.29585798816568</v>
      </c>
      <c r="O114" s="94" t="n">
        <v>10.64</v>
      </c>
      <c r="P114" s="94" t="n">
        <v>0</v>
      </c>
      <c r="Q114" s="113" t="s">
        <v>45</v>
      </c>
      <c r="R114" s="126" t="n">
        <v>44595</v>
      </c>
      <c r="S114" s="112"/>
      <c r="T114" s="114" t="n">
        <v>9.5173</v>
      </c>
      <c r="U114" s="112"/>
      <c r="V114" s="112"/>
      <c r="W114" s="112"/>
      <c r="X114" s="112"/>
      <c r="Y114" s="112"/>
      <c r="Z114" s="112"/>
      <c r="AA114" s="112" t="s">
        <v>82</v>
      </c>
      <c r="AB114" s="117" t="n">
        <v>2</v>
      </c>
      <c r="AC114" s="115" t="s">
        <v>852</v>
      </c>
      <c r="AD114" s="116" t="n">
        <v>24.654192</v>
      </c>
      <c r="AE114" s="116" t="n">
        <v>76.336996</v>
      </c>
    </row>
    <row r="115" customFormat="false" ht="15" hidden="false" customHeight="false" outlineLevel="0" collapsed="false">
      <c r="A115" s="94" t="s">
        <v>39</v>
      </c>
      <c r="B115" s="95" t="s">
        <v>849</v>
      </c>
      <c r="C115" s="95" t="s">
        <v>990</v>
      </c>
      <c r="D115" s="94" t="s">
        <v>991</v>
      </c>
      <c r="E115" s="95" t="n">
        <v>103900</v>
      </c>
      <c r="F115" s="94" t="n">
        <v>223.73</v>
      </c>
      <c r="G115" s="94" t="n">
        <v>47</v>
      </c>
      <c r="H115" s="94" t="n">
        <v>278</v>
      </c>
      <c r="I115" s="94" t="n">
        <v>140</v>
      </c>
      <c r="J115" s="94" t="n">
        <v>138</v>
      </c>
      <c r="K115" s="94" t="n">
        <v>21</v>
      </c>
      <c r="L115" s="112" t="n">
        <f aca="false">K115/H115*100</f>
        <v>7.55395683453237</v>
      </c>
      <c r="M115" s="94" t="n">
        <v>198</v>
      </c>
      <c r="N115" s="112" t="n">
        <f aca="false">O115/H115*100</f>
        <v>7.40647482014389</v>
      </c>
      <c r="O115" s="94" t="n">
        <v>20.59</v>
      </c>
      <c r="P115" s="94" t="n">
        <v>0</v>
      </c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28"/>
      <c r="AD115" s="112"/>
      <c r="AE115" s="112"/>
    </row>
    <row r="116" customFormat="false" ht="15" hidden="false" customHeight="false" outlineLevel="0" collapsed="false">
      <c r="A116" s="94" t="s">
        <v>39</v>
      </c>
      <c r="B116" s="95" t="s">
        <v>849</v>
      </c>
      <c r="C116" s="95" t="s">
        <v>990</v>
      </c>
      <c r="D116" s="94" t="s">
        <v>992</v>
      </c>
      <c r="E116" s="95" t="n">
        <v>103901</v>
      </c>
      <c r="F116" s="94" t="n">
        <v>199.08</v>
      </c>
      <c r="G116" s="94" t="n">
        <v>100</v>
      </c>
      <c r="H116" s="94" t="n">
        <v>553</v>
      </c>
      <c r="I116" s="94" t="n">
        <v>297</v>
      </c>
      <c r="J116" s="94" t="n">
        <v>256</v>
      </c>
      <c r="K116" s="94" t="n">
        <v>127</v>
      </c>
      <c r="L116" s="112" t="n">
        <f aca="false">K116/H116*100</f>
        <v>22.9656419529837</v>
      </c>
      <c r="M116" s="94" t="n">
        <v>200</v>
      </c>
      <c r="N116" s="112" t="n">
        <f aca="false">O116/H116*100</f>
        <v>4.95298372513562</v>
      </c>
      <c r="O116" s="94" t="n">
        <v>27.39</v>
      </c>
      <c r="P116" s="94" t="n">
        <v>0</v>
      </c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28"/>
      <c r="AD116" s="112"/>
      <c r="AE116" s="112"/>
    </row>
    <row r="117" customFormat="false" ht="15" hidden="false" customHeight="false" outlineLevel="0" collapsed="false">
      <c r="A117" s="94" t="s">
        <v>39</v>
      </c>
      <c r="B117" s="95" t="s">
        <v>849</v>
      </c>
      <c r="C117" s="95" t="s">
        <v>993</v>
      </c>
      <c r="D117" s="95" t="s">
        <v>993</v>
      </c>
      <c r="E117" s="95" t="n">
        <v>103985</v>
      </c>
      <c r="F117" s="94"/>
      <c r="G117" s="94"/>
      <c r="H117" s="94"/>
      <c r="I117" s="94"/>
      <c r="J117" s="94"/>
      <c r="K117" s="94"/>
      <c r="L117" s="112" t="e">
        <f aca="false">K117/H117*100</f>
        <v>#DIV/0!</v>
      </c>
      <c r="M117" s="94"/>
      <c r="N117" s="112" t="e">
        <f aca="false">O117/H117*100</f>
        <v>#DIV/0!</v>
      </c>
      <c r="O117" s="94"/>
      <c r="P117" s="94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28"/>
      <c r="AD117" s="112"/>
      <c r="AE117" s="112"/>
    </row>
    <row r="118" customFormat="false" ht="15" hidden="false" customHeight="false" outlineLevel="0" collapsed="false">
      <c r="A118" s="94" t="s">
        <v>39</v>
      </c>
      <c r="B118" s="95" t="s">
        <v>849</v>
      </c>
      <c r="C118" s="95" t="s">
        <v>994</v>
      </c>
      <c r="D118" s="94" t="s">
        <v>995</v>
      </c>
      <c r="E118" s="95" t="n">
        <v>103904</v>
      </c>
      <c r="F118" s="94" t="n">
        <v>382.6</v>
      </c>
      <c r="G118" s="94" t="n">
        <v>212</v>
      </c>
      <c r="H118" s="94" t="n">
        <v>1103</v>
      </c>
      <c r="I118" s="94" t="n">
        <v>566</v>
      </c>
      <c r="J118" s="94" t="n">
        <v>537</v>
      </c>
      <c r="K118" s="94" t="n">
        <v>282</v>
      </c>
      <c r="L118" s="112" t="n">
        <f aca="false">K118/H118*100</f>
        <v>25.5666364460562</v>
      </c>
      <c r="M118" s="94" t="n">
        <v>23</v>
      </c>
      <c r="N118" s="112" t="n">
        <f aca="false">O118/H118*100</f>
        <v>4.24206708975521</v>
      </c>
      <c r="O118" s="94" t="n">
        <v>46.79</v>
      </c>
      <c r="P118" s="94" t="n">
        <v>0</v>
      </c>
      <c r="Q118" s="113" t="s">
        <v>45</v>
      </c>
      <c r="R118" s="113" t="s">
        <v>234</v>
      </c>
      <c r="S118" s="112"/>
      <c r="T118" s="114" t="n">
        <v>46.7041</v>
      </c>
      <c r="U118" s="112" t="s">
        <v>49</v>
      </c>
      <c r="V118" s="112"/>
      <c r="W118" s="112"/>
      <c r="X118" s="112"/>
      <c r="Y118" s="112"/>
      <c r="Z118" s="112"/>
      <c r="AA118" s="112" t="s">
        <v>82</v>
      </c>
      <c r="AB118" s="112"/>
      <c r="AC118" s="115" t="s">
        <v>852</v>
      </c>
      <c r="AD118" s="116" t="n">
        <v>24.698997</v>
      </c>
      <c r="AE118" s="116" t="n">
        <v>76.356547</v>
      </c>
    </row>
    <row r="119" customFormat="false" ht="15" hidden="false" customHeight="false" outlineLevel="0" collapsed="false">
      <c r="A119" s="94" t="s">
        <v>39</v>
      </c>
      <c r="B119" s="95" t="s">
        <v>849</v>
      </c>
      <c r="C119" s="95" t="s">
        <v>994</v>
      </c>
      <c r="D119" s="94" t="s">
        <v>996</v>
      </c>
      <c r="E119" s="95" t="n">
        <v>103905</v>
      </c>
      <c r="F119" s="94" t="n">
        <v>344.37</v>
      </c>
      <c r="G119" s="94" t="n">
        <v>131</v>
      </c>
      <c r="H119" s="94" t="n">
        <v>745</v>
      </c>
      <c r="I119" s="94" t="n">
        <v>384</v>
      </c>
      <c r="J119" s="94" t="n">
        <v>361</v>
      </c>
      <c r="K119" s="94" t="n">
        <v>102</v>
      </c>
      <c r="L119" s="112" t="n">
        <f aca="false">K119/H119*100</f>
        <v>13.6912751677852</v>
      </c>
      <c r="M119" s="94" t="n">
        <v>161</v>
      </c>
      <c r="N119" s="112" t="n">
        <f aca="false">O119/H119*100</f>
        <v>4.40268456375839</v>
      </c>
      <c r="O119" s="94" t="n">
        <v>32.8</v>
      </c>
      <c r="P119" s="94" t="n">
        <v>0</v>
      </c>
      <c r="Q119" s="112"/>
      <c r="R119" s="112"/>
      <c r="S119" s="112"/>
      <c r="T119" s="112"/>
      <c r="U119" s="112" t="s">
        <v>49</v>
      </c>
      <c r="V119" s="112"/>
      <c r="W119" s="112"/>
      <c r="X119" s="112"/>
      <c r="Y119" s="112"/>
      <c r="Z119" s="112"/>
      <c r="AA119" s="112"/>
      <c r="AB119" s="112"/>
      <c r="AC119" s="128"/>
      <c r="AD119" s="112"/>
      <c r="AE119" s="112"/>
    </row>
    <row r="120" customFormat="false" ht="15" hidden="false" customHeight="false" outlineLevel="0" collapsed="false">
      <c r="A120" s="94" t="s">
        <v>39</v>
      </c>
      <c r="B120" s="95" t="s">
        <v>849</v>
      </c>
      <c r="C120" s="95" t="s">
        <v>994</v>
      </c>
      <c r="D120" s="94" t="s">
        <v>997</v>
      </c>
      <c r="E120" s="95" t="n">
        <v>103906</v>
      </c>
      <c r="F120" s="94" t="n">
        <v>170.24</v>
      </c>
      <c r="G120" s="94" t="n">
        <v>42</v>
      </c>
      <c r="H120" s="94" t="n">
        <v>254</v>
      </c>
      <c r="I120" s="94" t="n">
        <v>122</v>
      </c>
      <c r="J120" s="94" t="n">
        <v>132</v>
      </c>
      <c r="K120" s="94" t="n">
        <v>0</v>
      </c>
      <c r="L120" s="112" t="n">
        <f aca="false">K120/H120*100</f>
        <v>0</v>
      </c>
      <c r="M120" s="94" t="n">
        <v>254</v>
      </c>
      <c r="N120" s="112" t="n">
        <f aca="false">O120/H120*100</f>
        <v>9.47244094488189</v>
      </c>
      <c r="O120" s="94" t="n">
        <v>24.06</v>
      </c>
      <c r="P120" s="94" t="n">
        <v>0</v>
      </c>
      <c r="Q120" s="112"/>
      <c r="R120" s="112"/>
      <c r="S120" s="112"/>
      <c r="T120" s="112"/>
      <c r="U120" s="112" t="s">
        <v>49</v>
      </c>
      <c r="V120" s="112"/>
      <c r="W120" s="112"/>
      <c r="X120" s="112"/>
      <c r="Y120" s="112"/>
      <c r="Z120" s="112"/>
      <c r="AA120" s="112"/>
      <c r="AB120" s="112"/>
      <c r="AC120" s="128"/>
      <c r="AD120" s="112"/>
      <c r="AE120" s="112"/>
    </row>
    <row r="121" customFormat="false" ht="15" hidden="false" customHeight="false" outlineLevel="0" collapsed="false">
      <c r="A121" s="94" t="s">
        <v>39</v>
      </c>
      <c r="B121" s="95" t="s">
        <v>849</v>
      </c>
      <c r="C121" s="95" t="s">
        <v>994</v>
      </c>
      <c r="D121" s="94" t="s">
        <v>998</v>
      </c>
      <c r="E121" s="95" t="n">
        <v>103907</v>
      </c>
      <c r="F121" s="94" t="n">
        <v>81.07</v>
      </c>
      <c r="G121" s="94" t="n">
        <v>27</v>
      </c>
      <c r="H121" s="94" t="n">
        <v>184</v>
      </c>
      <c r="I121" s="94" t="n">
        <v>90</v>
      </c>
      <c r="J121" s="94" t="n">
        <v>94</v>
      </c>
      <c r="K121" s="94" t="n">
        <v>0</v>
      </c>
      <c r="L121" s="112" t="n">
        <f aca="false">K121/H121*100</f>
        <v>0</v>
      </c>
      <c r="M121" s="94" t="n">
        <v>26</v>
      </c>
      <c r="N121" s="112" t="n">
        <f aca="false">O121/H121*100</f>
        <v>4.89130434782609</v>
      </c>
      <c r="O121" s="94" t="n">
        <v>9</v>
      </c>
      <c r="P121" s="94" t="n">
        <v>0</v>
      </c>
      <c r="Q121" s="113" t="s">
        <v>45</v>
      </c>
      <c r="R121" s="113" t="s">
        <v>257</v>
      </c>
      <c r="S121" s="112"/>
      <c r="T121" s="121" t="s">
        <v>45</v>
      </c>
      <c r="U121" s="112" t="s">
        <v>49</v>
      </c>
      <c r="V121" s="112"/>
      <c r="W121" s="112"/>
      <c r="X121" s="112"/>
      <c r="Y121" s="112"/>
      <c r="Z121" s="112"/>
      <c r="AA121" s="112"/>
      <c r="AB121" s="112"/>
      <c r="AC121" s="115" t="s">
        <v>852</v>
      </c>
      <c r="AD121" s="116" t="n">
        <v>24.726818</v>
      </c>
      <c r="AE121" s="116" t="n">
        <v>76.386714</v>
      </c>
    </row>
    <row r="122" customFormat="false" ht="15" hidden="false" customHeight="false" outlineLevel="0" collapsed="false">
      <c r="A122" s="94" t="s">
        <v>39</v>
      </c>
      <c r="B122" s="95" t="s">
        <v>849</v>
      </c>
      <c r="C122" s="95" t="s">
        <v>994</v>
      </c>
      <c r="D122" s="94" t="s">
        <v>999</v>
      </c>
      <c r="E122" s="95" t="n">
        <v>103908</v>
      </c>
      <c r="F122" s="94" t="n">
        <v>362.16</v>
      </c>
      <c r="G122" s="94" t="n">
        <v>111</v>
      </c>
      <c r="H122" s="94" t="n">
        <v>650</v>
      </c>
      <c r="I122" s="94" t="n">
        <v>332</v>
      </c>
      <c r="J122" s="94" t="n">
        <v>318</v>
      </c>
      <c r="K122" s="94" t="n">
        <v>127</v>
      </c>
      <c r="L122" s="112" t="n">
        <f aca="false">K122/H122*100</f>
        <v>19.5384615384615</v>
      </c>
      <c r="M122" s="94" t="n">
        <v>10</v>
      </c>
      <c r="N122" s="112" t="n">
        <f aca="false">O122/H122*100</f>
        <v>4.24769230769231</v>
      </c>
      <c r="O122" s="94" t="n">
        <v>27.61</v>
      </c>
      <c r="P122" s="94" t="n">
        <v>0</v>
      </c>
      <c r="Q122" s="113" t="s">
        <v>45</v>
      </c>
      <c r="R122" s="113" t="s">
        <v>257</v>
      </c>
      <c r="S122" s="112"/>
      <c r="T122" s="114" t="n">
        <v>28.7154</v>
      </c>
      <c r="U122" s="112" t="s">
        <v>49</v>
      </c>
      <c r="V122" s="112" t="s">
        <v>49</v>
      </c>
      <c r="W122" s="112"/>
      <c r="X122" s="112"/>
      <c r="Y122" s="112"/>
      <c r="Z122" s="112"/>
      <c r="AA122" s="112" t="s">
        <v>82</v>
      </c>
      <c r="AB122" s="112" t="n">
        <v>2</v>
      </c>
      <c r="AC122" s="115" t="s">
        <v>852</v>
      </c>
      <c r="AD122" s="116" t="n">
        <v>24.73046</v>
      </c>
      <c r="AE122" s="116" t="n">
        <v>76.393598</v>
      </c>
    </row>
    <row r="123" customFormat="false" ht="15" hidden="false" customHeight="false" outlineLevel="0" collapsed="false">
      <c r="A123" s="94" t="s">
        <v>39</v>
      </c>
      <c r="B123" s="95" t="s">
        <v>849</v>
      </c>
      <c r="C123" s="95" t="s">
        <v>918</v>
      </c>
      <c r="D123" s="94" t="s">
        <v>1000</v>
      </c>
      <c r="E123" s="95" t="n">
        <v>103909</v>
      </c>
      <c r="F123" s="94" t="n">
        <v>1494</v>
      </c>
      <c r="G123" s="94" t="n">
        <v>510</v>
      </c>
      <c r="H123" s="94" t="n">
        <v>2702</v>
      </c>
      <c r="I123" s="94" t="n">
        <v>1401</v>
      </c>
      <c r="J123" s="94" t="n">
        <v>1301</v>
      </c>
      <c r="K123" s="94" t="n">
        <v>331</v>
      </c>
      <c r="L123" s="112" t="n">
        <f aca="false">K123/H123*100</f>
        <v>12.2501850481125</v>
      </c>
      <c r="M123" s="94" t="n">
        <v>14</v>
      </c>
      <c r="N123" s="112" t="n">
        <f aca="false">O123/H123*100</f>
        <v>0</v>
      </c>
      <c r="O123" s="94" t="n">
        <v>0</v>
      </c>
      <c r="P123" s="94" t="n">
        <v>308</v>
      </c>
      <c r="Q123" s="112"/>
      <c r="R123" s="112"/>
      <c r="S123" s="112"/>
      <c r="T123" s="112"/>
      <c r="U123" s="112" t="s">
        <v>49</v>
      </c>
      <c r="V123" s="112" t="s">
        <v>49</v>
      </c>
      <c r="W123" s="112"/>
      <c r="X123" s="112"/>
      <c r="Y123" s="112"/>
      <c r="Z123" s="112"/>
      <c r="AA123" s="112"/>
      <c r="AB123" s="112"/>
      <c r="AC123" s="128"/>
      <c r="AD123" s="112"/>
      <c r="AE123" s="112"/>
    </row>
    <row r="124" customFormat="false" ht="15" hidden="false" customHeight="false" outlineLevel="0" collapsed="false">
      <c r="A124" s="94" t="s">
        <v>39</v>
      </c>
      <c r="B124" s="95" t="s">
        <v>849</v>
      </c>
      <c r="C124" s="95" t="s">
        <v>918</v>
      </c>
      <c r="D124" s="94" t="s">
        <v>1001</v>
      </c>
      <c r="E124" s="95" t="n">
        <v>103910</v>
      </c>
      <c r="F124" s="94" t="n">
        <v>502</v>
      </c>
      <c r="G124" s="94" t="n">
        <v>24</v>
      </c>
      <c r="H124" s="94" t="n">
        <v>125</v>
      </c>
      <c r="I124" s="94" t="n">
        <v>68</v>
      </c>
      <c r="J124" s="94" t="n">
        <v>57</v>
      </c>
      <c r="K124" s="94" t="n">
        <v>109</v>
      </c>
      <c r="L124" s="112" t="n">
        <f aca="false">K124/H124*100</f>
        <v>87.2</v>
      </c>
      <c r="M124" s="94" t="n">
        <v>0</v>
      </c>
      <c r="N124" s="112" t="n">
        <f aca="false">O124/H124*100</f>
        <v>0</v>
      </c>
      <c r="O124" s="94" t="n">
        <v>0</v>
      </c>
      <c r="P124" s="94" t="n">
        <v>500</v>
      </c>
      <c r="Q124" s="112"/>
      <c r="R124" s="112"/>
      <c r="S124" s="112"/>
      <c r="T124" s="112"/>
      <c r="U124" s="112" t="s">
        <v>49</v>
      </c>
      <c r="V124" s="112" t="s">
        <v>49</v>
      </c>
      <c r="W124" s="112"/>
      <c r="X124" s="112"/>
      <c r="Y124" s="112"/>
      <c r="Z124" s="112"/>
      <c r="AA124" s="112"/>
      <c r="AB124" s="112"/>
      <c r="AC124" s="128"/>
      <c r="AD124" s="112"/>
      <c r="AE124" s="112"/>
    </row>
    <row r="125" customFormat="false" ht="15" hidden="false" customHeight="false" outlineLevel="0" collapsed="false">
      <c r="A125" s="94" t="s">
        <v>39</v>
      </c>
      <c r="B125" s="95" t="s">
        <v>849</v>
      </c>
      <c r="C125" s="95" t="s">
        <v>918</v>
      </c>
      <c r="D125" s="94" t="s">
        <v>1002</v>
      </c>
      <c r="E125" s="95" t="n">
        <v>103911</v>
      </c>
      <c r="F125" s="94" t="n">
        <v>170</v>
      </c>
      <c r="G125" s="94" t="n">
        <v>27</v>
      </c>
      <c r="H125" s="94" t="n">
        <v>141</v>
      </c>
      <c r="I125" s="94" t="n">
        <v>77</v>
      </c>
      <c r="J125" s="94" t="n">
        <v>64</v>
      </c>
      <c r="K125" s="94" t="n">
        <v>0</v>
      </c>
      <c r="L125" s="112" t="n">
        <f aca="false">K125/H125*100</f>
        <v>0</v>
      </c>
      <c r="M125" s="94" t="n">
        <v>7</v>
      </c>
      <c r="N125" s="112" t="n">
        <f aca="false">O125/H125*100</f>
        <v>9.9290780141844</v>
      </c>
      <c r="O125" s="94" t="n">
        <v>14</v>
      </c>
      <c r="P125" s="94" t="n">
        <v>4</v>
      </c>
      <c r="Q125" s="112"/>
      <c r="R125" s="112"/>
      <c r="S125" s="112"/>
      <c r="T125" s="112"/>
      <c r="U125" s="112" t="s">
        <v>49</v>
      </c>
      <c r="V125" s="112" t="s">
        <v>49</v>
      </c>
      <c r="W125" s="112"/>
      <c r="X125" s="112"/>
      <c r="Y125" s="112"/>
      <c r="Z125" s="112"/>
      <c r="AA125" s="112"/>
      <c r="AB125" s="112"/>
      <c r="AC125" s="128"/>
      <c r="AD125" s="112"/>
      <c r="AE125" s="112"/>
    </row>
    <row r="126" customFormat="false" ht="15" hidden="false" customHeight="false" outlineLevel="0" collapsed="false">
      <c r="A126" s="94" t="s">
        <v>39</v>
      </c>
      <c r="B126" s="95" t="s">
        <v>849</v>
      </c>
      <c r="C126" s="95" t="s">
        <v>1003</v>
      </c>
      <c r="D126" s="94" t="s">
        <v>1004</v>
      </c>
      <c r="E126" s="95" t="n">
        <v>103912</v>
      </c>
      <c r="F126" s="94" t="n">
        <v>699.31</v>
      </c>
      <c r="G126" s="94" t="n">
        <v>97</v>
      </c>
      <c r="H126" s="94" t="n">
        <v>490</v>
      </c>
      <c r="I126" s="94" t="n">
        <v>259</v>
      </c>
      <c r="J126" s="94" t="n">
        <v>231</v>
      </c>
      <c r="K126" s="94" t="n">
        <v>288</v>
      </c>
      <c r="L126" s="112" t="n">
        <f aca="false">K126/H126*100</f>
        <v>58.7755102040816</v>
      </c>
      <c r="M126" s="94" t="n">
        <v>0</v>
      </c>
      <c r="N126" s="112" t="n">
        <f aca="false">O126/H126*100</f>
        <v>6.67142857142857</v>
      </c>
      <c r="O126" s="94" t="n">
        <v>32.69</v>
      </c>
      <c r="P126" s="94" t="n">
        <v>396.52</v>
      </c>
      <c r="Q126" s="152" t="s">
        <v>45</v>
      </c>
      <c r="R126" s="118" t="s">
        <v>1005</v>
      </c>
      <c r="S126" s="112"/>
      <c r="T126" s="118" t="n">
        <v>4.6781</v>
      </c>
      <c r="U126" s="112" t="s">
        <v>49</v>
      </c>
      <c r="V126" s="112"/>
      <c r="W126" s="112"/>
      <c r="X126" s="112"/>
      <c r="Y126" s="112"/>
      <c r="Z126" s="112"/>
      <c r="AA126" s="118" t="s">
        <v>47</v>
      </c>
      <c r="AB126" s="118" t="n">
        <v>0</v>
      </c>
      <c r="AC126" s="118" t="s">
        <v>859</v>
      </c>
      <c r="AD126" s="118" t="n">
        <v>24.653308</v>
      </c>
      <c r="AE126" s="118" t="n">
        <v>76.483987</v>
      </c>
    </row>
    <row r="127" customFormat="false" ht="15" hidden="false" customHeight="false" outlineLevel="0" collapsed="false">
      <c r="A127" s="94" t="s">
        <v>39</v>
      </c>
      <c r="B127" s="95" t="s">
        <v>849</v>
      </c>
      <c r="C127" s="95" t="s">
        <v>1003</v>
      </c>
      <c r="D127" s="94" t="s">
        <v>1006</v>
      </c>
      <c r="E127" s="95" t="n">
        <v>103914</v>
      </c>
      <c r="F127" s="94" t="n">
        <v>92.74</v>
      </c>
      <c r="G127" s="94" t="n">
        <v>16</v>
      </c>
      <c r="H127" s="94" t="n">
        <v>91</v>
      </c>
      <c r="I127" s="94" t="n">
        <v>50</v>
      </c>
      <c r="J127" s="94" t="n">
        <v>41</v>
      </c>
      <c r="K127" s="94" t="n">
        <v>0</v>
      </c>
      <c r="L127" s="112" t="n">
        <f aca="false">K127/H127*100</f>
        <v>0</v>
      </c>
      <c r="M127" s="94" t="n">
        <v>0</v>
      </c>
      <c r="N127" s="112" t="n">
        <f aca="false">O127/H127*100</f>
        <v>0</v>
      </c>
      <c r="O127" s="94" t="n">
        <v>0</v>
      </c>
      <c r="P127" s="94" t="n">
        <v>0</v>
      </c>
      <c r="Q127" s="152" t="s">
        <v>45</v>
      </c>
      <c r="R127" s="118" t="s">
        <v>1005</v>
      </c>
      <c r="S127" s="112"/>
      <c r="T127" s="118" t="n">
        <v>2.2662</v>
      </c>
      <c r="U127" s="112" t="s">
        <v>49</v>
      </c>
      <c r="V127" s="112"/>
      <c r="W127" s="112"/>
      <c r="X127" s="112"/>
      <c r="Y127" s="112"/>
      <c r="Z127" s="112"/>
      <c r="AA127" s="118" t="s">
        <v>47</v>
      </c>
      <c r="AB127" s="118" t="n">
        <v>0</v>
      </c>
      <c r="AC127" s="118" t="s">
        <v>859</v>
      </c>
      <c r="AD127" s="118" t="n">
        <v>24.661307</v>
      </c>
      <c r="AE127" s="118" t="n">
        <v>76.465278</v>
      </c>
    </row>
    <row r="128" customFormat="false" ht="15" hidden="false" customHeight="false" outlineLevel="0" collapsed="false">
      <c r="A128" s="94" t="s">
        <v>39</v>
      </c>
      <c r="B128" s="95" t="s">
        <v>849</v>
      </c>
      <c r="C128" s="95" t="s">
        <v>1003</v>
      </c>
      <c r="D128" s="94" t="s">
        <v>1007</v>
      </c>
      <c r="E128" s="118"/>
      <c r="F128" s="118"/>
      <c r="G128" s="118"/>
      <c r="H128" s="118"/>
      <c r="I128" s="118"/>
      <c r="J128" s="118"/>
      <c r="K128" s="118"/>
      <c r="L128" s="112" t="e">
        <f aca="false">K128/H128*100</f>
        <v>#DIV/0!</v>
      </c>
      <c r="M128" s="118"/>
      <c r="N128" s="112" t="e">
        <f aca="false">O128/H128*100</f>
        <v>#DIV/0!</v>
      </c>
      <c r="O128" s="118"/>
      <c r="P128" s="118"/>
      <c r="Q128" s="118" t="s">
        <v>45</v>
      </c>
      <c r="R128" s="118" t="s">
        <v>1008</v>
      </c>
      <c r="S128" s="112"/>
      <c r="T128" s="118"/>
      <c r="U128" s="112" t="s">
        <v>49</v>
      </c>
      <c r="V128" s="112" t="s">
        <v>49</v>
      </c>
      <c r="W128" s="112"/>
      <c r="X128" s="112"/>
      <c r="Y128" s="112"/>
      <c r="Z128" s="112"/>
      <c r="AA128" s="118" t="s">
        <v>43</v>
      </c>
      <c r="AB128" s="118" t="n">
        <v>40</v>
      </c>
      <c r="AC128" s="118" t="s">
        <v>859</v>
      </c>
      <c r="AD128" s="118" t="n">
        <v>24.668846</v>
      </c>
      <c r="AE128" s="118" t="n">
        <v>76.436663</v>
      </c>
    </row>
    <row r="129" customFormat="false" ht="15" hidden="false" customHeight="false" outlineLevel="0" collapsed="false">
      <c r="A129" s="94" t="s">
        <v>39</v>
      </c>
      <c r="B129" s="95" t="s">
        <v>849</v>
      </c>
      <c r="C129" s="95" t="s">
        <v>1003</v>
      </c>
      <c r="D129" s="94" t="s">
        <v>1007</v>
      </c>
      <c r="E129" s="95" t="n">
        <v>103915</v>
      </c>
      <c r="F129" s="94" t="n">
        <v>360.78</v>
      </c>
      <c r="G129" s="94" t="n">
        <v>245</v>
      </c>
      <c r="H129" s="94" t="n">
        <v>1250</v>
      </c>
      <c r="I129" s="94" t="n">
        <v>634</v>
      </c>
      <c r="J129" s="94" t="n">
        <v>616</v>
      </c>
      <c r="K129" s="94" t="n">
        <v>399</v>
      </c>
      <c r="L129" s="112" t="n">
        <f aca="false">K129/H129*100</f>
        <v>31.92</v>
      </c>
      <c r="M129" s="94" t="n">
        <v>37</v>
      </c>
      <c r="N129" s="112" t="n">
        <f aca="false">O129/H129*100</f>
        <v>4.4144</v>
      </c>
      <c r="O129" s="94" t="n">
        <v>55.18</v>
      </c>
      <c r="P129" s="94" t="n">
        <v>137.77</v>
      </c>
      <c r="Q129" s="118" t="s">
        <v>45</v>
      </c>
      <c r="R129" s="118" t="s">
        <v>1008</v>
      </c>
      <c r="S129" s="112"/>
      <c r="T129" s="118"/>
      <c r="U129" s="112" t="s">
        <v>49</v>
      </c>
      <c r="V129" s="112"/>
      <c r="W129" s="112"/>
      <c r="X129" s="112"/>
      <c r="Y129" s="112"/>
      <c r="Z129" s="112"/>
      <c r="AA129" s="118"/>
      <c r="AB129" s="118"/>
      <c r="AC129" s="118" t="s">
        <v>859</v>
      </c>
      <c r="AD129" s="118" t="n">
        <v>24.666789</v>
      </c>
      <c r="AE129" s="118" t="n">
        <v>76.438241</v>
      </c>
    </row>
    <row r="130" customFormat="false" ht="15" hidden="false" customHeight="false" outlineLevel="0" collapsed="false">
      <c r="A130" s="94" t="s">
        <v>39</v>
      </c>
      <c r="B130" s="95" t="s">
        <v>849</v>
      </c>
      <c r="C130" s="95" t="s">
        <v>1003</v>
      </c>
      <c r="D130" s="94" t="s">
        <v>1009</v>
      </c>
      <c r="E130" s="95" t="n">
        <v>103916</v>
      </c>
      <c r="F130" s="94" t="n">
        <v>576.55</v>
      </c>
      <c r="G130" s="94" t="n">
        <v>216</v>
      </c>
      <c r="H130" s="94" t="n">
        <v>1073</v>
      </c>
      <c r="I130" s="94" t="n">
        <v>561</v>
      </c>
      <c r="J130" s="94" t="n">
        <v>512</v>
      </c>
      <c r="K130" s="94" t="n">
        <v>207</v>
      </c>
      <c r="L130" s="112" t="n">
        <f aca="false">K130/H130*100</f>
        <v>19.2917054986021</v>
      </c>
      <c r="M130" s="94" t="n">
        <v>93</v>
      </c>
      <c r="N130" s="112" t="n">
        <f aca="false">O130/H130*100</f>
        <v>8.34203168685927</v>
      </c>
      <c r="O130" s="94" t="n">
        <v>89.51</v>
      </c>
      <c r="P130" s="94" t="n">
        <v>13.68</v>
      </c>
      <c r="Q130" s="118" t="s">
        <v>45</v>
      </c>
      <c r="R130" s="118" t="s">
        <v>1008</v>
      </c>
      <c r="S130" s="112"/>
      <c r="T130" s="118"/>
      <c r="U130" s="112" t="s">
        <v>49</v>
      </c>
      <c r="V130" s="112"/>
      <c r="W130" s="112"/>
      <c r="X130" s="112"/>
      <c r="Y130" s="112"/>
      <c r="Z130" s="112"/>
      <c r="AA130" s="118"/>
      <c r="AB130" s="118"/>
      <c r="AC130" s="118" t="s">
        <v>859</v>
      </c>
      <c r="AD130" s="118" t="n">
        <v>24.666579</v>
      </c>
      <c r="AE130" s="118" t="n">
        <v>76.438695</v>
      </c>
    </row>
    <row r="131" customFormat="false" ht="15" hidden="false" customHeight="false" outlineLevel="0" collapsed="false">
      <c r="A131" s="94" t="s">
        <v>39</v>
      </c>
      <c r="B131" s="95" t="s">
        <v>849</v>
      </c>
      <c r="C131" s="95" t="s">
        <v>990</v>
      </c>
      <c r="D131" s="94" t="s">
        <v>1010</v>
      </c>
      <c r="E131" s="95" t="n">
        <v>103917</v>
      </c>
      <c r="F131" s="94" t="n">
        <v>144.98</v>
      </c>
      <c r="G131" s="94" t="n">
        <v>95</v>
      </c>
      <c r="H131" s="94" t="n">
        <v>585</v>
      </c>
      <c r="I131" s="94" t="n">
        <v>308</v>
      </c>
      <c r="J131" s="94" t="n">
        <v>277</v>
      </c>
      <c r="K131" s="94" t="n">
        <v>52</v>
      </c>
      <c r="L131" s="112" t="n">
        <f aca="false">K131/H131*100</f>
        <v>8.88888888888889</v>
      </c>
      <c r="M131" s="94" t="n">
        <v>449</v>
      </c>
      <c r="N131" s="112" t="n">
        <f aca="false">O131/H131*100</f>
        <v>1.75042735042735</v>
      </c>
      <c r="O131" s="94" t="n">
        <v>10.24</v>
      </c>
      <c r="P131" s="94" t="n">
        <v>0</v>
      </c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28"/>
      <c r="AD131" s="112"/>
      <c r="AE131" s="112"/>
    </row>
    <row r="132" customFormat="false" ht="15" hidden="false" customHeight="false" outlineLevel="0" collapsed="false">
      <c r="A132" s="94" t="s">
        <v>39</v>
      </c>
      <c r="B132" s="95" t="s">
        <v>849</v>
      </c>
      <c r="C132" s="95" t="s">
        <v>990</v>
      </c>
      <c r="D132" s="94" t="s">
        <v>1011</v>
      </c>
      <c r="E132" s="95" t="n">
        <v>103918</v>
      </c>
      <c r="F132" s="94" t="n">
        <v>1143.67</v>
      </c>
      <c r="G132" s="94" t="n">
        <v>333</v>
      </c>
      <c r="H132" s="94" t="n">
        <v>1857</v>
      </c>
      <c r="I132" s="94" t="n">
        <v>985</v>
      </c>
      <c r="J132" s="94" t="n">
        <v>872</v>
      </c>
      <c r="K132" s="94" t="n">
        <v>577</v>
      </c>
      <c r="L132" s="112" t="n">
        <f aca="false">K132/H132*100</f>
        <v>31.0716208939149</v>
      </c>
      <c r="M132" s="94" t="n">
        <v>131</v>
      </c>
      <c r="N132" s="112" t="n">
        <f aca="false">O132/H132*100</f>
        <v>1.98169089929995</v>
      </c>
      <c r="O132" s="94" t="n">
        <v>36.8</v>
      </c>
      <c r="P132" s="94" t="n">
        <v>211.52</v>
      </c>
      <c r="Q132" s="118" t="s">
        <v>1012</v>
      </c>
      <c r="R132" s="118"/>
      <c r="S132" s="112"/>
      <c r="T132" s="118"/>
      <c r="U132" s="112"/>
      <c r="V132" s="112"/>
      <c r="W132" s="112"/>
      <c r="X132" s="112"/>
      <c r="Y132" s="112"/>
      <c r="Z132" s="112"/>
      <c r="AA132" s="118" t="s">
        <v>1013</v>
      </c>
      <c r="AB132" s="118"/>
      <c r="AC132" s="146" t="s">
        <v>859</v>
      </c>
      <c r="AD132" s="118" t="s">
        <v>1011</v>
      </c>
      <c r="AE132" s="118" t="s">
        <v>1014</v>
      </c>
    </row>
    <row r="133" customFormat="false" ht="15" hidden="false" customHeight="false" outlineLevel="0" collapsed="false">
      <c r="A133" s="94" t="s">
        <v>39</v>
      </c>
      <c r="B133" s="95" t="s">
        <v>849</v>
      </c>
      <c r="C133" s="95" t="s">
        <v>1015</v>
      </c>
      <c r="D133" s="94" t="s">
        <v>1016</v>
      </c>
      <c r="E133" s="95" t="n">
        <v>103919</v>
      </c>
      <c r="F133" s="94" t="n">
        <v>133.32</v>
      </c>
      <c r="G133" s="94" t="n">
        <v>21</v>
      </c>
      <c r="H133" s="94" t="n">
        <v>105</v>
      </c>
      <c r="I133" s="94" t="n">
        <v>54</v>
      </c>
      <c r="J133" s="94" t="n">
        <v>51</v>
      </c>
      <c r="K133" s="94" t="n">
        <v>0</v>
      </c>
      <c r="L133" s="112" t="n">
        <f aca="false">K133/H133*100</f>
        <v>0</v>
      </c>
      <c r="M133" s="94" t="n">
        <v>105</v>
      </c>
      <c r="N133" s="112" t="n">
        <f aca="false">O133/H133*100</f>
        <v>6.07619047619048</v>
      </c>
      <c r="O133" s="94" t="n">
        <v>6.38</v>
      </c>
      <c r="P133" s="94" t="n">
        <v>0</v>
      </c>
      <c r="Q133" s="112"/>
      <c r="R133" s="112"/>
      <c r="S133" s="112"/>
      <c r="T133" s="112"/>
      <c r="U133" s="112" t="s">
        <v>49</v>
      </c>
      <c r="V133" s="112"/>
      <c r="W133" s="112"/>
      <c r="X133" s="112"/>
      <c r="Y133" s="112"/>
      <c r="Z133" s="112"/>
      <c r="AA133" s="112"/>
      <c r="AB133" s="112"/>
      <c r="AC133" s="128"/>
      <c r="AD133" s="112"/>
      <c r="AE133" s="112"/>
    </row>
    <row r="134" customFormat="false" ht="15" hidden="false" customHeight="false" outlineLevel="0" collapsed="false">
      <c r="A134" s="94" t="s">
        <v>39</v>
      </c>
      <c r="B134" s="95" t="s">
        <v>849</v>
      </c>
      <c r="C134" s="95" t="s">
        <v>1015</v>
      </c>
      <c r="D134" s="94" t="s">
        <v>1017</v>
      </c>
      <c r="E134" s="95" t="n">
        <v>103920</v>
      </c>
      <c r="F134" s="94" t="n">
        <v>392.36</v>
      </c>
      <c r="G134" s="94" t="n">
        <v>138</v>
      </c>
      <c r="H134" s="94" t="n">
        <v>704</v>
      </c>
      <c r="I134" s="94" t="n">
        <v>369</v>
      </c>
      <c r="J134" s="94" t="n">
        <v>335</v>
      </c>
      <c r="K134" s="94" t="n">
        <v>103</v>
      </c>
      <c r="L134" s="112" t="n">
        <f aca="false">K134/H134*100</f>
        <v>14.6306818181818</v>
      </c>
      <c r="M134" s="94" t="n">
        <v>454</v>
      </c>
      <c r="N134" s="112" t="n">
        <f aca="false">O134/H134*100</f>
        <v>10.3877840909091</v>
      </c>
      <c r="O134" s="94" t="n">
        <v>73.13</v>
      </c>
      <c r="P134" s="94" t="n">
        <v>0</v>
      </c>
      <c r="Q134" s="112"/>
      <c r="R134" s="112"/>
      <c r="S134" s="112"/>
      <c r="T134" s="112"/>
      <c r="U134" s="112" t="s">
        <v>49</v>
      </c>
      <c r="V134" s="112"/>
      <c r="W134" s="112"/>
      <c r="X134" s="112"/>
      <c r="Y134" s="112"/>
      <c r="Z134" s="112"/>
      <c r="AA134" s="112"/>
      <c r="AB134" s="112"/>
      <c r="AC134" s="128"/>
      <c r="AD134" s="112"/>
      <c r="AE134" s="112"/>
    </row>
    <row r="135" customFormat="false" ht="15" hidden="false" customHeight="false" outlineLevel="0" collapsed="false">
      <c r="A135" s="94" t="s">
        <v>39</v>
      </c>
      <c r="B135" s="95" t="s">
        <v>849</v>
      </c>
      <c r="C135" s="95" t="s">
        <v>888</v>
      </c>
      <c r="D135" s="94" t="s">
        <v>1018</v>
      </c>
      <c r="E135" s="95" t="n">
        <v>103921</v>
      </c>
      <c r="F135" s="94" t="n">
        <v>105</v>
      </c>
      <c r="G135" s="94" t="n">
        <v>46</v>
      </c>
      <c r="H135" s="94" t="n">
        <v>238</v>
      </c>
      <c r="I135" s="94" t="n">
        <v>125</v>
      </c>
      <c r="J135" s="94" t="n">
        <v>113</v>
      </c>
      <c r="K135" s="94" t="n">
        <v>20</v>
      </c>
      <c r="L135" s="112" t="n">
        <f aca="false">K135/H135*100</f>
        <v>8.40336134453782</v>
      </c>
      <c r="M135" s="94" t="n">
        <v>156</v>
      </c>
      <c r="N135" s="112" t="n">
        <f aca="false">O135/H135*100</f>
        <v>5.88235294117647</v>
      </c>
      <c r="O135" s="94" t="n">
        <v>14</v>
      </c>
      <c r="P135" s="94" t="n">
        <v>0</v>
      </c>
      <c r="Q135" s="132" t="s">
        <v>82</v>
      </c>
      <c r="R135" s="132" t="s">
        <v>970</v>
      </c>
      <c r="S135" s="112"/>
      <c r="T135" s="133"/>
      <c r="U135" s="112"/>
      <c r="V135" s="112" t="s">
        <v>49</v>
      </c>
      <c r="W135" s="112"/>
      <c r="X135" s="112"/>
      <c r="Y135" s="112"/>
      <c r="Z135" s="112"/>
      <c r="AA135" s="133"/>
      <c r="AB135" s="133"/>
      <c r="AC135" s="134" t="s">
        <v>1019</v>
      </c>
      <c r="AD135" s="134" t="n">
        <v>24.635979</v>
      </c>
      <c r="AE135" s="134" t="n">
        <v>76.344449</v>
      </c>
    </row>
    <row r="136" customFormat="false" ht="15" hidden="false" customHeight="false" outlineLevel="0" collapsed="false">
      <c r="A136" s="94" t="s">
        <v>39</v>
      </c>
      <c r="B136" s="95" t="s">
        <v>849</v>
      </c>
      <c r="C136" s="95" t="s">
        <v>888</v>
      </c>
      <c r="D136" s="94" t="s">
        <v>1020</v>
      </c>
      <c r="E136" s="95" t="n">
        <v>103922</v>
      </c>
      <c r="F136" s="94" t="n">
        <v>99</v>
      </c>
      <c r="G136" s="94" t="n">
        <v>60</v>
      </c>
      <c r="H136" s="94" t="n">
        <v>346</v>
      </c>
      <c r="I136" s="94" t="n">
        <v>177</v>
      </c>
      <c r="J136" s="94" t="n">
        <v>169</v>
      </c>
      <c r="K136" s="94" t="n">
        <v>28</v>
      </c>
      <c r="L136" s="112" t="n">
        <f aca="false">K136/H136*100</f>
        <v>8.09248554913295</v>
      </c>
      <c r="M136" s="94" t="n">
        <v>306</v>
      </c>
      <c r="N136" s="112" t="n">
        <f aca="false">O136/H136*100</f>
        <v>4.33526011560694</v>
      </c>
      <c r="O136" s="94" t="n">
        <v>15</v>
      </c>
      <c r="P136" s="94" t="n">
        <v>0</v>
      </c>
      <c r="Q136" s="132" t="s">
        <v>82</v>
      </c>
      <c r="R136" s="132" t="s">
        <v>970</v>
      </c>
      <c r="S136" s="112"/>
      <c r="T136" s="132" t="n">
        <v>4.26</v>
      </c>
      <c r="U136" s="112"/>
      <c r="V136" s="112" t="s">
        <v>49</v>
      </c>
      <c r="W136" s="112"/>
      <c r="X136" s="112"/>
      <c r="Y136" s="112"/>
      <c r="Z136" s="112"/>
      <c r="AA136" s="133" t="s">
        <v>891</v>
      </c>
      <c r="AB136" s="132" t="n">
        <v>2</v>
      </c>
      <c r="AC136" s="134" t="s">
        <v>1021</v>
      </c>
      <c r="AD136" s="134" t="n">
        <v>24.63372</v>
      </c>
      <c r="AE136" s="134" t="n">
        <v>76.348255</v>
      </c>
    </row>
    <row r="137" customFormat="false" ht="15" hidden="false" customHeight="false" outlineLevel="0" collapsed="false">
      <c r="A137" s="94" t="s">
        <v>39</v>
      </c>
      <c r="B137" s="95" t="s">
        <v>849</v>
      </c>
      <c r="C137" s="95" t="s">
        <v>888</v>
      </c>
      <c r="D137" s="94" t="s">
        <v>1022</v>
      </c>
      <c r="E137" s="95" t="n">
        <v>103923</v>
      </c>
      <c r="F137" s="94" t="n">
        <v>212</v>
      </c>
      <c r="G137" s="94" t="n">
        <v>89</v>
      </c>
      <c r="H137" s="94" t="n">
        <v>486</v>
      </c>
      <c r="I137" s="94" t="n">
        <v>252</v>
      </c>
      <c r="J137" s="94" t="n">
        <v>234</v>
      </c>
      <c r="K137" s="94" t="n">
        <v>105</v>
      </c>
      <c r="L137" s="112" t="n">
        <f aca="false">K137/H137*100</f>
        <v>21.6049382716049</v>
      </c>
      <c r="M137" s="94" t="n">
        <v>279</v>
      </c>
      <c r="N137" s="112" t="n">
        <f aca="false">O137/H137*100</f>
        <v>4.11522633744856</v>
      </c>
      <c r="O137" s="94" t="n">
        <v>20</v>
      </c>
      <c r="P137" s="94" t="n">
        <v>0</v>
      </c>
      <c r="Q137" s="112"/>
      <c r="R137" s="112"/>
      <c r="S137" s="112"/>
      <c r="T137" s="112"/>
      <c r="U137" s="112"/>
      <c r="V137" s="112" t="s">
        <v>49</v>
      </c>
      <c r="W137" s="112"/>
      <c r="X137" s="112"/>
      <c r="Y137" s="112"/>
      <c r="Z137" s="112"/>
      <c r="AA137" s="112"/>
      <c r="AB137" s="112"/>
      <c r="AC137" s="128"/>
      <c r="AD137" s="112"/>
      <c r="AE137" s="112"/>
    </row>
    <row r="138" customFormat="false" ht="15" hidden="false" customHeight="false" outlineLevel="0" collapsed="false">
      <c r="A138" s="94" t="s">
        <v>39</v>
      </c>
      <c r="B138" s="95" t="s">
        <v>849</v>
      </c>
      <c r="C138" s="95" t="s">
        <v>888</v>
      </c>
      <c r="D138" s="94" t="s">
        <v>1023</v>
      </c>
      <c r="E138" s="95" t="n">
        <v>103924</v>
      </c>
      <c r="F138" s="94" t="n">
        <v>317</v>
      </c>
      <c r="G138" s="94" t="n">
        <v>93</v>
      </c>
      <c r="H138" s="94" t="n">
        <v>535</v>
      </c>
      <c r="I138" s="94" t="n">
        <v>285</v>
      </c>
      <c r="J138" s="94" t="n">
        <v>250</v>
      </c>
      <c r="K138" s="94" t="n">
        <v>23</v>
      </c>
      <c r="L138" s="112" t="n">
        <f aca="false">K138/H138*100</f>
        <v>4.29906542056075</v>
      </c>
      <c r="M138" s="94" t="n">
        <v>1</v>
      </c>
      <c r="N138" s="112" t="n">
        <f aca="false">O138/H138*100</f>
        <v>7.10280373831776</v>
      </c>
      <c r="O138" s="94" t="n">
        <v>38</v>
      </c>
      <c r="P138" s="94" t="n">
        <v>0</v>
      </c>
      <c r="Q138" s="149" t="s">
        <v>82</v>
      </c>
      <c r="R138" s="149" t="s">
        <v>890</v>
      </c>
      <c r="S138" s="112"/>
      <c r="T138" s="150"/>
      <c r="U138" s="112"/>
      <c r="V138" s="112" t="s">
        <v>49</v>
      </c>
      <c r="W138" s="112"/>
      <c r="X138" s="112"/>
      <c r="Y138" s="112"/>
      <c r="Z138" s="112"/>
      <c r="AA138" s="150" t="s">
        <v>891</v>
      </c>
      <c r="AB138" s="149" t="n">
        <v>17</v>
      </c>
      <c r="AC138" s="151" t="s">
        <v>1024</v>
      </c>
      <c r="AD138" s="151" t="n">
        <v>24.607727</v>
      </c>
      <c r="AE138" s="151" t="n">
        <v>76.342581</v>
      </c>
    </row>
    <row r="139" customFormat="false" ht="15" hidden="false" customHeight="false" outlineLevel="0" collapsed="false">
      <c r="A139" s="94" t="s">
        <v>39</v>
      </c>
      <c r="B139" s="95" t="s">
        <v>849</v>
      </c>
      <c r="C139" s="95" t="s">
        <v>1025</v>
      </c>
      <c r="D139" s="94" t="s">
        <v>1026</v>
      </c>
      <c r="E139" s="95" t="n">
        <v>103926</v>
      </c>
      <c r="F139" s="94" t="n">
        <v>1415.97</v>
      </c>
      <c r="G139" s="94" t="n">
        <v>392</v>
      </c>
      <c r="H139" s="94" t="n">
        <v>2133</v>
      </c>
      <c r="I139" s="94" t="n">
        <v>1159</v>
      </c>
      <c r="J139" s="94" t="n">
        <v>974</v>
      </c>
      <c r="K139" s="94" t="n">
        <v>513</v>
      </c>
      <c r="L139" s="112" t="n">
        <f aca="false">K139/H139*100</f>
        <v>24.0506329113924</v>
      </c>
      <c r="M139" s="94" t="n">
        <v>627</v>
      </c>
      <c r="N139" s="112" t="n">
        <f aca="false">O139/H139*100</f>
        <v>3.57055789967182</v>
      </c>
      <c r="O139" s="94" t="n">
        <v>76.16</v>
      </c>
      <c r="P139" s="94" t="n">
        <v>685.8</v>
      </c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28"/>
      <c r="AD139" s="112"/>
      <c r="AE139" s="112"/>
    </row>
    <row r="140" customFormat="false" ht="15" hidden="false" customHeight="false" outlineLevel="0" collapsed="false">
      <c r="A140" s="94" t="s">
        <v>39</v>
      </c>
      <c r="B140" s="95" t="s">
        <v>849</v>
      </c>
      <c r="C140" s="95" t="s">
        <v>1025</v>
      </c>
      <c r="D140" s="94" t="s">
        <v>1027</v>
      </c>
      <c r="E140" s="95" t="n">
        <v>103928</v>
      </c>
      <c r="F140" s="94" t="n">
        <v>115.73</v>
      </c>
      <c r="G140" s="94"/>
      <c r="H140" s="94" t="n">
        <v>0</v>
      </c>
      <c r="I140" s="94"/>
      <c r="J140" s="94"/>
      <c r="K140" s="94"/>
      <c r="L140" s="112" t="e">
        <f aca="false">K140/H140*100</f>
        <v>#DIV/0!</v>
      </c>
      <c r="M140" s="94"/>
      <c r="N140" s="112" t="e">
        <f aca="false">O140/H140*100</f>
        <v>#DIV/0!</v>
      </c>
      <c r="O140" s="94" t="n">
        <v>0</v>
      </c>
      <c r="P140" s="94" t="n">
        <v>77.12</v>
      </c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28"/>
      <c r="AD140" s="112"/>
      <c r="AE140" s="112"/>
    </row>
    <row r="141" customFormat="false" ht="15" hidden="false" customHeight="false" outlineLevel="0" collapsed="false">
      <c r="A141" s="94" t="s">
        <v>39</v>
      </c>
      <c r="B141" s="95" t="s">
        <v>849</v>
      </c>
      <c r="C141" s="95" t="s">
        <v>1025</v>
      </c>
      <c r="D141" s="94" t="s">
        <v>1028</v>
      </c>
      <c r="E141" s="95" t="n">
        <v>103929</v>
      </c>
      <c r="F141" s="94" t="n">
        <v>764.46</v>
      </c>
      <c r="G141" s="94" t="n">
        <v>137</v>
      </c>
      <c r="H141" s="94" t="n">
        <v>815</v>
      </c>
      <c r="I141" s="94" t="n">
        <v>415</v>
      </c>
      <c r="J141" s="94" t="n">
        <v>400</v>
      </c>
      <c r="K141" s="94" t="n">
        <v>37</v>
      </c>
      <c r="L141" s="112" t="n">
        <f aca="false">K141/H141*100</f>
        <v>4.5398773006135</v>
      </c>
      <c r="M141" s="94" t="n">
        <v>197</v>
      </c>
      <c r="N141" s="112" t="n">
        <f aca="false">O141/H141*100</f>
        <v>0</v>
      </c>
      <c r="O141" s="94" t="n">
        <v>0</v>
      </c>
      <c r="P141" s="94" t="n">
        <v>477.86</v>
      </c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28"/>
      <c r="AD141" s="112"/>
      <c r="AE141" s="112"/>
    </row>
    <row r="142" customFormat="false" ht="15" hidden="false" customHeight="false" outlineLevel="0" collapsed="false">
      <c r="A142" s="94" t="s">
        <v>39</v>
      </c>
      <c r="B142" s="95" t="s">
        <v>849</v>
      </c>
      <c r="C142" s="95" t="s">
        <v>1025</v>
      </c>
      <c r="D142" s="94" t="s">
        <v>1029</v>
      </c>
      <c r="E142" s="95" t="n">
        <v>103931</v>
      </c>
      <c r="F142" s="94" t="n">
        <v>475.37</v>
      </c>
      <c r="G142" s="94" t="n">
        <v>137</v>
      </c>
      <c r="H142" s="94" t="n">
        <v>827</v>
      </c>
      <c r="I142" s="94" t="n">
        <v>426</v>
      </c>
      <c r="J142" s="94" t="n">
        <v>401</v>
      </c>
      <c r="K142" s="94" t="n">
        <v>106</v>
      </c>
      <c r="L142" s="112" t="n">
        <f aca="false">K142/H142*100</f>
        <v>12.8174123337364</v>
      </c>
      <c r="M142" s="94" t="n">
        <v>267</v>
      </c>
      <c r="N142" s="112" t="n">
        <f aca="false">O142/H142*100</f>
        <v>5.09310761789601</v>
      </c>
      <c r="O142" s="94" t="n">
        <v>42.12</v>
      </c>
      <c r="P142" s="94" t="n">
        <v>0</v>
      </c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28"/>
      <c r="AD142" s="112"/>
      <c r="AE142" s="112"/>
    </row>
    <row r="143" customFormat="false" ht="15" hidden="false" customHeight="false" outlineLevel="0" collapsed="false">
      <c r="A143" s="94" t="s">
        <v>39</v>
      </c>
      <c r="B143" s="95" t="s">
        <v>849</v>
      </c>
      <c r="C143" s="95" t="s">
        <v>1015</v>
      </c>
      <c r="D143" s="94" t="s">
        <v>1030</v>
      </c>
      <c r="E143" s="95" t="n">
        <v>103932</v>
      </c>
      <c r="F143" s="94" t="n">
        <v>723.89</v>
      </c>
      <c r="G143" s="94" t="n">
        <v>234</v>
      </c>
      <c r="H143" s="94" t="n">
        <v>1259</v>
      </c>
      <c r="I143" s="94" t="n">
        <v>670</v>
      </c>
      <c r="J143" s="94" t="n">
        <v>589</v>
      </c>
      <c r="K143" s="94" t="n">
        <v>189</v>
      </c>
      <c r="L143" s="112" t="n">
        <f aca="false">K143/H143*100</f>
        <v>15.011914217633</v>
      </c>
      <c r="M143" s="94" t="n">
        <v>550</v>
      </c>
      <c r="N143" s="112" t="n">
        <f aca="false">O143/H143*100</f>
        <v>9.63860206513106</v>
      </c>
      <c r="O143" s="94" t="n">
        <v>121.35</v>
      </c>
      <c r="P143" s="94" t="n">
        <v>0</v>
      </c>
      <c r="Q143" s="112"/>
      <c r="R143" s="112"/>
      <c r="S143" s="112"/>
      <c r="T143" s="112"/>
      <c r="U143" s="112" t="s">
        <v>49</v>
      </c>
      <c r="V143" s="112"/>
      <c r="W143" s="112"/>
      <c r="X143" s="112"/>
      <c r="Y143" s="112"/>
      <c r="Z143" s="112"/>
      <c r="AA143" s="112"/>
      <c r="AB143" s="112"/>
      <c r="AC143" s="128"/>
      <c r="AD143" s="112"/>
      <c r="AE143" s="112"/>
    </row>
    <row r="144" customFormat="false" ht="15" hidden="false" customHeight="false" outlineLevel="0" collapsed="false">
      <c r="A144" s="94" t="s">
        <v>39</v>
      </c>
      <c r="B144" s="95" t="s">
        <v>849</v>
      </c>
      <c r="C144" s="95" t="s">
        <v>1031</v>
      </c>
      <c r="D144" s="94" t="s">
        <v>1032</v>
      </c>
      <c r="E144" s="95" t="n">
        <v>103933</v>
      </c>
      <c r="F144" s="94" t="n">
        <v>761.82</v>
      </c>
      <c r="G144" s="94" t="n">
        <v>236</v>
      </c>
      <c r="H144" s="94" t="n">
        <v>1289</v>
      </c>
      <c r="I144" s="94" t="n">
        <v>662</v>
      </c>
      <c r="J144" s="94" t="n">
        <v>627</v>
      </c>
      <c r="K144" s="94" t="n">
        <v>359</v>
      </c>
      <c r="L144" s="112" t="n">
        <f aca="false">K144/H144*100</f>
        <v>27.8510473235066</v>
      </c>
      <c r="M144" s="94" t="n">
        <v>96</v>
      </c>
      <c r="N144" s="112" t="n">
        <f aca="false">O144/H144*100</f>
        <v>0</v>
      </c>
      <c r="O144" s="94" t="n">
        <v>0</v>
      </c>
      <c r="P144" s="94" t="n">
        <v>169.49</v>
      </c>
      <c r="Q144" s="112"/>
      <c r="R144" s="112"/>
      <c r="S144" s="112"/>
      <c r="T144" s="112"/>
      <c r="U144" s="112" t="s">
        <v>49</v>
      </c>
      <c r="V144" s="112"/>
      <c r="W144" s="112"/>
      <c r="X144" s="112"/>
      <c r="Y144" s="112"/>
      <c r="Z144" s="112"/>
      <c r="AA144" s="112"/>
      <c r="AB144" s="112"/>
      <c r="AC144" s="128"/>
      <c r="AD144" s="112"/>
      <c r="AE144" s="112"/>
    </row>
    <row r="145" customFormat="false" ht="15" hidden="false" customHeight="false" outlineLevel="0" collapsed="false">
      <c r="A145" s="94" t="s">
        <v>39</v>
      </c>
      <c r="B145" s="95" t="s">
        <v>849</v>
      </c>
      <c r="C145" s="95" t="s">
        <v>1031</v>
      </c>
      <c r="D145" s="94" t="s">
        <v>1033</v>
      </c>
      <c r="E145" s="95" t="n">
        <v>103934</v>
      </c>
      <c r="F145" s="94" t="n">
        <v>575.07</v>
      </c>
      <c r="G145" s="94" t="n">
        <v>224</v>
      </c>
      <c r="H145" s="94" t="n">
        <v>1277</v>
      </c>
      <c r="I145" s="94" t="n">
        <v>662</v>
      </c>
      <c r="J145" s="94" t="n">
        <v>615</v>
      </c>
      <c r="K145" s="94" t="n">
        <v>254</v>
      </c>
      <c r="L145" s="112" t="n">
        <f aca="false">K145/H145*100</f>
        <v>19.8903680501175</v>
      </c>
      <c r="M145" s="94" t="n">
        <v>0</v>
      </c>
      <c r="N145" s="112" t="n">
        <f aca="false">O145/H145*100</f>
        <v>1.0399373531715</v>
      </c>
      <c r="O145" s="94" t="n">
        <v>13.28</v>
      </c>
      <c r="P145" s="94" t="n">
        <v>115.87</v>
      </c>
      <c r="Q145" s="112"/>
      <c r="R145" s="112"/>
      <c r="S145" s="112"/>
      <c r="T145" s="112"/>
      <c r="U145" s="112" t="s">
        <v>49</v>
      </c>
      <c r="V145" s="112"/>
      <c r="W145" s="112"/>
      <c r="X145" s="112"/>
      <c r="Y145" s="112"/>
      <c r="Z145" s="112"/>
      <c r="AA145" s="112"/>
      <c r="AB145" s="112"/>
      <c r="AC145" s="128"/>
      <c r="AD145" s="112"/>
      <c r="AE145" s="112"/>
    </row>
    <row r="146" customFormat="false" ht="15" hidden="false" customHeight="false" outlineLevel="0" collapsed="false">
      <c r="A146" s="94" t="s">
        <v>39</v>
      </c>
      <c r="B146" s="95" t="s">
        <v>849</v>
      </c>
      <c r="C146" s="95" t="s">
        <v>1031</v>
      </c>
      <c r="D146" s="94" t="s">
        <v>1034</v>
      </c>
      <c r="E146" s="95" t="n">
        <v>103935</v>
      </c>
      <c r="F146" s="94" t="n">
        <v>192.33</v>
      </c>
      <c r="G146" s="94" t="n">
        <v>15</v>
      </c>
      <c r="H146" s="94" t="n">
        <v>72</v>
      </c>
      <c r="I146" s="94" t="n">
        <v>39</v>
      </c>
      <c r="J146" s="94" t="n">
        <v>33</v>
      </c>
      <c r="K146" s="94" t="n">
        <v>0</v>
      </c>
      <c r="L146" s="112" t="n">
        <f aca="false">K146/H146*100</f>
        <v>0</v>
      </c>
      <c r="M146" s="94" t="n">
        <v>0</v>
      </c>
      <c r="N146" s="112" t="n">
        <f aca="false">O146/H146*100</f>
        <v>58.4861111111111</v>
      </c>
      <c r="O146" s="94" t="n">
        <v>42.11</v>
      </c>
      <c r="P146" s="94" t="n">
        <v>0</v>
      </c>
      <c r="Q146" s="112"/>
      <c r="R146" s="112"/>
      <c r="S146" s="112"/>
      <c r="T146" s="112"/>
      <c r="U146" s="112" t="s">
        <v>49</v>
      </c>
      <c r="V146" s="112"/>
      <c r="W146" s="112"/>
      <c r="X146" s="112"/>
      <c r="Y146" s="112"/>
      <c r="Z146" s="112"/>
      <c r="AA146" s="112"/>
      <c r="AB146" s="112"/>
      <c r="AC146" s="128"/>
      <c r="AD146" s="112"/>
      <c r="AE146" s="112"/>
    </row>
    <row r="147" customFormat="false" ht="15" hidden="false" customHeight="false" outlineLevel="0" collapsed="false">
      <c r="A147" s="94" t="s">
        <v>39</v>
      </c>
      <c r="B147" s="95" t="s">
        <v>849</v>
      </c>
      <c r="C147" s="95" t="s">
        <v>1035</v>
      </c>
      <c r="D147" s="94" t="s">
        <v>1036</v>
      </c>
      <c r="E147" s="95" t="n">
        <v>103936</v>
      </c>
      <c r="F147" s="94" t="n">
        <v>1097.14</v>
      </c>
      <c r="G147" s="94" t="n">
        <v>252</v>
      </c>
      <c r="H147" s="94" t="n">
        <v>1309</v>
      </c>
      <c r="I147" s="94" t="n">
        <v>679</v>
      </c>
      <c r="J147" s="94" t="n">
        <v>630</v>
      </c>
      <c r="K147" s="94" t="n">
        <v>336</v>
      </c>
      <c r="L147" s="112" t="n">
        <f aca="false">K147/H147*100</f>
        <v>25.668449197861</v>
      </c>
      <c r="M147" s="94" t="n">
        <v>299</v>
      </c>
      <c r="N147" s="112" t="n">
        <f aca="false">O147/H147*100</f>
        <v>1.20779220779221</v>
      </c>
      <c r="O147" s="94" t="n">
        <v>15.81</v>
      </c>
      <c r="P147" s="94" t="n">
        <v>502.64</v>
      </c>
      <c r="Q147" s="118" t="s">
        <v>43</v>
      </c>
      <c r="R147" s="118" t="s">
        <v>1037</v>
      </c>
      <c r="S147" s="112"/>
      <c r="T147" s="118"/>
      <c r="U147" s="112"/>
      <c r="V147" s="112"/>
      <c r="W147" s="112"/>
      <c r="X147" s="112"/>
      <c r="Y147" s="112"/>
      <c r="Z147" s="112"/>
      <c r="AA147" s="118"/>
      <c r="AB147" s="118"/>
      <c r="AC147" s="128"/>
      <c r="AD147" s="118"/>
      <c r="AE147" s="118"/>
    </row>
    <row r="148" customFormat="false" ht="15" hidden="false" customHeight="false" outlineLevel="0" collapsed="false">
      <c r="A148" s="94" t="s">
        <v>39</v>
      </c>
      <c r="B148" s="95" t="s">
        <v>849</v>
      </c>
      <c r="C148" s="95" t="s">
        <v>1035</v>
      </c>
      <c r="D148" s="94" t="s">
        <v>1038</v>
      </c>
      <c r="E148" s="95" t="n">
        <v>103937</v>
      </c>
      <c r="F148" s="94" t="n">
        <v>344.47</v>
      </c>
      <c r="G148" s="94" t="n">
        <v>122</v>
      </c>
      <c r="H148" s="94" t="n">
        <v>575</v>
      </c>
      <c r="I148" s="94" t="n">
        <v>309</v>
      </c>
      <c r="J148" s="94" t="n">
        <v>266</v>
      </c>
      <c r="K148" s="94" t="n">
        <v>12</v>
      </c>
      <c r="L148" s="112" t="n">
        <f aca="false">K148/H148*100</f>
        <v>2.08695652173913</v>
      </c>
      <c r="M148" s="94" t="n">
        <v>0</v>
      </c>
      <c r="N148" s="112" t="n">
        <f aca="false">O148/H148*100</f>
        <v>2.21913043478261</v>
      </c>
      <c r="O148" s="94" t="n">
        <v>12.76</v>
      </c>
      <c r="P148" s="94" t="n">
        <v>211.11</v>
      </c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28"/>
      <c r="AD148" s="112"/>
      <c r="AE148" s="112"/>
    </row>
    <row r="149" customFormat="false" ht="15" hidden="false" customHeight="false" outlineLevel="0" collapsed="false">
      <c r="A149" s="94" t="s">
        <v>39</v>
      </c>
      <c r="B149" s="95" t="s">
        <v>849</v>
      </c>
      <c r="C149" s="95" t="s">
        <v>1035</v>
      </c>
      <c r="D149" s="94" t="s">
        <v>1039</v>
      </c>
      <c r="E149" s="95" t="n">
        <v>103938</v>
      </c>
      <c r="F149" s="94" t="n">
        <v>189.28</v>
      </c>
      <c r="G149" s="94" t="n">
        <v>51</v>
      </c>
      <c r="H149" s="94" t="n">
        <v>247</v>
      </c>
      <c r="I149" s="94" t="n">
        <v>136</v>
      </c>
      <c r="J149" s="94" t="n">
        <v>111</v>
      </c>
      <c r="K149" s="94" t="n">
        <v>14</v>
      </c>
      <c r="L149" s="112" t="n">
        <f aca="false">K149/H149*100</f>
        <v>5.66801619433198</v>
      </c>
      <c r="M149" s="94" t="n">
        <v>0</v>
      </c>
      <c r="N149" s="112" t="n">
        <f aca="false">O149/H149*100</f>
        <v>3.67206477732794</v>
      </c>
      <c r="O149" s="94" t="n">
        <v>9.07</v>
      </c>
      <c r="P149" s="94" t="n">
        <v>113.09</v>
      </c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28"/>
      <c r="AD149" s="112"/>
      <c r="AE149" s="112"/>
    </row>
    <row r="150" customFormat="false" ht="15" hidden="false" customHeight="false" outlineLevel="0" collapsed="false">
      <c r="A150" s="94" t="s">
        <v>39</v>
      </c>
      <c r="B150" s="95" t="s">
        <v>849</v>
      </c>
      <c r="C150" s="95" t="s">
        <v>1035</v>
      </c>
      <c r="D150" s="94" t="s">
        <v>1040</v>
      </c>
      <c r="E150" s="95" t="n">
        <v>103939</v>
      </c>
      <c r="F150" s="94" t="n">
        <v>785.33</v>
      </c>
      <c r="G150" s="94" t="n">
        <v>124</v>
      </c>
      <c r="H150" s="94" t="n">
        <v>663</v>
      </c>
      <c r="I150" s="94" t="n">
        <v>351</v>
      </c>
      <c r="J150" s="94" t="n">
        <v>312</v>
      </c>
      <c r="K150" s="94" t="n">
        <v>5</v>
      </c>
      <c r="L150" s="112" t="n">
        <f aca="false">K150/H150*100</f>
        <v>0.754147812971342</v>
      </c>
      <c r="M150" s="94" t="n">
        <v>7</v>
      </c>
      <c r="N150" s="112" t="n">
        <f aca="false">O150/H150*100</f>
        <v>0</v>
      </c>
      <c r="O150" s="94" t="n">
        <v>0</v>
      </c>
      <c r="P150" s="94" t="n">
        <v>563.42</v>
      </c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28"/>
      <c r="AD150" s="112"/>
      <c r="AE150" s="112"/>
    </row>
    <row r="151" customFormat="false" ht="15" hidden="false" customHeight="false" outlineLevel="0" collapsed="false">
      <c r="A151" s="94" t="s">
        <v>39</v>
      </c>
      <c r="B151" s="95" t="s">
        <v>849</v>
      </c>
      <c r="C151" s="95" t="s">
        <v>1031</v>
      </c>
      <c r="D151" s="94" t="s">
        <v>1041</v>
      </c>
      <c r="E151" s="95" t="n">
        <v>103940</v>
      </c>
      <c r="F151" s="94" t="n">
        <v>1328.4</v>
      </c>
      <c r="G151" s="94" t="n">
        <v>405</v>
      </c>
      <c r="H151" s="94" t="n">
        <v>2033</v>
      </c>
      <c r="I151" s="94" t="n">
        <v>1038</v>
      </c>
      <c r="J151" s="94" t="n">
        <v>995</v>
      </c>
      <c r="K151" s="94" t="n">
        <v>257</v>
      </c>
      <c r="L151" s="112" t="n">
        <f aca="false">K151/H151*100</f>
        <v>12.6414166256763</v>
      </c>
      <c r="M151" s="94" t="n">
        <v>344</v>
      </c>
      <c r="N151" s="112" t="n">
        <f aca="false">O151/H151*100</f>
        <v>4.30152484013773</v>
      </c>
      <c r="O151" s="94" t="n">
        <v>87.45</v>
      </c>
      <c r="P151" s="94" t="n">
        <v>182.4</v>
      </c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28"/>
      <c r="AD151" s="112"/>
      <c r="AE151" s="112"/>
    </row>
    <row r="152" customFormat="false" ht="15" hidden="false" customHeight="false" outlineLevel="0" collapsed="false">
      <c r="A152" s="94" t="s">
        <v>39</v>
      </c>
      <c r="B152" s="95" t="s">
        <v>849</v>
      </c>
      <c r="C152" s="95" t="s">
        <v>1042</v>
      </c>
      <c r="D152" s="94" t="s">
        <v>1043</v>
      </c>
      <c r="E152" s="95" t="n">
        <v>103941</v>
      </c>
      <c r="F152" s="94" t="n">
        <v>342.72</v>
      </c>
      <c r="G152" s="94" t="n">
        <v>142</v>
      </c>
      <c r="H152" s="94" t="n">
        <v>837</v>
      </c>
      <c r="I152" s="94" t="n">
        <v>437</v>
      </c>
      <c r="J152" s="94" t="n">
        <v>400</v>
      </c>
      <c r="K152" s="94" t="n">
        <v>112</v>
      </c>
      <c r="L152" s="112" t="n">
        <f aca="false">K152/H152*100</f>
        <v>13.3811230585424</v>
      </c>
      <c r="M152" s="94" t="n">
        <v>448</v>
      </c>
      <c r="N152" s="112" t="n">
        <f aca="false">O152/H152*100</f>
        <v>2.42771804062127</v>
      </c>
      <c r="O152" s="94" t="n">
        <v>20.32</v>
      </c>
      <c r="P152" s="94" t="n">
        <v>67.89</v>
      </c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28"/>
      <c r="AD152" s="112"/>
      <c r="AE152" s="112"/>
    </row>
    <row r="153" customFormat="false" ht="15" hidden="false" customHeight="false" outlineLevel="0" collapsed="false">
      <c r="A153" s="94" t="s">
        <v>39</v>
      </c>
      <c r="B153" s="95" t="s">
        <v>849</v>
      </c>
      <c r="C153" s="95" t="s">
        <v>1044</v>
      </c>
      <c r="D153" s="94" t="s">
        <v>1045</v>
      </c>
      <c r="E153" s="95" t="n">
        <v>103942</v>
      </c>
      <c r="F153" s="94" t="n">
        <v>1596.7</v>
      </c>
      <c r="G153" s="94" t="n">
        <v>1542</v>
      </c>
      <c r="H153" s="94" t="n">
        <v>7954</v>
      </c>
      <c r="I153" s="94" t="n">
        <v>4134</v>
      </c>
      <c r="J153" s="94" t="n">
        <v>3820</v>
      </c>
      <c r="K153" s="94" t="n">
        <v>1245</v>
      </c>
      <c r="L153" s="112" t="n">
        <f aca="false">K153/H153*100</f>
        <v>15.6525018858436</v>
      </c>
      <c r="M153" s="94" t="n">
        <v>304</v>
      </c>
      <c r="N153" s="112" t="n">
        <f aca="false">O153/H153*100</f>
        <v>0.224415388483782</v>
      </c>
      <c r="O153" s="94" t="n">
        <v>17.85</v>
      </c>
      <c r="P153" s="94" t="n">
        <v>0</v>
      </c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28"/>
      <c r="AD153" s="112"/>
      <c r="AE153" s="112"/>
    </row>
    <row r="154" customFormat="false" ht="15" hidden="false" customHeight="false" outlineLevel="0" collapsed="false">
      <c r="A154" s="94" t="s">
        <v>39</v>
      </c>
      <c r="B154" s="95" t="s">
        <v>849</v>
      </c>
      <c r="C154" s="95" t="s">
        <v>1015</v>
      </c>
      <c r="D154" s="94" t="s">
        <v>1046</v>
      </c>
      <c r="E154" s="95" t="n">
        <v>103944</v>
      </c>
      <c r="F154" s="94" t="n">
        <v>218.59</v>
      </c>
      <c r="G154" s="94" t="n">
        <v>93</v>
      </c>
      <c r="H154" s="94" t="n">
        <v>501</v>
      </c>
      <c r="I154" s="94" t="n">
        <v>253</v>
      </c>
      <c r="J154" s="94" t="n">
        <v>248</v>
      </c>
      <c r="K154" s="94" t="n">
        <v>76</v>
      </c>
      <c r="L154" s="112" t="n">
        <f aca="false">K154/H154*100</f>
        <v>15.1696606786427</v>
      </c>
      <c r="M154" s="94" t="n">
        <v>424</v>
      </c>
      <c r="N154" s="112" t="n">
        <f aca="false">O154/H154*100</f>
        <v>2.83832335329341</v>
      </c>
      <c r="O154" s="94" t="n">
        <v>14.22</v>
      </c>
      <c r="P154" s="94" t="n">
        <v>0</v>
      </c>
      <c r="Q154" s="112"/>
      <c r="R154" s="112"/>
      <c r="S154" s="112"/>
      <c r="T154" s="112"/>
      <c r="U154" s="112" t="s">
        <v>49</v>
      </c>
      <c r="V154" s="112"/>
      <c r="W154" s="112"/>
      <c r="X154" s="112"/>
      <c r="Y154" s="112"/>
      <c r="Z154" s="112"/>
      <c r="AA154" s="112"/>
      <c r="AB154" s="112"/>
      <c r="AC154" s="128"/>
      <c r="AD154" s="112"/>
      <c r="AE154" s="112"/>
    </row>
    <row r="155" customFormat="false" ht="15" hidden="false" customHeight="false" outlineLevel="0" collapsed="false">
      <c r="A155" s="94" t="s">
        <v>39</v>
      </c>
      <c r="B155" s="95" t="s">
        <v>849</v>
      </c>
      <c r="C155" s="95" t="s">
        <v>1015</v>
      </c>
      <c r="D155" s="94" t="s">
        <v>1047</v>
      </c>
      <c r="E155" s="95" t="n">
        <v>103946</v>
      </c>
      <c r="F155" s="94" t="n">
        <v>54.62</v>
      </c>
      <c r="G155" s="94"/>
      <c r="H155" s="94" t="n">
        <v>0</v>
      </c>
      <c r="I155" s="94"/>
      <c r="J155" s="94"/>
      <c r="K155" s="94"/>
      <c r="L155" s="112" t="e">
        <f aca="false">K155/H155*100</f>
        <v>#DIV/0!</v>
      </c>
      <c r="M155" s="94"/>
      <c r="N155" s="112" t="e">
        <f aca="false">O155/H155*100</f>
        <v>#DIV/0!</v>
      </c>
      <c r="O155" s="94" t="n">
        <v>0</v>
      </c>
      <c r="P155" s="94" t="n">
        <v>0</v>
      </c>
      <c r="Q155" s="112"/>
      <c r="R155" s="112"/>
      <c r="S155" s="112"/>
      <c r="T155" s="112"/>
      <c r="U155" s="112" t="s">
        <v>49</v>
      </c>
      <c r="V155" s="112"/>
      <c r="W155" s="112"/>
      <c r="X155" s="112"/>
      <c r="Y155" s="112"/>
      <c r="Z155" s="112"/>
      <c r="AA155" s="112"/>
      <c r="AB155" s="112"/>
      <c r="AC155" s="128"/>
      <c r="AD155" s="112"/>
      <c r="AE155" s="112"/>
    </row>
    <row r="156" customFormat="false" ht="15" hidden="false" customHeight="false" outlineLevel="0" collapsed="false">
      <c r="A156" s="94" t="s">
        <v>39</v>
      </c>
      <c r="B156" s="95" t="s">
        <v>849</v>
      </c>
      <c r="C156" s="95" t="s">
        <v>990</v>
      </c>
      <c r="D156" s="94" t="s">
        <v>1048</v>
      </c>
      <c r="E156" s="95" t="n">
        <v>103947</v>
      </c>
      <c r="F156" s="94" t="n">
        <v>307.46</v>
      </c>
      <c r="G156" s="94" t="n">
        <v>98</v>
      </c>
      <c r="H156" s="94" t="n">
        <v>557</v>
      </c>
      <c r="I156" s="94" t="n">
        <v>285</v>
      </c>
      <c r="J156" s="94" t="n">
        <v>272</v>
      </c>
      <c r="K156" s="94" t="n">
        <v>45</v>
      </c>
      <c r="L156" s="112" t="n">
        <f aca="false">K156/H156*100</f>
        <v>8.07899461400359</v>
      </c>
      <c r="M156" s="94" t="n">
        <v>0</v>
      </c>
      <c r="N156" s="112" t="n">
        <f aca="false">O156/H156*100</f>
        <v>0</v>
      </c>
      <c r="O156" s="94" t="n">
        <v>0</v>
      </c>
      <c r="P156" s="94" t="n">
        <v>118.67</v>
      </c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28"/>
      <c r="AD156" s="112"/>
      <c r="AE156" s="112"/>
    </row>
    <row r="157" customFormat="false" ht="15" hidden="false" customHeight="false" outlineLevel="0" collapsed="false">
      <c r="A157" s="94" t="s">
        <v>39</v>
      </c>
      <c r="B157" s="95" t="s">
        <v>849</v>
      </c>
      <c r="C157" s="95" t="s">
        <v>1015</v>
      </c>
      <c r="D157" s="94" t="s">
        <v>1049</v>
      </c>
      <c r="E157" s="95" t="n">
        <v>103948</v>
      </c>
      <c r="F157" s="94" t="n">
        <v>858.18</v>
      </c>
      <c r="G157" s="94" t="n">
        <v>173</v>
      </c>
      <c r="H157" s="94" t="n">
        <v>910</v>
      </c>
      <c r="I157" s="94" t="n">
        <v>471</v>
      </c>
      <c r="J157" s="94" t="n">
        <v>439</v>
      </c>
      <c r="K157" s="94" t="n">
        <v>333</v>
      </c>
      <c r="L157" s="112" t="n">
        <f aca="false">K157/H157*100</f>
        <v>36.5934065934066</v>
      </c>
      <c r="M157" s="94" t="n">
        <v>0</v>
      </c>
      <c r="N157" s="112" t="n">
        <f aca="false">O157/H157*100</f>
        <v>0</v>
      </c>
      <c r="O157" s="94" t="n">
        <v>0</v>
      </c>
      <c r="P157" s="94" t="n">
        <v>377.66</v>
      </c>
      <c r="Q157" s="112"/>
      <c r="R157" s="112"/>
      <c r="S157" s="112"/>
      <c r="T157" s="112"/>
      <c r="U157" s="112" t="s">
        <v>49</v>
      </c>
      <c r="V157" s="112"/>
      <c r="W157" s="112"/>
      <c r="X157" s="112"/>
      <c r="Y157" s="112"/>
      <c r="Z157" s="112"/>
      <c r="AA157" s="112"/>
      <c r="AB157" s="112"/>
      <c r="AC157" s="128"/>
      <c r="AD157" s="112"/>
      <c r="AE157" s="112"/>
    </row>
    <row r="158" customFormat="false" ht="15" hidden="false" customHeight="false" outlineLevel="0" collapsed="false">
      <c r="A158" s="94" t="s">
        <v>39</v>
      </c>
      <c r="B158" s="95" t="s">
        <v>849</v>
      </c>
      <c r="C158" s="95" t="s">
        <v>1050</v>
      </c>
      <c r="D158" s="94" t="s">
        <v>1051</v>
      </c>
      <c r="E158" s="95" t="n">
        <v>103949</v>
      </c>
      <c r="F158" s="94" t="n">
        <v>304.11</v>
      </c>
      <c r="G158" s="94" t="n">
        <v>503</v>
      </c>
      <c r="H158" s="94" t="n">
        <v>1868</v>
      </c>
      <c r="I158" s="94" t="n">
        <v>951</v>
      </c>
      <c r="J158" s="94" t="n">
        <v>917</v>
      </c>
      <c r="K158" s="94" t="n">
        <v>316</v>
      </c>
      <c r="L158" s="112" t="n">
        <f aca="false">K158/H158*100</f>
        <v>16.9164882226981</v>
      </c>
      <c r="M158" s="94" t="n">
        <v>6</v>
      </c>
      <c r="N158" s="112" t="n">
        <f aca="false">O158/H158*100</f>
        <v>1.27837259100642</v>
      </c>
      <c r="O158" s="94" t="n">
        <v>23.88</v>
      </c>
      <c r="P158" s="94" t="n">
        <v>115.95</v>
      </c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28"/>
      <c r="AD158" s="112"/>
      <c r="AE158" s="112"/>
    </row>
    <row r="159" customFormat="false" ht="15" hidden="false" customHeight="false" outlineLevel="0" collapsed="false">
      <c r="A159" s="94" t="s">
        <v>39</v>
      </c>
      <c r="B159" s="95" t="s">
        <v>849</v>
      </c>
      <c r="C159" s="95" t="s">
        <v>1050</v>
      </c>
      <c r="D159" s="94" t="s">
        <v>1052</v>
      </c>
      <c r="E159" s="95" t="n">
        <v>103950</v>
      </c>
      <c r="F159" s="94" t="n">
        <v>534.76</v>
      </c>
      <c r="G159" s="94" t="n">
        <v>170</v>
      </c>
      <c r="H159" s="94" t="n">
        <v>826</v>
      </c>
      <c r="I159" s="94" t="n">
        <v>434</v>
      </c>
      <c r="J159" s="94" t="n">
        <v>392</v>
      </c>
      <c r="K159" s="94" t="n">
        <v>37</v>
      </c>
      <c r="L159" s="112" t="n">
        <f aca="false">K159/H159*100</f>
        <v>4.47941888619855</v>
      </c>
      <c r="M159" s="94" t="n">
        <v>599</v>
      </c>
      <c r="N159" s="112" t="n">
        <f aca="false">O159/H159*100</f>
        <v>0.598062953995157</v>
      </c>
      <c r="O159" s="94" t="n">
        <v>4.94</v>
      </c>
      <c r="P159" s="94" t="n">
        <v>114.37</v>
      </c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28"/>
      <c r="AD159" s="112"/>
      <c r="AE159" s="112"/>
    </row>
    <row r="160" customFormat="false" ht="15" hidden="false" customHeight="false" outlineLevel="0" collapsed="false">
      <c r="A160" s="94" t="s">
        <v>39</v>
      </c>
      <c r="B160" s="95" t="s">
        <v>849</v>
      </c>
      <c r="C160" s="95" t="s">
        <v>1053</v>
      </c>
      <c r="D160" s="94" t="s">
        <v>1054</v>
      </c>
      <c r="E160" s="95" t="n">
        <v>103952</v>
      </c>
      <c r="F160" s="94" t="n">
        <v>143.43</v>
      </c>
      <c r="G160" s="94"/>
      <c r="H160" s="94" t="n">
        <v>0</v>
      </c>
      <c r="I160" s="94"/>
      <c r="J160" s="94"/>
      <c r="K160" s="94"/>
      <c r="L160" s="112" t="e">
        <f aca="false">K160/H160*100</f>
        <v>#DIV/0!</v>
      </c>
      <c r="M160" s="94"/>
      <c r="N160" s="112" t="e">
        <f aca="false">O160/H160*100</f>
        <v>#DIV/0!</v>
      </c>
      <c r="O160" s="94" t="n">
        <v>0</v>
      </c>
      <c r="P160" s="94" t="n">
        <v>51.19</v>
      </c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28"/>
      <c r="AD160" s="112"/>
      <c r="AE160" s="112"/>
    </row>
    <row r="161" customFormat="false" ht="15" hidden="false" customHeight="false" outlineLevel="0" collapsed="false">
      <c r="A161" s="94" t="s">
        <v>39</v>
      </c>
      <c r="B161" s="95" t="s">
        <v>849</v>
      </c>
      <c r="C161" s="95" t="s">
        <v>1053</v>
      </c>
      <c r="D161" s="94" t="s">
        <v>1055</v>
      </c>
      <c r="E161" s="95" t="n">
        <v>103953</v>
      </c>
      <c r="F161" s="94" t="n">
        <v>177.78</v>
      </c>
      <c r="G161" s="94"/>
      <c r="H161" s="94" t="n">
        <v>0</v>
      </c>
      <c r="I161" s="94"/>
      <c r="J161" s="94"/>
      <c r="K161" s="94"/>
      <c r="L161" s="112" t="e">
        <f aca="false">K161/H161*100</f>
        <v>#DIV/0!</v>
      </c>
      <c r="M161" s="94"/>
      <c r="N161" s="112" t="e">
        <f aca="false">O161/H161*100</f>
        <v>#DIV/0!</v>
      </c>
      <c r="O161" s="94" t="n">
        <v>0</v>
      </c>
      <c r="P161" s="94" t="n">
        <v>148.03</v>
      </c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28"/>
      <c r="AD161" s="112"/>
      <c r="AE161" s="112"/>
    </row>
    <row r="162" customFormat="false" ht="15" hidden="false" customHeight="false" outlineLevel="0" collapsed="false">
      <c r="A162" s="94" t="s">
        <v>39</v>
      </c>
      <c r="B162" s="95" t="s">
        <v>849</v>
      </c>
      <c r="C162" s="95" t="s">
        <v>1053</v>
      </c>
      <c r="D162" s="94" t="s">
        <v>1056</v>
      </c>
      <c r="E162" s="95" t="n">
        <v>103954</v>
      </c>
      <c r="F162" s="94" t="n">
        <v>939.33</v>
      </c>
      <c r="G162" s="94" t="n">
        <v>96</v>
      </c>
      <c r="H162" s="94" t="n">
        <v>553</v>
      </c>
      <c r="I162" s="94" t="n">
        <v>283</v>
      </c>
      <c r="J162" s="94" t="n">
        <v>270</v>
      </c>
      <c r="K162" s="94" t="n">
        <v>164</v>
      </c>
      <c r="L162" s="112" t="n">
        <f aca="false">K162/H162*100</f>
        <v>29.6564195298372</v>
      </c>
      <c r="M162" s="94" t="n">
        <v>84</v>
      </c>
      <c r="N162" s="112" t="n">
        <f aca="false">O162/H162*100</f>
        <v>13.2296564195298</v>
      </c>
      <c r="O162" s="94" t="n">
        <v>73.16</v>
      </c>
      <c r="P162" s="94" t="n">
        <v>560.07</v>
      </c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28"/>
      <c r="AD162" s="112"/>
      <c r="AE162" s="112"/>
    </row>
    <row r="163" customFormat="false" ht="15" hidden="false" customHeight="false" outlineLevel="0" collapsed="false">
      <c r="A163" s="94" t="s">
        <v>39</v>
      </c>
      <c r="B163" s="95" t="s">
        <v>849</v>
      </c>
      <c r="C163" s="95" t="s">
        <v>1053</v>
      </c>
      <c r="D163" s="94" t="s">
        <v>1057</v>
      </c>
      <c r="E163" s="95" t="n">
        <v>103955</v>
      </c>
      <c r="F163" s="94" t="n">
        <v>319.64</v>
      </c>
      <c r="G163" s="94" t="n">
        <v>192</v>
      </c>
      <c r="H163" s="94" t="n">
        <v>827</v>
      </c>
      <c r="I163" s="94" t="n">
        <v>436</v>
      </c>
      <c r="J163" s="94" t="n">
        <v>391</v>
      </c>
      <c r="K163" s="94" t="n">
        <v>83</v>
      </c>
      <c r="L163" s="112" t="n">
        <f aca="false">K163/H163*100</f>
        <v>10.0362756952842</v>
      </c>
      <c r="M163" s="94" t="n">
        <v>72</v>
      </c>
      <c r="N163" s="112" t="n">
        <f aca="false">O163/H163*100</f>
        <v>0.440145102781137</v>
      </c>
      <c r="O163" s="94" t="n">
        <v>3.64</v>
      </c>
      <c r="P163" s="94" t="n">
        <v>122.94</v>
      </c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28"/>
      <c r="AD163" s="112"/>
      <c r="AE163" s="112"/>
    </row>
    <row r="164" customFormat="false" ht="15" hidden="false" customHeight="false" outlineLevel="0" collapsed="false">
      <c r="A164" s="94" t="s">
        <v>39</v>
      </c>
      <c r="B164" s="95" t="s">
        <v>849</v>
      </c>
      <c r="C164" s="95" t="s">
        <v>1053</v>
      </c>
      <c r="D164" s="94" t="s">
        <v>1058</v>
      </c>
      <c r="E164" s="95" t="n">
        <v>103956</v>
      </c>
      <c r="F164" s="94" t="n">
        <v>223.81</v>
      </c>
      <c r="G164" s="94" t="n">
        <v>64</v>
      </c>
      <c r="H164" s="94" t="n">
        <v>323</v>
      </c>
      <c r="I164" s="94" t="n">
        <v>169</v>
      </c>
      <c r="J164" s="94" t="n">
        <v>154</v>
      </c>
      <c r="K164" s="94" t="n">
        <v>76</v>
      </c>
      <c r="L164" s="112" t="n">
        <f aca="false">K164/H164*100</f>
        <v>23.5294117647059</v>
      </c>
      <c r="M164" s="94" t="n">
        <v>8</v>
      </c>
      <c r="N164" s="112" t="n">
        <f aca="false">O164/H164*100</f>
        <v>0</v>
      </c>
      <c r="O164" s="94" t="n">
        <v>0</v>
      </c>
      <c r="P164" s="94" t="n">
        <v>66.55</v>
      </c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28"/>
      <c r="AD164" s="112"/>
      <c r="AE164" s="112"/>
    </row>
    <row r="165" customFormat="false" ht="15" hidden="false" customHeight="false" outlineLevel="0" collapsed="false">
      <c r="A165" s="94" t="s">
        <v>39</v>
      </c>
      <c r="B165" s="95" t="s">
        <v>849</v>
      </c>
      <c r="C165" s="95" t="s">
        <v>1053</v>
      </c>
      <c r="D165" s="94" t="s">
        <v>1059</v>
      </c>
      <c r="E165" s="95" t="n">
        <v>103957</v>
      </c>
      <c r="F165" s="94" t="n">
        <v>237.49</v>
      </c>
      <c r="G165" s="94"/>
      <c r="H165" s="94" t="n">
        <v>0</v>
      </c>
      <c r="I165" s="94"/>
      <c r="J165" s="94"/>
      <c r="K165" s="94"/>
      <c r="L165" s="112" t="e">
        <f aca="false">K165/H165*100</f>
        <v>#DIV/0!</v>
      </c>
      <c r="M165" s="94"/>
      <c r="N165" s="112" t="e">
        <f aca="false">O165/H165*100</f>
        <v>#DIV/0!</v>
      </c>
      <c r="O165" s="94" t="n">
        <v>0</v>
      </c>
      <c r="P165" s="94" t="n">
        <v>154.44</v>
      </c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28"/>
      <c r="AD165" s="112"/>
      <c r="AE165" s="112"/>
    </row>
    <row r="166" customFormat="false" ht="15" hidden="false" customHeight="false" outlineLevel="0" collapsed="false">
      <c r="A166" s="94" t="s">
        <v>39</v>
      </c>
      <c r="B166" s="95" t="s">
        <v>849</v>
      </c>
      <c r="C166" s="95" t="s">
        <v>1053</v>
      </c>
      <c r="D166" s="94" t="s">
        <v>1060</v>
      </c>
      <c r="E166" s="95" t="n">
        <v>103959</v>
      </c>
      <c r="F166" s="94" t="n">
        <v>334.59</v>
      </c>
      <c r="G166" s="94" t="n">
        <v>50</v>
      </c>
      <c r="H166" s="94" t="n">
        <v>260</v>
      </c>
      <c r="I166" s="94" t="n">
        <v>134</v>
      </c>
      <c r="J166" s="94" t="n">
        <v>126</v>
      </c>
      <c r="K166" s="94" t="n">
        <v>0</v>
      </c>
      <c r="L166" s="112" t="n">
        <f aca="false">K166/H166*100</f>
        <v>0</v>
      </c>
      <c r="M166" s="94" t="n">
        <v>16</v>
      </c>
      <c r="N166" s="112" t="n">
        <f aca="false">O166/H166*100</f>
        <v>5.38076923076923</v>
      </c>
      <c r="O166" s="94" t="n">
        <v>13.99</v>
      </c>
      <c r="P166" s="94" t="n">
        <v>45.88</v>
      </c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28"/>
      <c r="AD166" s="112"/>
      <c r="AE166" s="112"/>
    </row>
    <row r="167" customFormat="false" ht="15" hidden="false" customHeight="false" outlineLevel="0" collapsed="false">
      <c r="A167" s="94" t="s">
        <v>39</v>
      </c>
      <c r="B167" s="95" t="s">
        <v>849</v>
      </c>
      <c r="C167" s="95" t="s">
        <v>1053</v>
      </c>
      <c r="D167" s="94" t="s">
        <v>1061</v>
      </c>
      <c r="E167" s="95" t="n">
        <v>103960</v>
      </c>
      <c r="F167" s="94" t="n">
        <v>268.99</v>
      </c>
      <c r="G167" s="94" t="n">
        <v>110</v>
      </c>
      <c r="H167" s="94" t="n">
        <v>542</v>
      </c>
      <c r="I167" s="94" t="n">
        <v>276</v>
      </c>
      <c r="J167" s="94" t="n">
        <v>266</v>
      </c>
      <c r="K167" s="94" t="n">
        <v>81</v>
      </c>
      <c r="L167" s="112" t="n">
        <f aca="false">K167/H167*100</f>
        <v>14.9446494464945</v>
      </c>
      <c r="M167" s="94" t="n">
        <v>0</v>
      </c>
      <c r="N167" s="112" t="n">
        <f aca="false">O167/H167*100</f>
        <v>0</v>
      </c>
      <c r="O167" s="94" t="n">
        <v>0</v>
      </c>
      <c r="P167" s="94" t="n">
        <v>97.85</v>
      </c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28"/>
      <c r="AD167" s="112"/>
      <c r="AE167" s="112"/>
    </row>
    <row r="168" customFormat="false" ht="15" hidden="false" customHeight="false" outlineLevel="0" collapsed="false">
      <c r="A168" s="94" t="s">
        <v>39</v>
      </c>
      <c r="B168" s="95" t="s">
        <v>849</v>
      </c>
      <c r="C168" s="95" t="s">
        <v>1050</v>
      </c>
      <c r="D168" s="94" t="s">
        <v>1062</v>
      </c>
      <c r="E168" s="95" t="n">
        <v>103961</v>
      </c>
      <c r="F168" s="94" t="n">
        <v>584.76</v>
      </c>
      <c r="G168" s="94" t="n">
        <v>112</v>
      </c>
      <c r="H168" s="94" t="n">
        <v>591</v>
      </c>
      <c r="I168" s="94" t="n">
        <v>310</v>
      </c>
      <c r="J168" s="94" t="n">
        <v>281</v>
      </c>
      <c r="K168" s="94" t="n">
        <v>160</v>
      </c>
      <c r="L168" s="112" t="n">
        <f aca="false">K168/H168*100</f>
        <v>27.072758037225</v>
      </c>
      <c r="M168" s="94" t="n">
        <v>343</v>
      </c>
      <c r="N168" s="112" t="n">
        <f aca="false">O168/H168*100</f>
        <v>6.80372250423012</v>
      </c>
      <c r="O168" s="94" t="n">
        <v>40.21</v>
      </c>
      <c r="P168" s="94" t="n">
        <v>353.25</v>
      </c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28"/>
      <c r="AD168" s="112"/>
      <c r="AE168" s="112"/>
    </row>
    <row r="169" customFormat="false" ht="15" hidden="false" customHeight="false" outlineLevel="0" collapsed="false">
      <c r="A169" s="94" t="s">
        <v>39</v>
      </c>
      <c r="B169" s="95" t="s">
        <v>849</v>
      </c>
      <c r="C169" s="95" t="s">
        <v>1050</v>
      </c>
      <c r="D169" s="94" t="s">
        <v>1063</v>
      </c>
      <c r="E169" s="95" t="n">
        <v>103962</v>
      </c>
      <c r="F169" s="94" t="n">
        <v>415.33</v>
      </c>
      <c r="G169" s="94" t="n">
        <v>203</v>
      </c>
      <c r="H169" s="94" t="n">
        <v>1028</v>
      </c>
      <c r="I169" s="94" t="n">
        <v>544</v>
      </c>
      <c r="J169" s="94" t="n">
        <v>484</v>
      </c>
      <c r="K169" s="94" t="n">
        <v>280</v>
      </c>
      <c r="L169" s="112" t="n">
        <f aca="false">K169/H169*100</f>
        <v>27.2373540856031</v>
      </c>
      <c r="M169" s="94" t="n">
        <v>240</v>
      </c>
      <c r="N169" s="112" t="n">
        <f aca="false">O169/H169*100</f>
        <v>0</v>
      </c>
      <c r="O169" s="94" t="n">
        <v>0</v>
      </c>
      <c r="P169" s="94" t="n">
        <v>182.74</v>
      </c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28"/>
      <c r="AD169" s="112"/>
      <c r="AE169" s="112"/>
    </row>
    <row r="170" customFormat="false" ht="15" hidden="false" customHeight="false" outlineLevel="0" collapsed="false">
      <c r="A170" s="94" t="s">
        <v>39</v>
      </c>
      <c r="B170" s="95" t="s">
        <v>849</v>
      </c>
      <c r="C170" s="95" t="s">
        <v>1064</v>
      </c>
      <c r="D170" s="94" t="s">
        <v>1065</v>
      </c>
      <c r="E170" s="95" t="n">
        <v>103963</v>
      </c>
      <c r="F170" s="94" t="n">
        <v>793.74</v>
      </c>
      <c r="G170" s="94" t="n">
        <v>188</v>
      </c>
      <c r="H170" s="94" t="n">
        <v>1026</v>
      </c>
      <c r="I170" s="94" t="n">
        <v>523</v>
      </c>
      <c r="J170" s="94" t="n">
        <v>503</v>
      </c>
      <c r="K170" s="94" t="n">
        <v>182</v>
      </c>
      <c r="L170" s="112" t="n">
        <f aca="false">K170/H170*100</f>
        <v>17.738791423002</v>
      </c>
      <c r="M170" s="94" t="n">
        <v>201</v>
      </c>
      <c r="N170" s="112" t="n">
        <f aca="false">O170/H170*100</f>
        <v>0</v>
      </c>
      <c r="O170" s="94" t="n">
        <v>0</v>
      </c>
      <c r="P170" s="94" t="n">
        <v>431.34</v>
      </c>
      <c r="Q170" s="112"/>
      <c r="R170" s="112"/>
      <c r="S170" s="112"/>
      <c r="T170" s="112"/>
      <c r="U170" s="112" t="s">
        <v>49</v>
      </c>
      <c r="V170" s="112"/>
      <c r="W170" s="112"/>
      <c r="X170" s="112"/>
      <c r="Y170" s="112"/>
      <c r="Z170" s="112"/>
      <c r="AA170" s="112"/>
      <c r="AB170" s="112"/>
      <c r="AC170" s="128"/>
      <c r="AD170" s="112"/>
      <c r="AE170" s="112"/>
    </row>
    <row r="171" customFormat="false" ht="15" hidden="false" customHeight="false" outlineLevel="0" collapsed="false">
      <c r="A171" s="94" t="s">
        <v>39</v>
      </c>
      <c r="B171" s="95" t="s">
        <v>849</v>
      </c>
      <c r="C171" s="95" t="s">
        <v>1064</v>
      </c>
      <c r="D171" s="94" t="s">
        <v>1066</v>
      </c>
      <c r="E171" s="95" t="n">
        <v>103964</v>
      </c>
      <c r="F171" s="94" t="n">
        <v>307.53</v>
      </c>
      <c r="G171" s="94" t="n">
        <v>47</v>
      </c>
      <c r="H171" s="94" t="n">
        <v>270</v>
      </c>
      <c r="I171" s="94" t="n">
        <v>146</v>
      </c>
      <c r="J171" s="94" t="n">
        <v>124</v>
      </c>
      <c r="K171" s="94" t="n">
        <v>0</v>
      </c>
      <c r="L171" s="112" t="n">
        <f aca="false">K171/H171*100</f>
        <v>0</v>
      </c>
      <c r="M171" s="94" t="n">
        <v>269</v>
      </c>
      <c r="N171" s="112" t="n">
        <f aca="false">O171/H171*100</f>
        <v>0</v>
      </c>
      <c r="O171" s="94" t="n">
        <v>0</v>
      </c>
      <c r="P171" s="94" t="n">
        <v>188.38</v>
      </c>
      <c r="Q171" s="112"/>
      <c r="R171" s="112"/>
      <c r="S171" s="112"/>
      <c r="T171" s="112"/>
      <c r="U171" s="112" t="s">
        <v>49</v>
      </c>
      <c r="V171" s="112"/>
      <c r="W171" s="112"/>
      <c r="X171" s="112"/>
      <c r="Y171" s="112"/>
      <c r="Z171" s="112"/>
      <c r="AA171" s="112"/>
      <c r="AB171" s="112"/>
      <c r="AC171" s="128"/>
      <c r="AD171" s="112"/>
      <c r="AE171" s="112"/>
    </row>
    <row r="172" customFormat="false" ht="15" hidden="false" customHeight="false" outlineLevel="0" collapsed="false">
      <c r="A172" s="94" t="s">
        <v>39</v>
      </c>
      <c r="B172" s="95" t="s">
        <v>849</v>
      </c>
      <c r="C172" s="95" t="s">
        <v>1042</v>
      </c>
      <c r="D172" s="94" t="s">
        <v>431</v>
      </c>
      <c r="E172" s="95" t="n">
        <v>103965</v>
      </c>
      <c r="F172" s="94" t="n">
        <v>401.96</v>
      </c>
      <c r="G172" s="94" t="n">
        <v>76</v>
      </c>
      <c r="H172" s="94" t="n">
        <v>367</v>
      </c>
      <c r="I172" s="94" t="n">
        <v>190</v>
      </c>
      <c r="J172" s="94" t="n">
        <v>177</v>
      </c>
      <c r="K172" s="94" t="n">
        <v>17</v>
      </c>
      <c r="L172" s="112" t="n">
        <f aca="false">K172/H172*100</f>
        <v>4.63215258855586</v>
      </c>
      <c r="M172" s="94" t="n">
        <v>213</v>
      </c>
      <c r="N172" s="112" t="n">
        <f aca="false">O172/H172*100</f>
        <v>0</v>
      </c>
      <c r="O172" s="94" t="n">
        <v>0</v>
      </c>
      <c r="P172" s="94" t="n">
        <v>114.4</v>
      </c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28"/>
      <c r="AD172" s="112"/>
      <c r="AE172" s="112"/>
    </row>
    <row r="173" customFormat="false" ht="15" hidden="false" customHeight="false" outlineLevel="0" collapsed="false">
      <c r="A173" s="94" t="s">
        <v>39</v>
      </c>
      <c r="B173" s="95" t="s">
        <v>849</v>
      </c>
      <c r="C173" s="95" t="s">
        <v>1042</v>
      </c>
      <c r="D173" s="94" t="s">
        <v>1067</v>
      </c>
      <c r="E173" s="95" t="n">
        <v>103967</v>
      </c>
      <c r="F173" s="94" t="n">
        <v>1194</v>
      </c>
      <c r="G173" s="94" t="n">
        <v>245</v>
      </c>
      <c r="H173" s="94" t="n">
        <v>1192</v>
      </c>
      <c r="I173" s="94" t="n">
        <v>618</v>
      </c>
      <c r="J173" s="94" t="n">
        <v>574</v>
      </c>
      <c r="K173" s="94" t="n">
        <v>241</v>
      </c>
      <c r="L173" s="112" t="n">
        <f aca="false">K173/H173*100</f>
        <v>20.2181208053691</v>
      </c>
      <c r="M173" s="94" t="n">
        <v>98</v>
      </c>
      <c r="N173" s="112" t="n">
        <f aca="false">O173/H173*100</f>
        <v>0</v>
      </c>
      <c r="O173" s="94" t="n">
        <v>0</v>
      </c>
      <c r="P173" s="94" t="n">
        <v>517</v>
      </c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28"/>
      <c r="AD173" s="112"/>
      <c r="AE173" s="112"/>
    </row>
    <row r="174" customFormat="false" ht="15" hidden="false" customHeight="false" outlineLevel="0" collapsed="false">
      <c r="A174" s="94" t="s">
        <v>39</v>
      </c>
      <c r="B174" s="95" t="s">
        <v>849</v>
      </c>
      <c r="C174" s="95" t="s">
        <v>1042</v>
      </c>
      <c r="D174" s="94" t="s">
        <v>1068</v>
      </c>
      <c r="E174" s="95" t="n">
        <v>103968</v>
      </c>
      <c r="F174" s="94" t="n">
        <v>482.65</v>
      </c>
      <c r="G174" s="94" t="n">
        <v>4</v>
      </c>
      <c r="H174" s="94" t="n">
        <v>28</v>
      </c>
      <c r="I174" s="94" t="n">
        <v>13</v>
      </c>
      <c r="J174" s="94" t="n">
        <v>15</v>
      </c>
      <c r="K174" s="94" t="n">
        <v>0</v>
      </c>
      <c r="L174" s="112" t="n">
        <f aca="false">K174/H174*100</f>
        <v>0</v>
      </c>
      <c r="M174" s="94" t="n">
        <v>0</v>
      </c>
      <c r="N174" s="112" t="n">
        <f aca="false">O174/H174*100</f>
        <v>0</v>
      </c>
      <c r="O174" s="94" t="n">
        <v>0</v>
      </c>
      <c r="P174" s="94" t="n">
        <v>208.9</v>
      </c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28"/>
      <c r="AD174" s="112"/>
      <c r="AE174" s="112"/>
    </row>
    <row r="175" customFormat="false" ht="15" hidden="false" customHeight="false" outlineLevel="0" collapsed="false">
      <c r="A175" s="94" t="s">
        <v>39</v>
      </c>
      <c r="B175" s="95" t="s">
        <v>849</v>
      </c>
      <c r="C175" s="95" t="s">
        <v>1064</v>
      </c>
      <c r="D175" s="94" t="s">
        <v>747</v>
      </c>
      <c r="E175" s="95" t="n">
        <v>103971</v>
      </c>
      <c r="F175" s="94" t="n">
        <v>370.24</v>
      </c>
      <c r="G175" s="94" t="n">
        <v>115</v>
      </c>
      <c r="H175" s="94" t="n">
        <v>615</v>
      </c>
      <c r="I175" s="94" t="n">
        <v>333</v>
      </c>
      <c r="J175" s="94" t="n">
        <v>282</v>
      </c>
      <c r="K175" s="94" t="n">
        <v>0</v>
      </c>
      <c r="L175" s="112" t="n">
        <f aca="false">K175/H175*100</f>
        <v>0</v>
      </c>
      <c r="M175" s="94" t="n">
        <v>522</v>
      </c>
      <c r="N175" s="112" t="n">
        <f aca="false">O175/H175*100</f>
        <v>1.71382113821138</v>
      </c>
      <c r="O175" s="94" t="n">
        <v>10.54</v>
      </c>
      <c r="P175" s="94" t="n">
        <v>43.65</v>
      </c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28"/>
      <c r="AD175" s="112"/>
      <c r="AE175" s="112"/>
    </row>
    <row r="176" customFormat="false" ht="15" hidden="false" customHeight="false" outlineLevel="0" collapsed="false">
      <c r="A176" s="94" t="s">
        <v>39</v>
      </c>
      <c r="B176" s="95" t="s">
        <v>849</v>
      </c>
      <c r="C176" s="95" t="s">
        <v>1064</v>
      </c>
      <c r="D176" s="94" t="s">
        <v>1069</v>
      </c>
      <c r="E176" s="95" t="n">
        <v>103972</v>
      </c>
      <c r="F176" s="94" t="n">
        <v>172.98</v>
      </c>
      <c r="G176" s="94" t="n">
        <v>52</v>
      </c>
      <c r="H176" s="94" t="n">
        <v>262</v>
      </c>
      <c r="I176" s="94" t="n">
        <v>139</v>
      </c>
      <c r="J176" s="94" t="n">
        <v>123</v>
      </c>
      <c r="K176" s="94" t="n">
        <v>0</v>
      </c>
      <c r="L176" s="112" t="n">
        <f aca="false">K176/H176*100</f>
        <v>0</v>
      </c>
      <c r="M176" s="94" t="n">
        <v>151</v>
      </c>
      <c r="N176" s="112" t="n">
        <f aca="false">O176/H176*100</f>
        <v>3.83587786259542</v>
      </c>
      <c r="O176" s="94" t="n">
        <v>10.05</v>
      </c>
      <c r="P176" s="94" t="n">
        <v>0</v>
      </c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28"/>
      <c r="AD176" s="112"/>
      <c r="AE176" s="112"/>
    </row>
    <row r="177" customFormat="false" ht="15" hidden="false" customHeight="false" outlineLevel="0" collapsed="false">
      <c r="A177" s="94" t="s">
        <v>39</v>
      </c>
      <c r="B177" s="95" t="s">
        <v>849</v>
      </c>
      <c r="C177" s="95" t="s">
        <v>1064</v>
      </c>
      <c r="D177" s="94" t="s">
        <v>1070</v>
      </c>
      <c r="E177" s="95" t="n">
        <v>103973</v>
      </c>
      <c r="F177" s="94" t="n">
        <v>225.73</v>
      </c>
      <c r="G177" s="94" t="n">
        <v>78</v>
      </c>
      <c r="H177" s="94" t="n">
        <v>389</v>
      </c>
      <c r="I177" s="94" t="n">
        <v>211</v>
      </c>
      <c r="J177" s="94" t="n">
        <v>178</v>
      </c>
      <c r="K177" s="94" t="n">
        <v>81</v>
      </c>
      <c r="L177" s="112" t="n">
        <f aca="false">K177/H177*100</f>
        <v>20.8226221079691</v>
      </c>
      <c r="M177" s="94" t="n">
        <v>0</v>
      </c>
      <c r="N177" s="112" t="n">
        <f aca="false">O177/H177*100</f>
        <v>6.1413881748072</v>
      </c>
      <c r="O177" s="94" t="n">
        <v>23.89</v>
      </c>
      <c r="P177" s="94" t="n">
        <v>0</v>
      </c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28"/>
      <c r="AD177" s="112"/>
      <c r="AE177" s="112"/>
    </row>
    <row r="178" customFormat="false" ht="15" hidden="false" customHeight="false" outlineLevel="0" collapsed="false">
      <c r="A178" s="94" t="s">
        <v>39</v>
      </c>
      <c r="B178" s="95" t="s">
        <v>849</v>
      </c>
      <c r="C178" s="95" t="s">
        <v>1071</v>
      </c>
      <c r="D178" s="94" t="s">
        <v>1072</v>
      </c>
      <c r="E178" s="95" t="n">
        <v>103974</v>
      </c>
      <c r="F178" s="94" t="n">
        <v>329.22</v>
      </c>
      <c r="G178" s="94" t="n">
        <v>120</v>
      </c>
      <c r="H178" s="94" t="n">
        <v>627</v>
      </c>
      <c r="I178" s="94" t="n">
        <v>338</v>
      </c>
      <c r="J178" s="94" t="n">
        <v>289</v>
      </c>
      <c r="K178" s="94" t="n">
        <v>17</v>
      </c>
      <c r="L178" s="112" t="n">
        <f aca="false">K178/H178*100</f>
        <v>2.71132376395534</v>
      </c>
      <c r="M178" s="94" t="n">
        <v>388</v>
      </c>
      <c r="N178" s="112" t="n">
        <f aca="false">O178/H178*100</f>
        <v>3.22488038277512</v>
      </c>
      <c r="O178" s="94" t="n">
        <v>20.22</v>
      </c>
      <c r="P178" s="94" t="n">
        <v>0</v>
      </c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28"/>
      <c r="AD178" s="112"/>
      <c r="AE178" s="112"/>
    </row>
    <row r="179" customFormat="false" ht="15" hidden="false" customHeight="false" outlineLevel="0" collapsed="false">
      <c r="A179" s="94" t="s">
        <v>39</v>
      </c>
      <c r="B179" s="95" t="s">
        <v>849</v>
      </c>
      <c r="C179" s="95" t="s">
        <v>1064</v>
      </c>
      <c r="D179" s="94" t="s">
        <v>1073</v>
      </c>
      <c r="E179" s="95" t="n">
        <v>103975</v>
      </c>
      <c r="F179" s="94" t="n">
        <v>899.76</v>
      </c>
      <c r="G179" s="94" t="n">
        <v>277</v>
      </c>
      <c r="H179" s="94" t="n">
        <v>1451</v>
      </c>
      <c r="I179" s="94" t="n">
        <v>739</v>
      </c>
      <c r="J179" s="94" t="n">
        <v>712</v>
      </c>
      <c r="K179" s="94" t="n">
        <v>108</v>
      </c>
      <c r="L179" s="112" t="n">
        <f aca="false">K179/H179*100</f>
        <v>7.44314266023432</v>
      </c>
      <c r="M179" s="94" t="n">
        <v>539</v>
      </c>
      <c r="N179" s="112" t="n">
        <f aca="false">O179/H179*100</f>
        <v>0</v>
      </c>
      <c r="O179" s="94" t="n">
        <v>0</v>
      </c>
      <c r="P179" s="94" t="n">
        <v>265.76</v>
      </c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28"/>
      <c r="AD179" s="112"/>
      <c r="AE179" s="112"/>
    </row>
    <row r="180" customFormat="false" ht="15" hidden="false" customHeight="false" outlineLevel="0" collapsed="false">
      <c r="A180" s="94" t="s">
        <v>39</v>
      </c>
      <c r="B180" s="95" t="s">
        <v>849</v>
      </c>
      <c r="C180" s="95" t="s">
        <v>1042</v>
      </c>
      <c r="D180" s="94" t="s">
        <v>1074</v>
      </c>
      <c r="E180" s="95" t="n">
        <v>103976</v>
      </c>
      <c r="F180" s="94" t="n">
        <v>177.97</v>
      </c>
      <c r="G180" s="94" t="n">
        <v>99</v>
      </c>
      <c r="H180" s="94" t="n">
        <v>497</v>
      </c>
      <c r="I180" s="94" t="n">
        <v>264</v>
      </c>
      <c r="J180" s="94" t="n">
        <v>233</v>
      </c>
      <c r="K180" s="94" t="n">
        <v>0</v>
      </c>
      <c r="L180" s="112" t="n">
        <f aca="false">K180/H180*100</f>
        <v>0</v>
      </c>
      <c r="M180" s="94" t="n">
        <v>489</v>
      </c>
      <c r="N180" s="112" t="n">
        <f aca="false">O180/H180*100</f>
        <v>0</v>
      </c>
      <c r="O180" s="94" t="n">
        <v>0</v>
      </c>
      <c r="P180" s="94" t="n">
        <v>12.84</v>
      </c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28"/>
      <c r="AD180" s="112"/>
      <c r="AE180" s="112"/>
    </row>
    <row r="181" customFormat="false" ht="15" hidden="false" customHeight="false" outlineLevel="0" collapsed="false">
      <c r="A181" s="94" t="s">
        <v>39</v>
      </c>
      <c r="B181" s="95" t="s">
        <v>849</v>
      </c>
      <c r="C181" s="95" t="s">
        <v>1042</v>
      </c>
      <c r="D181" s="94" t="s">
        <v>1075</v>
      </c>
      <c r="E181" s="95" t="n">
        <v>103977</v>
      </c>
      <c r="F181" s="94" t="n">
        <v>618</v>
      </c>
      <c r="G181" s="94" t="n">
        <v>125</v>
      </c>
      <c r="H181" s="94" t="n">
        <v>626</v>
      </c>
      <c r="I181" s="94" t="n">
        <v>323</v>
      </c>
      <c r="J181" s="94" t="n">
        <v>303</v>
      </c>
      <c r="K181" s="94" t="n">
        <v>276</v>
      </c>
      <c r="L181" s="112" t="n">
        <f aca="false">K181/H181*100</f>
        <v>44.0894568690096</v>
      </c>
      <c r="M181" s="94" t="n">
        <v>14</v>
      </c>
      <c r="N181" s="112" t="n">
        <f aca="false">O181/H181*100</f>
        <v>0</v>
      </c>
      <c r="O181" s="94" t="n">
        <v>0</v>
      </c>
      <c r="P181" s="94" t="n">
        <v>273</v>
      </c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28"/>
      <c r="AD181" s="112"/>
      <c r="AE181" s="112"/>
    </row>
    <row r="182" customFormat="false" ht="15" hidden="false" customHeight="false" outlineLevel="0" collapsed="false">
      <c r="A182" s="94" t="s">
        <v>39</v>
      </c>
      <c r="B182" s="95" t="s">
        <v>849</v>
      </c>
      <c r="C182" s="95" t="s">
        <v>1071</v>
      </c>
      <c r="D182" s="94" t="s">
        <v>1076</v>
      </c>
      <c r="E182" s="95" t="n">
        <v>103978</v>
      </c>
      <c r="F182" s="94" t="n">
        <v>2314.5</v>
      </c>
      <c r="G182" s="94" t="n">
        <v>926</v>
      </c>
      <c r="H182" s="94" t="n">
        <v>4698</v>
      </c>
      <c r="I182" s="94" t="n">
        <v>2449</v>
      </c>
      <c r="J182" s="94" t="n">
        <v>2249</v>
      </c>
      <c r="K182" s="94" t="n">
        <v>932</v>
      </c>
      <c r="L182" s="112" t="n">
        <f aca="false">K182/H182*100</f>
        <v>19.8382290336313</v>
      </c>
      <c r="M182" s="94" t="n">
        <v>259</v>
      </c>
      <c r="N182" s="112" t="n">
        <f aca="false">O182/H182*100</f>
        <v>0</v>
      </c>
      <c r="O182" s="94" t="n">
        <v>0</v>
      </c>
      <c r="P182" s="94" t="n">
        <v>1133.06</v>
      </c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28"/>
      <c r="AD182" s="112"/>
      <c r="AE182" s="112"/>
    </row>
    <row r="183" customFormat="false" ht="15" hidden="false" customHeight="false" outlineLevel="0" collapsed="false">
      <c r="A183" s="94" t="s">
        <v>39</v>
      </c>
      <c r="B183" s="95" t="s">
        <v>849</v>
      </c>
      <c r="C183" s="95" t="s">
        <v>1071</v>
      </c>
      <c r="D183" s="94" t="s">
        <v>1077</v>
      </c>
      <c r="E183" s="95" t="n">
        <v>103979</v>
      </c>
      <c r="F183" s="94" t="n">
        <v>208.8</v>
      </c>
      <c r="G183" s="94" t="n">
        <v>54</v>
      </c>
      <c r="H183" s="94" t="n">
        <v>272</v>
      </c>
      <c r="I183" s="94" t="n">
        <v>157</v>
      </c>
      <c r="J183" s="94" t="n">
        <v>115</v>
      </c>
      <c r="K183" s="94" t="n">
        <v>0</v>
      </c>
      <c r="L183" s="112" t="n">
        <f aca="false">K183/H183*100</f>
        <v>0</v>
      </c>
      <c r="M183" s="94" t="n">
        <v>0</v>
      </c>
      <c r="N183" s="112" t="n">
        <f aca="false">O183/H183*100</f>
        <v>10.4963235294118</v>
      </c>
      <c r="O183" s="94" t="n">
        <v>28.55</v>
      </c>
      <c r="P183" s="94" t="n">
        <v>0</v>
      </c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28"/>
      <c r="AD183" s="112"/>
      <c r="AE183" s="112"/>
    </row>
    <row r="184" customFormat="false" ht="15" hidden="false" customHeight="false" outlineLevel="0" collapsed="false">
      <c r="A184" s="94" t="s">
        <v>39</v>
      </c>
      <c r="B184" s="95" t="s">
        <v>849</v>
      </c>
      <c r="C184" s="95" t="s">
        <v>1071</v>
      </c>
      <c r="D184" s="94" t="s">
        <v>1078</v>
      </c>
      <c r="E184" s="95" t="n">
        <v>103980</v>
      </c>
      <c r="F184" s="94" t="n">
        <v>1251.76</v>
      </c>
      <c r="G184" s="94"/>
      <c r="H184" s="94" t="n">
        <v>0</v>
      </c>
      <c r="I184" s="94"/>
      <c r="J184" s="94"/>
      <c r="K184" s="94"/>
      <c r="L184" s="112" t="e">
        <f aca="false">K184/H184*100</f>
        <v>#DIV/0!</v>
      </c>
      <c r="M184" s="94"/>
      <c r="N184" s="112" t="e">
        <f aca="false">O184/H184*100</f>
        <v>#DIV/0!</v>
      </c>
      <c r="O184" s="94" t="n">
        <v>0</v>
      </c>
      <c r="P184" s="94" t="n">
        <v>1164.54</v>
      </c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28"/>
      <c r="AD184" s="112"/>
      <c r="AE184" s="112"/>
    </row>
    <row r="185" customFormat="false" ht="15" hidden="false" customHeight="false" outlineLevel="0" collapsed="false">
      <c r="A185" s="94" t="s">
        <v>39</v>
      </c>
      <c r="B185" s="95" t="s">
        <v>849</v>
      </c>
      <c r="C185" s="95" t="s">
        <v>1071</v>
      </c>
      <c r="D185" s="94" t="s">
        <v>1027</v>
      </c>
      <c r="E185" s="95" t="n">
        <v>103981</v>
      </c>
      <c r="F185" s="94" t="n">
        <v>459.71</v>
      </c>
      <c r="G185" s="94"/>
      <c r="H185" s="94" t="n">
        <v>0</v>
      </c>
      <c r="I185" s="94"/>
      <c r="J185" s="94"/>
      <c r="K185" s="94"/>
      <c r="L185" s="112" t="e">
        <f aca="false">K185/H185*100</f>
        <v>#DIV/0!</v>
      </c>
      <c r="M185" s="94"/>
      <c r="N185" s="112" t="e">
        <f aca="false">O185/H185*100</f>
        <v>#DIV/0!</v>
      </c>
      <c r="O185" s="94" t="n">
        <v>0</v>
      </c>
      <c r="P185" s="94" t="n">
        <v>283.71</v>
      </c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28"/>
      <c r="AD185" s="112"/>
      <c r="AE185" s="112"/>
    </row>
    <row r="186" customFormat="false" ht="15" hidden="false" customHeight="false" outlineLevel="0" collapsed="false">
      <c r="A186" s="94" t="s">
        <v>39</v>
      </c>
      <c r="B186" s="95" t="s">
        <v>849</v>
      </c>
      <c r="C186" s="95" t="s">
        <v>1071</v>
      </c>
      <c r="D186" s="94" t="s">
        <v>1079</v>
      </c>
      <c r="E186" s="95" t="n">
        <v>103982</v>
      </c>
      <c r="F186" s="94" t="n">
        <v>842.71</v>
      </c>
      <c r="G186" s="94"/>
      <c r="H186" s="94" t="n">
        <v>0</v>
      </c>
      <c r="I186" s="94"/>
      <c r="J186" s="94"/>
      <c r="K186" s="94"/>
      <c r="L186" s="112" t="e">
        <f aca="false">K186/H186*100</f>
        <v>#DIV/0!</v>
      </c>
      <c r="M186" s="94"/>
      <c r="N186" s="112" t="e">
        <f aca="false">O186/H186*100</f>
        <v>#DIV/0!</v>
      </c>
      <c r="O186" s="94" t="n">
        <v>0</v>
      </c>
      <c r="P186" s="94" t="n">
        <v>842.71</v>
      </c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28"/>
      <c r="AD186" s="112"/>
      <c r="AE186" s="112"/>
    </row>
    <row r="187" customFormat="false" ht="15" hidden="false" customHeight="false" outlineLevel="0" collapsed="false">
      <c r="A187" s="94" t="s">
        <v>39</v>
      </c>
      <c r="B187" s="95" t="s">
        <v>849</v>
      </c>
      <c r="C187" s="95" t="s">
        <v>1071</v>
      </c>
      <c r="D187" s="94" t="s">
        <v>1080</v>
      </c>
      <c r="E187" s="95" t="n">
        <v>103983</v>
      </c>
      <c r="F187" s="94" t="n">
        <v>292.89</v>
      </c>
      <c r="G187" s="94" t="n">
        <v>105</v>
      </c>
      <c r="H187" s="94" t="n">
        <v>552</v>
      </c>
      <c r="I187" s="94" t="n">
        <v>293</v>
      </c>
      <c r="J187" s="94" t="n">
        <v>259</v>
      </c>
      <c r="K187" s="94" t="n">
        <v>55</v>
      </c>
      <c r="L187" s="112" t="n">
        <f aca="false">K187/H187*100</f>
        <v>9.96376811594203</v>
      </c>
      <c r="M187" s="94" t="n">
        <v>202</v>
      </c>
      <c r="N187" s="112" t="n">
        <f aca="false">O187/H187*100</f>
        <v>0</v>
      </c>
      <c r="O187" s="94" t="n">
        <v>0</v>
      </c>
      <c r="P187" s="94" t="n">
        <v>122.92</v>
      </c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28"/>
      <c r="AD187" s="112"/>
      <c r="AE187" s="112"/>
    </row>
    <row r="188" customFormat="false" ht="15" hidden="false" customHeight="false" outlineLevel="0" collapsed="false">
      <c r="A188" s="94" t="s">
        <v>39</v>
      </c>
      <c r="B188" s="95" t="s">
        <v>849</v>
      </c>
      <c r="C188" s="95" t="s">
        <v>918</v>
      </c>
      <c r="D188" s="94" t="s">
        <v>1081</v>
      </c>
      <c r="E188" s="95" t="n">
        <v>103831</v>
      </c>
      <c r="F188" s="94" t="n">
        <v>1556.04</v>
      </c>
      <c r="G188" s="94" t="n">
        <v>30</v>
      </c>
      <c r="H188" s="94" t="n">
        <v>126</v>
      </c>
      <c r="I188" s="94" t="n">
        <v>71</v>
      </c>
      <c r="J188" s="94" t="n">
        <v>55</v>
      </c>
      <c r="K188" s="94" t="n">
        <v>11</v>
      </c>
      <c r="L188" s="112" t="n">
        <f aca="false">K188/H188*100</f>
        <v>8.73015873015873</v>
      </c>
      <c r="M188" s="94" t="n">
        <v>0</v>
      </c>
      <c r="N188" s="112" t="n">
        <f aca="false">O188/H188*100</f>
        <v>0</v>
      </c>
      <c r="O188" s="94" t="n">
        <v>0</v>
      </c>
      <c r="P188" s="94" t="n">
        <v>1556.04</v>
      </c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28"/>
      <c r="AD188" s="112"/>
      <c r="AE188" s="112"/>
    </row>
    <row r="189" customFormat="false" ht="15" hidden="false" customHeight="false" outlineLevel="0" collapsed="false">
      <c r="A189" s="94" t="s">
        <v>39</v>
      </c>
      <c r="B189" s="95" t="s">
        <v>849</v>
      </c>
      <c r="C189" s="95" t="s">
        <v>849</v>
      </c>
      <c r="D189" s="94" t="s">
        <v>1082</v>
      </c>
      <c r="E189" s="95" t="n">
        <v>103804</v>
      </c>
      <c r="F189" s="94" t="n">
        <v>318.57</v>
      </c>
      <c r="G189" s="94" t="n">
        <v>126</v>
      </c>
      <c r="H189" s="94" t="n">
        <v>654</v>
      </c>
      <c r="I189" s="94" t="n">
        <v>336</v>
      </c>
      <c r="J189" s="94" t="n">
        <v>318</v>
      </c>
      <c r="K189" s="94" t="n">
        <v>15</v>
      </c>
      <c r="L189" s="112" t="n">
        <f aca="false">K189/H189*100</f>
        <v>2.29357798165138</v>
      </c>
      <c r="M189" s="94" t="n">
        <v>607</v>
      </c>
      <c r="N189" s="112" t="n">
        <f aca="false">O189/H189*100</f>
        <v>4.74159021406728</v>
      </c>
      <c r="O189" s="94" t="n">
        <v>31.01</v>
      </c>
      <c r="P189" s="94" t="n">
        <v>14.21</v>
      </c>
      <c r="Q189" s="118" t="s">
        <v>43</v>
      </c>
      <c r="R189" s="118" t="s">
        <v>884</v>
      </c>
      <c r="S189" s="112"/>
      <c r="T189" s="118"/>
      <c r="U189" s="112"/>
      <c r="V189" s="112"/>
      <c r="W189" s="112"/>
      <c r="X189" s="112"/>
      <c r="Y189" s="112"/>
      <c r="Z189" s="112"/>
      <c r="AA189" s="118"/>
      <c r="AB189" s="118"/>
      <c r="AC189" s="115" t="s">
        <v>852</v>
      </c>
      <c r="AD189" s="131"/>
      <c r="AE189" s="131"/>
    </row>
    <row r="190" customFormat="false" ht="15" hidden="false" customHeight="false" outlineLevel="0" collapsed="false">
      <c r="A190" s="94" t="s">
        <v>39</v>
      </c>
      <c r="B190" s="95" t="s">
        <v>849</v>
      </c>
      <c r="C190" s="95" t="s">
        <v>994</v>
      </c>
      <c r="D190" s="94" t="s">
        <v>379</v>
      </c>
      <c r="E190" s="95" t="n">
        <v>103902</v>
      </c>
      <c r="F190" s="94" t="n">
        <v>176.54</v>
      </c>
      <c r="G190" s="94" t="n">
        <v>74</v>
      </c>
      <c r="H190" s="94" t="n">
        <v>370</v>
      </c>
      <c r="I190" s="94" t="n">
        <v>205</v>
      </c>
      <c r="J190" s="94" t="n">
        <v>165</v>
      </c>
      <c r="K190" s="94" t="n">
        <v>83</v>
      </c>
      <c r="L190" s="112" t="n">
        <f aca="false">K190/H190*100</f>
        <v>22.4324324324324</v>
      </c>
      <c r="M190" s="94" t="n">
        <v>0</v>
      </c>
      <c r="N190" s="112" t="n">
        <f aca="false">O190/H190*100</f>
        <v>1.2</v>
      </c>
      <c r="O190" s="94" t="n">
        <v>4.44</v>
      </c>
      <c r="P190" s="94" t="n">
        <v>31.02</v>
      </c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28"/>
      <c r="AD190" s="112"/>
      <c r="AE190" s="112"/>
    </row>
    <row r="191" customFormat="false" ht="15" hidden="false" customHeight="false" outlineLevel="0" collapsed="false">
      <c r="A191" s="94" t="s">
        <v>39</v>
      </c>
      <c r="B191" s="95" t="s">
        <v>849</v>
      </c>
      <c r="C191" s="95" t="s">
        <v>905</v>
      </c>
      <c r="D191" s="94" t="s">
        <v>402</v>
      </c>
      <c r="E191" s="95" t="n">
        <v>103821</v>
      </c>
      <c r="F191" s="94" t="n">
        <v>610.95</v>
      </c>
      <c r="G191" s="94" t="n">
        <v>95</v>
      </c>
      <c r="H191" s="94" t="n">
        <v>435</v>
      </c>
      <c r="I191" s="94" t="n">
        <v>231</v>
      </c>
      <c r="J191" s="94" t="n">
        <v>204</v>
      </c>
      <c r="K191" s="94" t="n">
        <v>10</v>
      </c>
      <c r="L191" s="112" t="n">
        <f aca="false">K191/H191*100</f>
        <v>2.29885057471264</v>
      </c>
      <c r="M191" s="94" t="n">
        <v>0</v>
      </c>
      <c r="N191" s="112" t="n">
        <f aca="false">O191/H191*100</f>
        <v>3.92413793103448</v>
      </c>
      <c r="O191" s="94" t="n">
        <v>17.07</v>
      </c>
      <c r="P191" s="94" t="n">
        <v>484.71</v>
      </c>
      <c r="Q191" s="118" t="s">
        <v>43</v>
      </c>
      <c r="R191" s="118" t="s">
        <v>909</v>
      </c>
      <c r="S191" s="112"/>
      <c r="T191" s="118"/>
      <c r="U191" s="112" t="s">
        <v>49</v>
      </c>
      <c r="V191" s="112"/>
      <c r="W191" s="112"/>
      <c r="X191" s="112"/>
      <c r="Y191" s="112"/>
      <c r="Z191" s="112"/>
      <c r="AA191" s="118"/>
      <c r="AB191" s="118"/>
      <c r="AC191" s="118" t="s">
        <v>910</v>
      </c>
      <c r="AD191" s="118" t="n">
        <v>24.7797</v>
      </c>
      <c r="AE191" s="118" t="n">
        <v>76.3539</v>
      </c>
    </row>
    <row r="192" customFormat="false" ht="15" hidden="false" customHeight="false" outlineLevel="0" collapsed="false">
      <c r="A192" s="94" t="s">
        <v>39</v>
      </c>
      <c r="B192" s="95" t="s">
        <v>849</v>
      </c>
      <c r="C192" s="95" t="s">
        <v>1064</v>
      </c>
      <c r="D192" s="94" t="s">
        <v>1083</v>
      </c>
      <c r="E192" s="95" t="n">
        <v>103969</v>
      </c>
      <c r="F192" s="94" t="n">
        <v>148.42</v>
      </c>
      <c r="G192" s="94" t="n">
        <v>138</v>
      </c>
      <c r="H192" s="94" t="n">
        <v>632</v>
      </c>
      <c r="I192" s="94" t="n">
        <v>340</v>
      </c>
      <c r="J192" s="94" t="n">
        <v>292</v>
      </c>
      <c r="K192" s="94" t="n">
        <v>40</v>
      </c>
      <c r="L192" s="112" t="n">
        <f aca="false">K192/H192*100</f>
        <v>6.32911392405063</v>
      </c>
      <c r="M192" s="94" t="n">
        <v>580</v>
      </c>
      <c r="N192" s="112" t="n">
        <f aca="false">O192/H192*100</f>
        <v>2.36075949367089</v>
      </c>
      <c r="O192" s="94" t="n">
        <v>14.92</v>
      </c>
      <c r="P192" s="94" t="n">
        <v>0</v>
      </c>
      <c r="Q192" s="112"/>
      <c r="R192" s="112"/>
      <c r="S192" s="112"/>
      <c r="T192" s="112"/>
      <c r="U192" s="112" t="s">
        <v>49</v>
      </c>
      <c r="V192" s="112"/>
      <c r="W192" s="112"/>
      <c r="X192" s="112"/>
      <c r="Y192" s="112"/>
      <c r="Z192" s="112"/>
      <c r="AA192" s="112"/>
      <c r="AB192" s="112"/>
      <c r="AC192" s="128"/>
      <c r="AD192" s="112"/>
      <c r="AE192" s="112"/>
    </row>
    <row r="193" customFormat="false" ht="15" hidden="false" customHeight="false" outlineLevel="0" collapsed="false">
      <c r="A193" s="94" t="s">
        <v>39</v>
      </c>
      <c r="B193" s="95" t="s">
        <v>849</v>
      </c>
      <c r="C193" s="95" t="s">
        <v>1042</v>
      </c>
      <c r="D193" s="94" t="s">
        <v>1084</v>
      </c>
      <c r="E193" s="95" t="n">
        <v>103966</v>
      </c>
      <c r="F193" s="94" t="n">
        <v>447.35</v>
      </c>
      <c r="G193" s="94" t="n">
        <v>51</v>
      </c>
      <c r="H193" s="94" t="n">
        <v>222</v>
      </c>
      <c r="I193" s="94" t="n">
        <v>112</v>
      </c>
      <c r="J193" s="94" t="n">
        <v>110</v>
      </c>
      <c r="K193" s="94" t="n">
        <v>4</v>
      </c>
      <c r="L193" s="112" t="n">
        <f aca="false">K193/H193*100</f>
        <v>1.8018018018018</v>
      </c>
      <c r="M193" s="94" t="n">
        <v>0</v>
      </c>
      <c r="N193" s="112" t="n">
        <f aca="false">O193/H193*100</f>
        <v>5.91441441441441</v>
      </c>
      <c r="O193" s="94" t="n">
        <v>13.13</v>
      </c>
      <c r="P193" s="94" t="n">
        <v>94.32</v>
      </c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28"/>
      <c r="AD193" s="112"/>
      <c r="AE193" s="112"/>
    </row>
    <row r="194" customFormat="false" ht="15" hidden="false" customHeight="false" outlineLevel="0" collapsed="false">
      <c r="A194" s="94" t="s">
        <v>39</v>
      </c>
      <c r="B194" s="95" t="s">
        <v>849</v>
      </c>
      <c r="C194" s="95" t="s">
        <v>976</v>
      </c>
      <c r="D194" s="94" t="s">
        <v>296</v>
      </c>
      <c r="E194" s="95" t="n">
        <v>103886</v>
      </c>
      <c r="F194" s="94" t="n">
        <v>1004.02</v>
      </c>
      <c r="G194" s="94" t="n">
        <v>383</v>
      </c>
      <c r="H194" s="94" t="n">
        <v>1881</v>
      </c>
      <c r="I194" s="94" t="n">
        <v>950</v>
      </c>
      <c r="J194" s="94" t="n">
        <v>931</v>
      </c>
      <c r="K194" s="94" t="n">
        <v>420</v>
      </c>
      <c r="L194" s="112" t="n">
        <f aca="false">K194/H194*100</f>
        <v>22.3285486443381</v>
      </c>
      <c r="M194" s="94" t="n">
        <v>0</v>
      </c>
      <c r="N194" s="112" t="n">
        <f aca="false">O194/H194*100</f>
        <v>4.97501329080276</v>
      </c>
      <c r="O194" s="94" t="n">
        <v>93.58</v>
      </c>
      <c r="P194" s="94" t="n">
        <v>371.77</v>
      </c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28"/>
      <c r="AD194" s="112"/>
      <c r="AE194" s="112"/>
    </row>
    <row r="195" customFormat="false" ht="15" hidden="false" customHeight="false" outlineLevel="0" collapsed="false">
      <c r="A195" s="94" t="s">
        <v>39</v>
      </c>
      <c r="B195" s="95" t="s">
        <v>849</v>
      </c>
      <c r="C195" s="95" t="s">
        <v>918</v>
      </c>
      <c r="D195" s="94" t="s">
        <v>1085</v>
      </c>
      <c r="E195" s="95" t="n">
        <v>103830</v>
      </c>
      <c r="F195" s="94" t="n">
        <v>176.43</v>
      </c>
      <c r="G195" s="94" t="n">
        <v>13</v>
      </c>
      <c r="H195" s="94" t="n">
        <v>67</v>
      </c>
      <c r="I195" s="94" t="n">
        <v>36</v>
      </c>
      <c r="J195" s="94" t="n">
        <v>31</v>
      </c>
      <c r="K195" s="94" t="n">
        <v>32</v>
      </c>
      <c r="L195" s="112" t="n">
        <f aca="false">K195/H195*100</f>
        <v>47.7611940298507</v>
      </c>
      <c r="M195" s="94" t="n">
        <v>21</v>
      </c>
      <c r="N195" s="112" t="n">
        <f aca="false">O195/H195*100</f>
        <v>0</v>
      </c>
      <c r="O195" s="94" t="n">
        <v>0</v>
      </c>
      <c r="P195" s="94" t="n">
        <v>15.99</v>
      </c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28"/>
      <c r="AD195" s="112"/>
      <c r="AE195" s="112"/>
    </row>
    <row r="196" customFormat="false" ht="15" hidden="false" customHeight="false" outlineLevel="0" collapsed="false">
      <c r="A196" s="94" t="s">
        <v>39</v>
      </c>
      <c r="B196" s="95" t="s">
        <v>849</v>
      </c>
      <c r="C196" s="95" t="s">
        <v>1086</v>
      </c>
      <c r="D196" s="94" t="s">
        <v>1087</v>
      </c>
      <c r="E196" s="95"/>
      <c r="F196" s="94"/>
      <c r="G196" s="94"/>
      <c r="H196" s="94"/>
      <c r="I196" s="94"/>
      <c r="J196" s="94"/>
      <c r="K196" s="94"/>
      <c r="L196" s="112" t="e">
        <f aca="false">K196/H196*100</f>
        <v>#DIV/0!</v>
      </c>
      <c r="M196" s="94"/>
      <c r="N196" s="112" t="e">
        <f aca="false">O196/H196*100</f>
        <v>#DIV/0!</v>
      </c>
      <c r="O196" s="94"/>
      <c r="P196" s="94"/>
      <c r="Q196" s="113" t="s">
        <v>43</v>
      </c>
      <c r="R196" s="113" t="s">
        <v>330</v>
      </c>
      <c r="S196" s="112"/>
      <c r="T196" s="121"/>
      <c r="U196" s="112" t="s">
        <v>49</v>
      </c>
      <c r="V196" s="112" t="s">
        <v>49</v>
      </c>
      <c r="W196" s="112" t="s">
        <v>49</v>
      </c>
      <c r="X196" s="112" t="s">
        <v>49</v>
      </c>
      <c r="Y196" s="112" t="s">
        <v>49</v>
      </c>
      <c r="Z196" s="112" t="s">
        <v>49</v>
      </c>
      <c r="AA196" s="112"/>
      <c r="AB196" s="112"/>
      <c r="AC196" s="115" t="s">
        <v>852</v>
      </c>
      <c r="AD196" s="116" t="n">
        <v>24.657529</v>
      </c>
      <c r="AE196" s="116" t="n">
        <v>76.255604</v>
      </c>
    </row>
    <row r="197" customFormat="false" ht="15" hidden="false" customHeight="false" outlineLevel="0" collapsed="false">
      <c r="A197" s="94" t="s">
        <v>39</v>
      </c>
      <c r="B197" s="95" t="s">
        <v>849</v>
      </c>
      <c r="C197" s="95" t="s">
        <v>1086</v>
      </c>
      <c r="D197" s="94" t="s">
        <v>1087</v>
      </c>
      <c r="E197" s="95"/>
      <c r="F197" s="94"/>
      <c r="G197" s="94"/>
      <c r="H197" s="94"/>
      <c r="I197" s="94"/>
      <c r="J197" s="94"/>
      <c r="K197" s="94"/>
      <c r="L197" s="112" t="e">
        <f aca="false">K197/H197*100</f>
        <v>#DIV/0!</v>
      </c>
      <c r="M197" s="94"/>
      <c r="N197" s="112" t="e">
        <f aca="false">O197/H197*100</f>
        <v>#DIV/0!</v>
      </c>
      <c r="O197" s="94"/>
      <c r="P197" s="94"/>
      <c r="Q197" s="52" t="s">
        <v>45</v>
      </c>
      <c r="R197" s="52" t="s">
        <v>330</v>
      </c>
      <c r="S197" s="112"/>
      <c r="T197" s="121"/>
      <c r="U197" s="112" t="s">
        <v>49</v>
      </c>
      <c r="V197" s="112" t="s">
        <v>49</v>
      </c>
      <c r="W197" s="112"/>
      <c r="X197" s="112"/>
      <c r="Y197" s="112"/>
      <c r="Z197" s="112"/>
      <c r="AA197" s="112"/>
      <c r="AB197" s="112"/>
      <c r="AC197" s="115" t="s">
        <v>852</v>
      </c>
      <c r="AD197" s="42" t="n">
        <v>24.657529</v>
      </c>
      <c r="AE197" s="42" t="n">
        <v>76.255604</v>
      </c>
    </row>
    <row r="198" customFormat="false" ht="15" hidden="false" customHeight="false" outlineLevel="0" collapsed="false">
      <c r="A198" s="94" t="s">
        <v>39</v>
      </c>
      <c r="B198" s="95" t="s">
        <v>849</v>
      </c>
      <c r="C198" s="95" t="s">
        <v>1086</v>
      </c>
      <c r="D198" s="94" t="s">
        <v>1087</v>
      </c>
      <c r="E198" s="95"/>
      <c r="F198" s="94"/>
      <c r="G198" s="94"/>
      <c r="H198" s="94"/>
      <c r="I198" s="94"/>
      <c r="J198" s="94"/>
      <c r="K198" s="94"/>
      <c r="L198" s="112" t="e">
        <f aca="false">K198/H198*100</f>
        <v>#DIV/0!</v>
      </c>
      <c r="M198" s="94"/>
      <c r="N198" s="112" t="e">
        <f aca="false">O198/H198*100</f>
        <v>#DIV/0!</v>
      </c>
      <c r="O198" s="94"/>
      <c r="P198" s="94"/>
      <c r="Q198" s="52" t="s">
        <v>43</v>
      </c>
      <c r="R198" s="52" t="s">
        <v>330</v>
      </c>
      <c r="S198" s="112"/>
      <c r="T198" s="52"/>
      <c r="U198" s="112" t="s">
        <v>49</v>
      </c>
      <c r="V198" s="112" t="s">
        <v>49</v>
      </c>
      <c r="W198" s="112"/>
      <c r="X198" s="112"/>
      <c r="Y198" s="112"/>
      <c r="Z198" s="112"/>
      <c r="AA198" s="153" t="s">
        <v>82</v>
      </c>
      <c r="AB198" s="118" t="n">
        <v>15</v>
      </c>
      <c r="AC198" s="115" t="s">
        <v>852</v>
      </c>
      <c r="AD198" s="42" t="n">
        <v>24.657529</v>
      </c>
      <c r="AE198" s="42" t="n">
        <v>76.255604</v>
      </c>
    </row>
    <row r="199" customFormat="false" ht="15" hidden="false" customHeight="false" outlineLevel="0" collapsed="false">
      <c r="A199" s="94"/>
      <c r="B199" s="95"/>
      <c r="C199" s="95"/>
      <c r="D199" s="94"/>
      <c r="E199" s="95"/>
      <c r="F199" s="94"/>
      <c r="G199" s="94"/>
      <c r="H199" s="94"/>
      <c r="I199" s="94"/>
      <c r="J199" s="94"/>
      <c r="K199" s="94"/>
      <c r="L199" s="112" t="e">
        <f aca="false">K199/H199*100</f>
        <v>#DIV/0!</v>
      </c>
      <c r="M199" s="94"/>
      <c r="N199" s="112" t="e">
        <f aca="false">O199/H199*100</f>
        <v>#DIV/0!</v>
      </c>
      <c r="O199" s="94"/>
      <c r="P199" s="94"/>
      <c r="Q199" s="113"/>
      <c r="R199" s="113"/>
      <c r="S199" s="112"/>
      <c r="T199" s="121"/>
      <c r="U199" s="112"/>
      <c r="V199" s="112"/>
      <c r="W199" s="112"/>
      <c r="X199" s="112"/>
      <c r="Y199" s="112"/>
      <c r="Z199" s="112"/>
      <c r="AA199" s="112"/>
      <c r="AB199" s="112"/>
      <c r="AC199" s="115" t="s">
        <v>852</v>
      </c>
      <c r="AD199" s="116"/>
      <c r="AE199" s="116"/>
    </row>
    <row r="200" customFormat="false" ht="15" hidden="false" customHeight="false" outlineLevel="0" collapsed="false">
      <c r="A200" s="94" t="s">
        <v>39</v>
      </c>
      <c r="B200" s="95" t="s">
        <v>849</v>
      </c>
      <c r="C200" s="95" t="s">
        <v>1086</v>
      </c>
      <c r="D200" s="94" t="s">
        <v>240</v>
      </c>
      <c r="E200" s="95" t="n">
        <v>103850</v>
      </c>
      <c r="F200" s="94" t="n">
        <v>227.75</v>
      </c>
      <c r="G200" s="94" t="n">
        <v>96</v>
      </c>
      <c r="H200" s="94" t="n">
        <v>405</v>
      </c>
      <c r="I200" s="94" t="n">
        <v>199</v>
      </c>
      <c r="J200" s="94" t="n">
        <v>206</v>
      </c>
      <c r="K200" s="94" t="n">
        <v>6</v>
      </c>
      <c r="L200" s="112" t="n">
        <f aca="false">K200/H200*100</f>
        <v>1.48148148148148</v>
      </c>
      <c r="M200" s="94" t="n">
        <v>296</v>
      </c>
      <c r="N200" s="112" t="n">
        <f aca="false">O200/H200*100</f>
        <v>5.4716049382716</v>
      </c>
      <c r="O200" s="94" t="n">
        <v>22.16</v>
      </c>
      <c r="P200" s="94" t="n">
        <v>0</v>
      </c>
      <c r="Q200" s="113" t="s">
        <v>45</v>
      </c>
      <c r="R200" s="113" t="s">
        <v>262</v>
      </c>
      <c r="S200" s="112"/>
      <c r="T200" s="114" t="n">
        <v>24.1956</v>
      </c>
      <c r="U200" s="112"/>
      <c r="V200" s="112"/>
      <c r="W200" s="112"/>
      <c r="X200" s="112"/>
      <c r="Y200" s="112"/>
      <c r="Z200" s="112"/>
      <c r="AA200" s="121" t="s">
        <v>45</v>
      </c>
      <c r="AB200" s="121" t="n">
        <v>1</v>
      </c>
      <c r="AC200" s="115" t="s">
        <v>852</v>
      </c>
      <c r="AD200" s="154" t="n">
        <v>538540</v>
      </c>
      <c r="AE200" s="116" t="n">
        <v>76.216679</v>
      </c>
    </row>
    <row r="201" customFormat="false" ht="15" hidden="false" customHeight="false" outlineLevel="0" collapsed="false">
      <c r="A201" s="94" t="s">
        <v>39</v>
      </c>
      <c r="B201" s="95" t="s">
        <v>849</v>
      </c>
      <c r="C201" s="95" t="s">
        <v>900</v>
      </c>
      <c r="D201" s="94" t="s">
        <v>141</v>
      </c>
      <c r="E201" s="95" t="n">
        <v>103843</v>
      </c>
      <c r="F201" s="94" t="n">
        <v>336.64</v>
      </c>
      <c r="G201" s="94" t="n">
        <v>216</v>
      </c>
      <c r="H201" s="94" t="n">
        <v>941</v>
      </c>
      <c r="I201" s="94" t="n">
        <v>483</v>
      </c>
      <c r="J201" s="94" t="n">
        <v>458</v>
      </c>
      <c r="K201" s="94" t="n">
        <v>94</v>
      </c>
      <c r="L201" s="112" t="n">
        <f aca="false">K201/H201*100</f>
        <v>9.9893730074389</v>
      </c>
      <c r="M201" s="94" t="n">
        <v>710</v>
      </c>
      <c r="N201" s="112" t="n">
        <f aca="false">O201/H201*100</f>
        <v>4.78427205100956</v>
      </c>
      <c r="O201" s="94" t="n">
        <v>45.02</v>
      </c>
      <c r="P201" s="94" t="n">
        <v>0</v>
      </c>
      <c r="Q201" s="118" t="s">
        <v>43</v>
      </c>
      <c r="R201" s="118" t="s">
        <v>1088</v>
      </c>
      <c r="S201" s="112"/>
      <c r="T201" s="118" t="n">
        <v>15</v>
      </c>
      <c r="U201" s="112" t="s">
        <v>49</v>
      </c>
      <c r="V201" s="112"/>
      <c r="W201" s="112"/>
      <c r="X201" s="112"/>
      <c r="Y201" s="112"/>
      <c r="Z201" s="112"/>
      <c r="AA201" s="153" t="s">
        <v>82</v>
      </c>
      <c r="AB201" s="118" t="n">
        <v>15</v>
      </c>
      <c r="AC201" s="115" t="s">
        <v>852</v>
      </c>
      <c r="AD201" s="118" t="n">
        <v>24.7647</v>
      </c>
      <c r="AE201" s="118" t="n">
        <v>76.3029</v>
      </c>
    </row>
    <row r="202" customFormat="false" ht="15" hidden="false" customHeight="false" outlineLevel="0" collapsed="false">
      <c r="A202" s="94" t="s">
        <v>39</v>
      </c>
      <c r="B202" s="95" t="s">
        <v>849</v>
      </c>
      <c r="C202" s="95" t="s">
        <v>1071</v>
      </c>
      <c r="D202" s="94" t="s">
        <v>345</v>
      </c>
      <c r="E202" s="95" t="n">
        <v>103984</v>
      </c>
      <c r="F202" s="94" t="n">
        <v>323.85</v>
      </c>
      <c r="G202" s="94"/>
      <c r="H202" s="94" t="n">
        <v>0</v>
      </c>
      <c r="I202" s="94"/>
      <c r="J202" s="94"/>
      <c r="K202" s="94"/>
      <c r="L202" s="112" t="e">
        <f aca="false">K202/H202*100</f>
        <v>#DIV/0!</v>
      </c>
      <c r="M202" s="94"/>
      <c r="N202" s="112" t="e">
        <f aca="false">O202/H202*100</f>
        <v>#DIV/0!</v>
      </c>
      <c r="O202" s="94" t="n">
        <v>0</v>
      </c>
      <c r="P202" s="94" t="n">
        <v>322.05</v>
      </c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28"/>
      <c r="AD202" s="112"/>
      <c r="AE202" s="112"/>
    </row>
    <row r="203" customFormat="false" ht="15" hidden="false" customHeight="false" outlineLevel="0" collapsed="false">
      <c r="A203" s="94" t="s">
        <v>39</v>
      </c>
      <c r="B203" s="95" t="s">
        <v>849</v>
      </c>
      <c r="C203" s="95" t="s">
        <v>918</v>
      </c>
      <c r="D203" s="94" t="s">
        <v>1089</v>
      </c>
      <c r="E203" s="95" t="n">
        <v>103913</v>
      </c>
      <c r="F203" s="94" t="n">
        <v>334.89</v>
      </c>
      <c r="G203" s="94" t="n">
        <v>29</v>
      </c>
      <c r="H203" s="94" t="n">
        <v>136</v>
      </c>
      <c r="I203" s="94" t="n">
        <v>71</v>
      </c>
      <c r="J203" s="94" t="n">
        <v>65</v>
      </c>
      <c r="K203" s="94" t="n">
        <v>22</v>
      </c>
      <c r="L203" s="112" t="n">
        <f aca="false">K203/H203*100</f>
        <v>16.1764705882353</v>
      </c>
      <c r="M203" s="94" t="n">
        <v>46</v>
      </c>
      <c r="N203" s="112" t="n">
        <f aca="false">O203/H203*100</f>
        <v>0</v>
      </c>
      <c r="O203" s="94" t="n">
        <v>0</v>
      </c>
      <c r="P203" s="94" t="n">
        <v>247.28</v>
      </c>
      <c r="Q203" s="112"/>
      <c r="R203" s="112"/>
      <c r="S203" s="112"/>
      <c r="T203" s="112"/>
      <c r="U203" s="112" t="s">
        <v>49</v>
      </c>
      <c r="V203" s="112"/>
      <c r="W203" s="112"/>
      <c r="X203" s="112"/>
      <c r="Y203" s="112"/>
      <c r="Z203" s="112"/>
      <c r="AA203" s="112"/>
      <c r="AB203" s="112"/>
      <c r="AC203" s="128"/>
      <c r="AD203" s="112"/>
      <c r="AE203" s="112"/>
    </row>
    <row r="204" customFormat="false" ht="15" hidden="false" customHeight="false" outlineLevel="0" collapsed="false">
      <c r="A204" s="94" t="s">
        <v>39</v>
      </c>
      <c r="B204" s="95" t="s">
        <v>849</v>
      </c>
      <c r="C204" s="95" t="s">
        <v>870</v>
      </c>
      <c r="D204" s="94" t="s">
        <v>1090</v>
      </c>
      <c r="E204" s="95" t="n">
        <v>103799</v>
      </c>
      <c r="F204" s="94" t="n">
        <v>278.5</v>
      </c>
      <c r="G204" s="94" t="n">
        <v>173</v>
      </c>
      <c r="H204" s="94" t="n">
        <v>907</v>
      </c>
      <c r="I204" s="94" t="n">
        <v>471</v>
      </c>
      <c r="J204" s="94" t="n">
        <v>436</v>
      </c>
      <c r="K204" s="94" t="n">
        <v>315</v>
      </c>
      <c r="L204" s="112" t="n">
        <f aca="false">K204/H204*100</f>
        <v>34.7298787210584</v>
      </c>
      <c r="M204" s="94" t="n">
        <v>0</v>
      </c>
      <c r="N204" s="112" t="n">
        <f aca="false">O204/H204*100</f>
        <v>4.47960308710033</v>
      </c>
      <c r="O204" s="94" t="n">
        <v>40.63</v>
      </c>
      <c r="P204" s="94" t="n">
        <v>16.56</v>
      </c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28"/>
      <c r="AD204" s="112"/>
      <c r="AE204" s="112"/>
    </row>
    <row r="205" customFormat="false" ht="18.75" hidden="false" customHeight="false" outlineLevel="0" collapsed="false">
      <c r="A205" s="94" t="s">
        <v>39</v>
      </c>
      <c r="B205" s="95" t="s">
        <v>849</v>
      </c>
      <c r="C205" s="95" t="s">
        <v>1053</v>
      </c>
      <c r="D205" s="155" t="s">
        <v>149</v>
      </c>
      <c r="E205" s="95" t="n">
        <v>103958</v>
      </c>
      <c r="F205" s="94" t="n">
        <v>321.34</v>
      </c>
      <c r="G205" s="94" t="n">
        <v>128</v>
      </c>
      <c r="H205" s="94" t="n">
        <v>530</v>
      </c>
      <c r="I205" s="94" t="n">
        <v>283</v>
      </c>
      <c r="J205" s="94" t="n">
        <v>247</v>
      </c>
      <c r="K205" s="94" t="n">
        <v>39</v>
      </c>
      <c r="L205" s="112" t="n">
        <f aca="false">K205/H205*100</f>
        <v>7.35849056603774</v>
      </c>
      <c r="M205" s="94" t="n">
        <v>449</v>
      </c>
      <c r="N205" s="112" t="n">
        <f aca="false">O205/H205*100</f>
        <v>7.37735849056604</v>
      </c>
      <c r="O205" s="94" t="n">
        <v>39.1</v>
      </c>
      <c r="P205" s="94" t="n">
        <v>75.89</v>
      </c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28"/>
      <c r="AD205" s="112"/>
      <c r="AE205" s="112"/>
    </row>
    <row r="206" customFormat="false" ht="15" hidden="false" customHeight="false" outlineLevel="0" collapsed="false">
      <c r="A206" s="94" t="s">
        <v>39</v>
      </c>
      <c r="B206" s="95" t="s">
        <v>849</v>
      </c>
      <c r="C206" s="95" t="s">
        <v>1015</v>
      </c>
      <c r="D206" s="94" t="s">
        <v>1091</v>
      </c>
      <c r="E206" s="95" t="n">
        <v>103945</v>
      </c>
      <c r="F206" s="94" t="n">
        <v>1285.97</v>
      </c>
      <c r="G206" s="94" t="n">
        <v>473</v>
      </c>
      <c r="H206" s="94" t="n">
        <v>2404</v>
      </c>
      <c r="I206" s="94" t="n">
        <v>1229</v>
      </c>
      <c r="J206" s="94" t="n">
        <v>1175</v>
      </c>
      <c r="K206" s="94" t="n">
        <v>278</v>
      </c>
      <c r="L206" s="112" t="n">
        <f aca="false">K206/H206*100</f>
        <v>11.5640599001664</v>
      </c>
      <c r="M206" s="94" t="n">
        <v>251</v>
      </c>
      <c r="N206" s="112" t="n">
        <f aca="false">O206/H206*100</f>
        <v>8.60316139767055</v>
      </c>
      <c r="O206" s="94" t="n">
        <v>206.82</v>
      </c>
      <c r="P206" s="94" t="n">
        <v>324.09</v>
      </c>
      <c r="Q206" s="112"/>
      <c r="R206" s="112"/>
      <c r="S206" s="112"/>
      <c r="T206" s="112"/>
      <c r="U206" s="112" t="s">
        <v>49</v>
      </c>
      <c r="V206" s="112"/>
      <c r="W206" s="112"/>
      <c r="X206" s="112"/>
      <c r="Y206" s="112"/>
      <c r="Z206" s="112"/>
      <c r="AA206" s="112"/>
      <c r="AB206" s="112"/>
      <c r="AC206" s="128"/>
      <c r="AD206" s="112"/>
      <c r="AE206" s="112"/>
    </row>
    <row r="207" customFormat="false" ht="15" hidden="false" customHeight="false" outlineLevel="0" collapsed="false">
      <c r="A207" s="94" t="s">
        <v>39</v>
      </c>
      <c r="B207" s="95" t="s">
        <v>849</v>
      </c>
      <c r="C207" s="95" t="s">
        <v>1064</v>
      </c>
      <c r="D207" s="94" t="s">
        <v>1092</v>
      </c>
      <c r="E207" s="95" t="n">
        <v>103970</v>
      </c>
      <c r="F207" s="94" t="n">
        <v>369.34</v>
      </c>
      <c r="G207" s="94" t="n">
        <v>151</v>
      </c>
      <c r="H207" s="94" t="n">
        <v>690</v>
      </c>
      <c r="I207" s="94" t="n">
        <v>376</v>
      </c>
      <c r="J207" s="94" t="n">
        <v>314</v>
      </c>
      <c r="K207" s="94" t="n">
        <v>114</v>
      </c>
      <c r="L207" s="112" t="n">
        <f aca="false">K207/H207*100</f>
        <v>16.5217391304348</v>
      </c>
      <c r="M207" s="94" t="n">
        <v>0</v>
      </c>
      <c r="N207" s="112" t="n">
        <f aca="false">O207/H207*100</f>
        <v>26.1579710144928</v>
      </c>
      <c r="O207" s="94" t="n">
        <v>180.49</v>
      </c>
      <c r="P207" s="94" t="n">
        <v>0</v>
      </c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28"/>
      <c r="AD207" s="112"/>
      <c r="AE207" s="112"/>
    </row>
    <row r="208" customFormat="false" ht="15" hidden="false" customHeight="false" outlineLevel="0" collapsed="false">
      <c r="A208" s="94" t="s">
        <v>39</v>
      </c>
      <c r="B208" s="95" t="s">
        <v>849</v>
      </c>
      <c r="C208" s="95" t="s">
        <v>976</v>
      </c>
      <c r="D208" s="94" t="s">
        <v>1093</v>
      </c>
      <c r="E208" s="95" t="n">
        <v>103925</v>
      </c>
      <c r="F208" s="94" t="n">
        <v>146.58</v>
      </c>
      <c r="G208" s="94" t="n">
        <v>1</v>
      </c>
      <c r="H208" s="94" t="n">
        <v>6</v>
      </c>
      <c r="I208" s="94" t="n">
        <v>4</v>
      </c>
      <c r="J208" s="94" t="n">
        <v>2</v>
      </c>
      <c r="K208" s="94" t="n">
        <v>0</v>
      </c>
      <c r="L208" s="112" t="n">
        <f aca="false">K208/H208*100</f>
        <v>0</v>
      </c>
      <c r="M208" s="94" t="n">
        <v>6</v>
      </c>
      <c r="N208" s="112" t="n">
        <f aca="false">O208/H208*100</f>
        <v>45.3333333333333</v>
      </c>
      <c r="O208" s="94" t="n">
        <v>2.72</v>
      </c>
      <c r="P208" s="94" t="n">
        <v>106.97</v>
      </c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28"/>
      <c r="AD208" s="112"/>
      <c r="AE208" s="112"/>
    </row>
    <row r="209" customFormat="false" ht="15" hidden="false" customHeight="false" outlineLevel="0" collapsed="false">
      <c r="A209" s="94" t="s">
        <v>39</v>
      </c>
      <c r="B209" s="95" t="s">
        <v>849</v>
      </c>
      <c r="C209" s="95" t="s">
        <v>1025</v>
      </c>
      <c r="D209" s="94" t="s">
        <v>498</v>
      </c>
      <c r="E209" s="95" t="n">
        <v>103927</v>
      </c>
      <c r="F209" s="94" t="n">
        <v>97.12</v>
      </c>
      <c r="G209" s="94" t="n">
        <v>85</v>
      </c>
      <c r="H209" s="94" t="n">
        <v>407</v>
      </c>
      <c r="I209" s="94" t="n">
        <v>214</v>
      </c>
      <c r="J209" s="94" t="n">
        <v>193</v>
      </c>
      <c r="K209" s="94" t="n">
        <v>0</v>
      </c>
      <c r="L209" s="112" t="n">
        <f aca="false">K209/H209*100</f>
        <v>0</v>
      </c>
      <c r="M209" s="94" t="n">
        <v>0</v>
      </c>
      <c r="N209" s="112" t="n">
        <f aca="false">O209/H209*100</f>
        <v>0.351351351351351</v>
      </c>
      <c r="O209" s="94" t="n">
        <v>1.43</v>
      </c>
      <c r="P209" s="94" t="n">
        <v>35.18</v>
      </c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28"/>
      <c r="AD209" s="112"/>
      <c r="AE209" s="112"/>
    </row>
    <row r="210" customFormat="false" ht="15" hidden="false" customHeight="false" outlineLevel="0" collapsed="false">
      <c r="A210" s="94" t="s">
        <v>39</v>
      </c>
      <c r="B210" s="95" t="s">
        <v>849</v>
      </c>
      <c r="C210" s="95" t="s">
        <v>1003</v>
      </c>
      <c r="D210" s="94" t="s">
        <v>125</v>
      </c>
      <c r="E210" s="95"/>
      <c r="F210" s="94"/>
      <c r="G210" s="94"/>
      <c r="H210" s="94"/>
      <c r="I210" s="94"/>
      <c r="J210" s="94"/>
      <c r="K210" s="94"/>
      <c r="L210" s="112" t="e">
        <f aca="false">K210/H210*100</f>
        <v>#DIV/0!</v>
      </c>
      <c r="M210" s="94"/>
      <c r="N210" s="112" t="e">
        <f aca="false">O210/H210*100</f>
        <v>#DIV/0!</v>
      </c>
      <c r="O210" s="94"/>
      <c r="P210" s="94"/>
      <c r="Q210" s="152" t="s">
        <v>45</v>
      </c>
      <c r="R210" s="118" t="s">
        <v>1005</v>
      </c>
      <c r="S210" s="112"/>
      <c r="T210" s="118" t="n">
        <v>15.1102</v>
      </c>
      <c r="U210" s="112" t="s">
        <v>49</v>
      </c>
      <c r="V210" s="112"/>
      <c r="W210" s="112"/>
      <c r="X210" s="112"/>
      <c r="Y210" s="112"/>
      <c r="Z210" s="112"/>
      <c r="AA210" s="118" t="s">
        <v>47</v>
      </c>
      <c r="AB210" s="118" t="n">
        <v>0</v>
      </c>
      <c r="AC210" s="118" t="s">
        <v>859</v>
      </c>
      <c r="AD210" s="118" t="n">
        <v>24.650741</v>
      </c>
      <c r="AE210" s="118" t="n">
        <v>76.476148</v>
      </c>
    </row>
    <row r="211" customFormat="false" ht="15" hidden="false" customHeight="false" outlineLevel="0" collapsed="false">
      <c r="A211" s="94" t="s">
        <v>39</v>
      </c>
      <c r="B211" s="95" t="s">
        <v>849</v>
      </c>
      <c r="C211" s="95" t="s">
        <v>849</v>
      </c>
      <c r="D211" s="146" t="s">
        <v>1094</v>
      </c>
      <c r="E211" s="118"/>
      <c r="F211" s="118"/>
      <c r="G211" s="118"/>
      <c r="H211" s="118"/>
      <c r="I211" s="118"/>
      <c r="J211" s="118"/>
      <c r="K211" s="118"/>
      <c r="L211" s="112" t="e">
        <f aca="false">K211/H211*100</f>
        <v>#DIV/0!</v>
      </c>
      <c r="M211" s="118"/>
      <c r="N211" s="112" t="e">
        <f aca="false">O211/H211*100</f>
        <v>#DIV/0!</v>
      </c>
      <c r="O211" s="118"/>
      <c r="P211" s="118"/>
      <c r="Q211" s="118" t="s">
        <v>43</v>
      </c>
      <c r="R211" s="118" t="s">
        <v>884</v>
      </c>
      <c r="S211" s="112"/>
      <c r="T211" s="118"/>
      <c r="U211" s="112"/>
      <c r="V211" s="112"/>
      <c r="W211" s="112"/>
      <c r="X211" s="112"/>
      <c r="Y211" s="112"/>
      <c r="Z211" s="112"/>
      <c r="AA211" s="118"/>
      <c r="AB211" s="118"/>
      <c r="AC211" s="115" t="s">
        <v>852</v>
      </c>
      <c r="AD211" s="131" t="n">
        <v>24.787602</v>
      </c>
      <c r="AE211" s="131" t="n">
        <v>76.223017</v>
      </c>
    </row>
    <row r="212" customFormat="false" ht="15" hidden="false" customHeight="false" outlineLevel="0" collapsed="false">
      <c r="A212" s="94" t="s">
        <v>39</v>
      </c>
      <c r="B212" s="95" t="s">
        <v>849</v>
      </c>
      <c r="C212" s="95" t="s">
        <v>849</v>
      </c>
      <c r="D212" s="94" t="s">
        <v>1095</v>
      </c>
      <c r="E212" s="95" t="n">
        <v>103832</v>
      </c>
      <c r="F212" s="94" t="n">
        <v>665.19</v>
      </c>
      <c r="G212" s="94" t="n">
        <v>108</v>
      </c>
      <c r="H212" s="94" t="n">
        <v>608</v>
      </c>
      <c r="I212" s="94" t="n">
        <v>317</v>
      </c>
      <c r="J212" s="94" t="n">
        <v>291</v>
      </c>
      <c r="K212" s="94" t="n">
        <v>107</v>
      </c>
      <c r="L212" s="112" t="n">
        <f aca="false">K212/H212*100</f>
        <v>17.5986842105263</v>
      </c>
      <c r="M212" s="94" t="n">
        <v>0</v>
      </c>
      <c r="N212" s="112" t="n">
        <f aca="false">O212/H212*100</f>
        <v>16.4259868421053</v>
      </c>
      <c r="O212" s="94" t="n">
        <v>99.87</v>
      </c>
      <c r="P212" s="94" t="n">
        <v>220.74</v>
      </c>
      <c r="Q212" s="113" t="s">
        <v>45</v>
      </c>
      <c r="R212" s="113" t="s">
        <v>257</v>
      </c>
      <c r="S212" s="112"/>
      <c r="T212" s="121" t="n">
        <v>18</v>
      </c>
      <c r="U212" s="112"/>
      <c r="V212" s="112"/>
      <c r="W212" s="112"/>
      <c r="X212" s="112"/>
      <c r="Y212" s="112"/>
      <c r="Z212" s="112"/>
      <c r="AA212" s="112" t="s">
        <v>82</v>
      </c>
      <c r="AB212" s="112" t="n">
        <v>2</v>
      </c>
      <c r="AC212" s="115" t="s">
        <v>852</v>
      </c>
      <c r="AD212" s="116" t="n">
        <v>24.725486</v>
      </c>
      <c r="AE212" s="116" t="n">
        <v>76.409227</v>
      </c>
    </row>
    <row r="213" customFormat="false" ht="15" hidden="false" customHeight="false" outlineLevel="0" collapsed="false">
      <c r="A213" s="94" t="s">
        <v>39</v>
      </c>
      <c r="B213" s="95" t="s">
        <v>849</v>
      </c>
      <c r="C213" s="95" t="s">
        <v>882</v>
      </c>
      <c r="D213" s="94" t="s">
        <v>1096</v>
      </c>
      <c r="E213" s="95" t="n">
        <v>103809</v>
      </c>
      <c r="F213" s="94" t="n">
        <v>106.72</v>
      </c>
      <c r="G213" s="94" t="n">
        <v>5</v>
      </c>
      <c r="H213" s="94" t="n">
        <v>26</v>
      </c>
      <c r="I213" s="94" t="n">
        <v>14</v>
      </c>
      <c r="J213" s="94" t="n">
        <v>12</v>
      </c>
      <c r="K213" s="94" t="n">
        <v>0</v>
      </c>
      <c r="L213" s="112" t="n">
        <f aca="false">K213/H213*100</f>
        <v>0</v>
      </c>
      <c r="M213" s="94" t="n">
        <v>0</v>
      </c>
      <c r="N213" s="112" t="n">
        <f aca="false">O213/H213*100</f>
        <v>0</v>
      </c>
      <c r="O213" s="94" t="n">
        <v>0</v>
      </c>
      <c r="P213" s="94" t="n">
        <v>0</v>
      </c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28"/>
      <c r="AD213" s="112"/>
      <c r="AE213" s="112"/>
    </row>
    <row r="214" customFormat="false" ht="15" hidden="false" customHeight="false" outlineLevel="0" collapsed="false">
      <c r="A214" s="94" t="s">
        <v>39</v>
      </c>
      <c r="B214" s="95" t="s">
        <v>849</v>
      </c>
      <c r="C214" s="95" t="s">
        <v>1003</v>
      </c>
      <c r="D214" s="94" t="s">
        <v>1097</v>
      </c>
      <c r="E214" s="95" t="n">
        <v>103951</v>
      </c>
      <c r="F214" s="94" t="n">
        <v>111.77</v>
      </c>
      <c r="G214" s="94" t="n">
        <v>12</v>
      </c>
      <c r="H214" s="94" t="n">
        <v>47</v>
      </c>
      <c r="I214" s="94" t="n">
        <v>25</v>
      </c>
      <c r="J214" s="94" t="n">
        <v>22</v>
      </c>
      <c r="K214" s="94" t="n">
        <v>0</v>
      </c>
      <c r="L214" s="112" t="n">
        <f aca="false">K214/H214*100</f>
        <v>0</v>
      </c>
      <c r="M214" s="94" t="n">
        <v>0</v>
      </c>
      <c r="N214" s="112" t="n">
        <f aca="false">O214/H214*100</f>
        <v>11.7021276595745</v>
      </c>
      <c r="O214" s="94" t="n">
        <v>5.5</v>
      </c>
      <c r="P214" s="94" t="n">
        <v>0</v>
      </c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28"/>
      <c r="AD214" s="112"/>
      <c r="AE214" s="112"/>
    </row>
    <row r="215" customFormat="false" ht="15" hidden="false" customHeight="false" outlineLevel="0" collapsed="false">
      <c r="A215" s="94" t="s">
        <v>39</v>
      </c>
      <c r="B215" s="95" t="s">
        <v>849</v>
      </c>
      <c r="C215" s="95" t="s">
        <v>942</v>
      </c>
      <c r="D215" s="94" t="s">
        <v>1098</v>
      </c>
      <c r="E215" s="95" t="n">
        <v>103865</v>
      </c>
      <c r="F215" s="94" t="n">
        <v>615.43</v>
      </c>
      <c r="G215" s="94" t="n">
        <v>268</v>
      </c>
      <c r="H215" s="94" t="n">
        <v>1427</v>
      </c>
      <c r="I215" s="94" t="n">
        <v>724</v>
      </c>
      <c r="J215" s="94" t="n">
        <v>703</v>
      </c>
      <c r="K215" s="94" t="n">
        <v>239</v>
      </c>
      <c r="L215" s="112" t="n">
        <f aca="false">K215/H215*100</f>
        <v>16.7484232655922</v>
      </c>
      <c r="M215" s="94" t="n">
        <v>275</v>
      </c>
      <c r="N215" s="112" t="n">
        <f aca="false">O215/H215*100</f>
        <v>2.26839523475823</v>
      </c>
      <c r="O215" s="94" t="n">
        <v>32.37</v>
      </c>
      <c r="P215" s="94" t="n">
        <v>0</v>
      </c>
      <c r="Q215" s="113" t="s">
        <v>45</v>
      </c>
      <c r="R215" s="113" t="s">
        <v>332</v>
      </c>
      <c r="S215" s="112"/>
      <c r="T215" s="121" t="s">
        <v>45</v>
      </c>
      <c r="U215" s="112"/>
      <c r="V215" s="112"/>
      <c r="W215" s="112"/>
      <c r="X215" s="112"/>
      <c r="Y215" s="112"/>
      <c r="Z215" s="112"/>
      <c r="AA215" s="112"/>
      <c r="AB215" s="112"/>
      <c r="AC215" s="115" t="s">
        <v>852</v>
      </c>
      <c r="AD215" s="116" t="n">
        <v>24.680432</v>
      </c>
      <c r="AE215" s="116" t="n">
        <v>76.285983</v>
      </c>
    </row>
    <row r="216" customFormat="false" ht="15" hidden="false" customHeight="false" outlineLevel="0" collapsed="false">
      <c r="A216" s="94" t="s">
        <v>39</v>
      </c>
      <c r="B216" s="95" t="s">
        <v>849</v>
      </c>
      <c r="C216" s="95" t="s">
        <v>930</v>
      </c>
      <c r="D216" s="94" t="s">
        <v>1099</v>
      </c>
      <c r="E216" s="95" t="n">
        <v>103853</v>
      </c>
      <c r="F216" s="94" t="n">
        <v>594.63</v>
      </c>
      <c r="G216" s="94" t="n">
        <v>150</v>
      </c>
      <c r="H216" s="94" t="n">
        <v>864</v>
      </c>
      <c r="I216" s="94" t="n">
        <v>427</v>
      </c>
      <c r="J216" s="94" t="n">
        <v>437</v>
      </c>
      <c r="K216" s="94" t="n">
        <v>167</v>
      </c>
      <c r="L216" s="112" t="n">
        <f aca="false">K216/H216*100</f>
        <v>19.3287037037037</v>
      </c>
      <c r="M216" s="94" t="n">
        <v>27</v>
      </c>
      <c r="N216" s="112" t="n">
        <f aca="false">O216/H216*100</f>
        <v>6.8275462962963</v>
      </c>
      <c r="O216" s="94" t="n">
        <v>58.99</v>
      </c>
      <c r="P216" s="94" t="n">
        <v>0</v>
      </c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28"/>
      <c r="AD216" s="112"/>
      <c r="AE216" s="112"/>
    </row>
    <row r="217" customFormat="false" ht="15" hidden="false" customHeight="false" outlineLevel="0" collapsed="false">
      <c r="A217" s="94" t="s">
        <v>39</v>
      </c>
      <c r="B217" s="95" t="s">
        <v>849</v>
      </c>
      <c r="C217" s="95" t="s">
        <v>947</v>
      </c>
      <c r="D217" s="94" t="s">
        <v>950</v>
      </c>
      <c r="E217" s="95" t="n">
        <v>103903</v>
      </c>
      <c r="F217" s="94" t="n">
        <v>303</v>
      </c>
      <c r="G217" s="94" t="n">
        <v>230</v>
      </c>
      <c r="H217" s="94" t="n">
        <v>1173</v>
      </c>
      <c r="I217" s="94" t="n">
        <v>613</v>
      </c>
      <c r="J217" s="94" t="n">
        <v>560</v>
      </c>
      <c r="K217" s="94" t="n">
        <v>249</v>
      </c>
      <c r="L217" s="112" t="n">
        <f aca="false">K217/H217*100</f>
        <v>21.227621483376</v>
      </c>
      <c r="M217" s="94" t="n">
        <v>24</v>
      </c>
      <c r="N217" s="112" t="n">
        <f aca="false">O217/H217*100</f>
        <v>0.682011935208866</v>
      </c>
      <c r="O217" s="94" t="n">
        <v>8</v>
      </c>
      <c r="P217" s="94" t="n">
        <v>0</v>
      </c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28"/>
      <c r="AD217" s="112"/>
      <c r="AE217" s="112"/>
    </row>
    <row r="218" customFormat="false" ht="15" hidden="false" customHeight="false" outlineLevel="0" collapsed="false">
      <c r="A218" s="94" t="s">
        <v>39</v>
      </c>
      <c r="B218" s="95" t="s">
        <v>849</v>
      </c>
      <c r="C218" s="95" t="s">
        <v>1035</v>
      </c>
      <c r="D218" s="94" t="s">
        <v>1100</v>
      </c>
      <c r="E218" s="95" t="n">
        <v>103930</v>
      </c>
      <c r="F218" s="94" t="n">
        <v>381.7</v>
      </c>
      <c r="G218" s="94" t="n">
        <v>172</v>
      </c>
      <c r="H218" s="94" t="n">
        <v>844</v>
      </c>
      <c r="I218" s="94" t="n">
        <v>423</v>
      </c>
      <c r="J218" s="94" t="n">
        <v>421</v>
      </c>
      <c r="K218" s="94" t="n">
        <v>316</v>
      </c>
      <c r="L218" s="112" t="n">
        <f aca="false">K218/H218*100</f>
        <v>37.4407582938389</v>
      </c>
      <c r="M218" s="94" t="n">
        <v>0</v>
      </c>
      <c r="N218" s="112" t="n">
        <f aca="false">O218/H218*100</f>
        <v>3.57464454976303</v>
      </c>
      <c r="O218" s="94" t="n">
        <v>30.17</v>
      </c>
      <c r="P218" s="94" t="n">
        <v>0</v>
      </c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28"/>
      <c r="AD218" s="112"/>
      <c r="AE218" s="112"/>
    </row>
    <row r="219" customFormat="false" ht="15" hidden="false" customHeight="false" outlineLevel="0" collapsed="false">
      <c r="A219" s="94" t="s">
        <v>39</v>
      </c>
      <c r="B219" s="95" t="s">
        <v>849</v>
      </c>
      <c r="C219" s="95" t="s">
        <v>870</v>
      </c>
      <c r="D219" s="94" t="s">
        <v>1101</v>
      </c>
      <c r="E219" s="95" t="n">
        <v>103818</v>
      </c>
      <c r="F219" s="94" t="n">
        <v>959.85</v>
      </c>
      <c r="G219" s="94" t="n">
        <v>340</v>
      </c>
      <c r="H219" s="94" t="n">
        <v>1727</v>
      </c>
      <c r="I219" s="94" t="n">
        <v>867</v>
      </c>
      <c r="J219" s="94" t="n">
        <v>860</v>
      </c>
      <c r="K219" s="94" t="n">
        <v>388</v>
      </c>
      <c r="L219" s="112" t="n">
        <f aca="false">K219/H219*100</f>
        <v>22.466705269253</v>
      </c>
      <c r="M219" s="94" t="n">
        <v>1</v>
      </c>
      <c r="N219" s="112" t="n">
        <f aca="false">O219/H219*100</f>
        <v>5.14475969889983</v>
      </c>
      <c r="O219" s="94" t="n">
        <v>88.85</v>
      </c>
      <c r="P219" s="94" t="n">
        <v>0</v>
      </c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28"/>
      <c r="AD219" s="112"/>
      <c r="AE219" s="112"/>
    </row>
    <row r="220" customFormat="false" ht="15" hidden="false" customHeight="false" outlineLevel="0" collapsed="false">
      <c r="A220" s="94" t="s">
        <v>39</v>
      </c>
      <c r="B220" s="95" t="s">
        <v>849</v>
      </c>
      <c r="C220" s="95" t="s">
        <v>1015</v>
      </c>
      <c r="D220" s="94" t="s">
        <v>226</v>
      </c>
      <c r="E220" s="95" t="n">
        <v>103943</v>
      </c>
      <c r="F220" s="94" t="n">
        <v>800.87</v>
      </c>
      <c r="G220" s="94" t="n">
        <v>221</v>
      </c>
      <c r="H220" s="94" t="n">
        <v>987</v>
      </c>
      <c r="I220" s="94" t="n">
        <v>523</v>
      </c>
      <c r="J220" s="94" t="n">
        <v>464</v>
      </c>
      <c r="K220" s="94" t="n">
        <v>348</v>
      </c>
      <c r="L220" s="112" t="n">
        <f aca="false">K220/H220*100</f>
        <v>35.258358662614</v>
      </c>
      <c r="M220" s="94" t="n">
        <v>0</v>
      </c>
      <c r="N220" s="112" t="n">
        <f aca="false">O220/H220*100</f>
        <v>6.92198581560284</v>
      </c>
      <c r="O220" s="94" t="n">
        <v>68.32</v>
      </c>
      <c r="P220" s="94" t="n">
        <v>0</v>
      </c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28"/>
      <c r="AD220" s="112"/>
      <c r="AE220" s="112"/>
    </row>
    <row r="221" customFormat="false" ht="15" hidden="false" customHeight="false" outlineLevel="0" collapsed="false">
      <c r="A221" s="94" t="s">
        <v>39</v>
      </c>
      <c r="B221" s="95" t="s">
        <v>849</v>
      </c>
      <c r="C221" s="95" t="s">
        <v>947</v>
      </c>
      <c r="D221" s="94" t="s">
        <v>281</v>
      </c>
      <c r="E221" s="95" t="n">
        <v>103876</v>
      </c>
      <c r="F221" s="94" t="n">
        <v>482.06</v>
      </c>
      <c r="G221" s="94" t="n">
        <v>198</v>
      </c>
      <c r="H221" s="94" t="n">
        <v>924</v>
      </c>
      <c r="I221" s="94" t="n">
        <v>487</v>
      </c>
      <c r="J221" s="94" t="n">
        <v>437</v>
      </c>
      <c r="K221" s="94" t="n">
        <v>505</v>
      </c>
      <c r="L221" s="112" t="n">
        <f aca="false">K221/H221*100</f>
        <v>54.6536796536797</v>
      </c>
      <c r="M221" s="94" t="n">
        <v>2</v>
      </c>
      <c r="N221" s="112" t="n">
        <f aca="false">O221/H221*100</f>
        <v>8.23268398268398</v>
      </c>
      <c r="O221" s="94" t="n">
        <v>76.07</v>
      </c>
      <c r="P221" s="94" t="n">
        <v>137.9</v>
      </c>
      <c r="Q221" s="112"/>
      <c r="R221" s="112"/>
      <c r="S221" s="112"/>
      <c r="T221" s="112"/>
      <c r="U221" s="112" t="s">
        <v>49</v>
      </c>
      <c r="V221" s="112" t="s">
        <v>49</v>
      </c>
      <c r="W221" s="112"/>
      <c r="X221" s="112"/>
      <c r="Y221" s="112"/>
      <c r="Z221" s="112"/>
      <c r="AA221" s="112"/>
      <c r="AB221" s="112"/>
      <c r="AC221" s="128"/>
      <c r="AD221" s="112"/>
      <c r="AE221" s="112"/>
    </row>
    <row r="222" customFormat="false" ht="15" hidden="false" customHeight="false" outlineLevel="0" collapsed="false">
      <c r="A222" s="94" t="s">
        <v>39</v>
      </c>
      <c r="B222" s="95" t="s">
        <v>849</v>
      </c>
      <c r="C222" s="95" t="s">
        <v>849</v>
      </c>
      <c r="D222" s="94" t="s">
        <v>1095</v>
      </c>
      <c r="E222" s="95"/>
      <c r="F222" s="94"/>
      <c r="G222" s="94"/>
      <c r="H222" s="94"/>
      <c r="I222" s="94"/>
      <c r="J222" s="94"/>
      <c r="K222" s="94"/>
      <c r="L222" s="112" t="e">
        <f aca="false">K222/H222*100</f>
        <v>#DIV/0!</v>
      </c>
      <c r="M222" s="94"/>
      <c r="N222" s="112" t="e">
        <f aca="false">O222/H222*100</f>
        <v>#DIV/0!</v>
      </c>
      <c r="O222" s="94"/>
      <c r="P222" s="94"/>
      <c r="Q222" s="156" t="s">
        <v>82</v>
      </c>
      <c r="R222" s="156"/>
      <c r="S222" s="112"/>
      <c r="T222" s="157"/>
      <c r="U222" s="112"/>
      <c r="V222" s="112"/>
      <c r="W222" s="112"/>
      <c r="X222" s="112"/>
      <c r="Y222" s="112"/>
      <c r="Z222" s="112"/>
      <c r="AA222" s="157"/>
      <c r="AB222" s="157"/>
      <c r="AC222" s="158" t="s">
        <v>1102</v>
      </c>
      <c r="AD222" s="158" t="n">
        <v>24.725113469</v>
      </c>
      <c r="AE222" s="158" t="n">
        <v>76.40860189</v>
      </c>
    </row>
    <row r="223" customFormat="false" ht="15" hidden="false" customHeight="false" outlineLevel="0" collapsed="false">
      <c r="A223" s="94" t="s">
        <v>39</v>
      </c>
      <c r="B223" s="95" t="s">
        <v>849</v>
      </c>
      <c r="C223" s="95" t="s">
        <v>849</v>
      </c>
      <c r="D223" s="94" t="s">
        <v>1095</v>
      </c>
      <c r="E223" s="112"/>
      <c r="F223" s="112"/>
      <c r="G223" s="112"/>
      <c r="H223" s="112"/>
      <c r="I223" s="112"/>
      <c r="J223" s="112"/>
      <c r="K223" s="112"/>
      <c r="L223" s="112" t="e">
        <f aca="false">K223/H223*100</f>
        <v>#DIV/0!</v>
      </c>
      <c r="M223" s="112"/>
      <c r="N223" s="112" t="e">
        <f aca="false">O223/H223*100</f>
        <v>#DIV/0!</v>
      </c>
      <c r="O223" s="112"/>
      <c r="P223" s="112"/>
      <c r="Q223" s="118" t="s">
        <v>45</v>
      </c>
      <c r="R223" s="118" t="s">
        <v>1103</v>
      </c>
      <c r="S223" s="112"/>
      <c r="T223" s="118"/>
      <c r="U223" s="112"/>
      <c r="V223" s="112"/>
      <c r="W223" s="112"/>
      <c r="X223" s="112"/>
      <c r="Y223" s="112"/>
      <c r="Z223" s="112"/>
      <c r="AA223" s="118"/>
      <c r="AB223" s="118"/>
      <c r="AC223" s="128"/>
      <c r="AD223" s="118" t="n">
        <v>24.725553</v>
      </c>
      <c r="AE223" s="118" t="n">
        <v>76.408012</v>
      </c>
    </row>
    <row r="224" customFormat="false" ht="15" hidden="false" customHeight="false" outlineLevel="0" collapsed="false">
      <c r="A224" s="94" t="s">
        <v>39</v>
      </c>
      <c r="B224" s="95" t="s">
        <v>849</v>
      </c>
      <c r="C224" s="95" t="s">
        <v>912</v>
      </c>
      <c r="D224" s="94" t="s">
        <v>916</v>
      </c>
      <c r="E224" s="112"/>
      <c r="F224" s="112"/>
      <c r="G224" s="112"/>
      <c r="H224" s="112"/>
      <c r="I224" s="112"/>
      <c r="J224" s="112"/>
      <c r="K224" s="112"/>
      <c r="L224" s="112" t="e">
        <f aca="false">K224/H224*100</f>
        <v>#DIV/0!</v>
      </c>
      <c r="M224" s="112"/>
      <c r="N224" s="112" t="e">
        <f aca="false">O224/H224*100</f>
        <v>#DIV/0!</v>
      </c>
      <c r="O224" s="112"/>
      <c r="P224" s="112"/>
      <c r="Q224" s="118" t="s">
        <v>43</v>
      </c>
      <c r="R224" s="118" t="s">
        <v>917</v>
      </c>
      <c r="S224" s="112"/>
      <c r="T224" s="118"/>
      <c r="U224" s="112" t="s">
        <v>49</v>
      </c>
      <c r="V224" s="112" t="s">
        <v>49</v>
      </c>
      <c r="W224" s="112"/>
      <c r="X224" s="112"/>
      <c r="Y224" s="112"/>
      <c r="Z224" s="112"/>
      <c r="AA224" s="118" t="s">
        <v>43</v>
      </c>
      <c r="AB224" s="118" t="n">
        <v>15</v>
      </c>
      <c r="AC224" s="118" t="s">
        <v>910</v>
      </c>
      <c r="AD224" s="118" t="n">
        <v>24.741266</v>
      </c>
      <c r="AE224" s="118" t="n">
        <v>76.429848</v>
      </c>
    </row>
  </sheetData>
  <mergeCells count="3">
    <mergeCell ref="K1:L1"/>
    <mergeCell ref="M1:N1"/>
    <mergeCell ref="AD1:AE1"/>
  </mergeCells>
  <conditionalFormatting sqref="AC132">
    <cfRule type="expression" priority="2" aboveAverage="0" equalAverage="0" bottom="0" percent="0" rank="0" text="" dxfId="1">
      <formula>AND(COUNTIF($B$133:$B$65527, AC132)+COUNTIF($B$68:$B$71, AC132)+COUNTIF($B$2:$B$4, AC132)+COUNTIF($B$8:$B$66, AC132)+COUNTIF($C$7, AC132)+COUNTIF($B$6, AC132)+COUNTIF($B$91:$B$111, AC132)&gt;1,NOT(ISBLANK(AC132)))</formula>
    </cfRule>
  </conditionalFormatting>
  <conditionalFormatting sqref="AC31:AC32 AC95 AC106 AC109 AC135:AC136 AC138 AC222">
    <cfRule type="expression" priority="3" aboveAverage="0" equalAverage="0" bottom="0" percent="0" rank="0" text="" dxfId="2">
      <formula>AND(COUNTIF($B$140:$B$65539, AC31)+COUNTIF($B$70:$B$73, AC31)+COUNTIF($B$2:$B$4, AC31)+COUNTIF($B$9:$B$68, AC31)+COUNTIF($C$8, AC31)+COUNTIF($B$7, AC31)+COUNTIF($B$96:$B$117, AC31)&gt;1,NOT(ISBLANK(AC31)))</formula>
    </cfRule>
  </conditionalFormatting>
  <conditionalFormatting sqref="AC132">
    <cfRule type="expression" priority="4" aboveAverage="0" equalAverage="0" bottom="0" percent="0" rank="0" text="" dxfId="3">
      <formula>AND(COUNTIF($B$146:$B$65540, AC132)+COUNTIF($B$68:$B$71, AC132)+COUNTIF($B$2:$B$4, AC132)+COUNTIF($B$8:$B$66, AC132)+COUNTIF($C$7, AC132)+COUNTIF($B$6, AC132)+COUNTIF($B$91:$B$124, AC132)&gt;1,NOT(ISBLANK(AC132)))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N4" activePane="bottomRight" state="frozen"/>
      <selection pane="topLeft" activeCell="A1" activeCellId="0" sqref="A1"/>
      <selection pane="topRight" activeCell="N1" activeCellId="0" sqref="N1"/>
      <selection pane="bottomLeft" activeCell="A4" activeCellId="0" sqref="A4"/>
      <selection pane="bottomRigh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3" min="3" style="0" width="16.43"/>
    <col collapsed="false" customWidth="true" hidden="false" outlineLevel="0" max="4" min="4" style="0" width="23.85"/>
    <col collapsed="false" customWidth="true" hidden="false" outlineLevel="0" max="5" min="5" style="0" width="17.85"/>
    <col collapsed="false" customWidth="true" hidden="false" outlineLevel="0" max="15" min="15" style="0" width="14.85"/>
    <col collapsed="false" customWidth="true" hidden="false" outlineLevel="0" max="16" min="16" style="0" width="13.57"/>
    <col collapsed="false" customWidth="true" hidden="false" outlineLevel="0" max="17" min="17" style="0" width="18"/>
    <col collapsed="false" customWidth="true" hidden="false" outlineLevel="0" max="18" min="18" style="0" width="15.43"/>
    <col collapsed="false" customWidth="true" hidden="false" outlineLevel="0" max="19" min="19" style="0" width="19"/>
    <col collapsed="false" customWidth="true" hidden="false" outlineLevel="0" max="20" min="20" style="0" width="17.85"/>
    <col collapsed="false" customWidth="true" hidden="false" outlineLevel="0" max="21" min="21" style="0" width="17.14"/>
    <col collapsed="false" customWidth="true" hidden="false" outlineLevel="0" max="22" min="22" style="0" width="16.71"/>
    <col collapsed="false" customWidth="true" hidden="false" outlineLevel="0" max="23" min="23" style="0" width="18"/>
    <col collapsed="false" customWidth="true" hidden="false" outlineLevel="0" max="24" min="24" style="0" width="17.43"/>
    <col collapsed="false" customWidth="true" hidden="false" outlineLevel="0" max="25" min="25" style="0" width="20.28"/>
    <col collapsed="false" customWidth="true" hidden="false" outlineLevel="0" max="26" min="26" style="0" width="15.71"/>
    <col collapsed="false" customWidth="true" hidden="false" outlineLevel="0" max="27" min="27" style="0" width="19.28"/>
    <col collapsed="false" customWidth="true" hidden="false" outlineLevel="0" max="28" min="28" style="0" width="19"/>
    <col collapsed="false" customWidth="true" hidden="false" outlineLevel="0" max="29" min="29" style="0" width="24.28"/>
    <col collapsed="false" customWidth="true" hidden="false" outlineLevel="0" max="31" min="31" style="0" width="10.43"/>
  </cols>
  <sheetData>
    <row r="1" s="68" customFormat="true" ht="15" hidden="false" customHeight="false" outlineLevel="0" collapsed="false">
      <c r="A1" s="64"/>
      <c r="B1" s="64"/>
      <c r="C1" s="64"/>
      <c r="D1" s="2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 t="s">
        <v>0</v>
      </c>
      <c r="R1" s="65" t="s">
        <v>0</v>
      </c>
      <c r="S1" s="66" t="s">
        <v>0</v>
      </c>
      <c r="T1" s="66" t="s">
        <v>1</v>
      </c>
      <c r="U1" s="66" t="s">
        <v>1</v>
      </c>
      <c r="V1" s="66" t="s">
        <v>1</v>
      </c>
      <c r="W1" s="66" t="s">
        <v>1</v>
      </c>
      <c r="X1" s="66" t="s">
        <v>1</v>
      </c>
      <c r="Y1" s="66" t="s">
        <v>1</v>
      </c>
      <c r="Z1" s="64" t="s">
        <v>2</v>
      </c>
      <c r="AA1" s="64" t="s">
        <v>2</v>
      </c>
      <c r="AB1" s="64" t="s">
        <v>2</v>
      </c>
      <c r="AC1" s="64" t="s">
        <v>2</v>
      </c>
      <c r="AD1" s="64" t="s">
        <v>2</v>
      </c>
      <c r="AE1" s="64" t="s">
        <v>2</v>
      </c>
    </row>
    <row r="2" s="70" customFormat="true" ht="81" hidden="false" customHeight="true" outlineLevel="0" collapsed="false">
      <c r="A2" s="69" t="s">
        <v>3</v>
      </c>
      <c r="B2" s="69" t="s">
        <v>4</v>
      </c>
      <c r="C2" s="69" t="s">
        <v>5</v>
      </c>
      <c r="D2" s="33" t="s">
        <v>6</v>
      </c>
      <c r="E2" s="69" t="s">
        <v>7</v>
      </c>
      <c r="F2" s="69" t="s">
        <v>8</v>
      </c>
      <c r="G2" s="69" t="s">
        <v>9</v>
      </c>
      <c r="H2" s="69" t="s">
        <v>10</v>
      </c>
      <c r="I2" s="69" t="s">
        <v>11</v>
      </c>
      <c r="J2" s="69" t="s">
        <v>12</v>
      </c>
      <c r="K2" s="6" t="s">
        <v>13</v>
      </c>
      <c r="L2" s="6"/>
      <c r="M2" s="6" t="s">
        <v>14</v>
      </c>
      <c r="N2" s="6"/>
      <c r="O2" s="69" t="s">
        <v>15</v>
      </c>
      <c r="P2" s="69" t="s">
        <v>16</v>
      </c>
      <c r="Q2" s="6" t="s">
        <v>17</v>
      </c>
      <c r="R2" s="6" t="s">
        <v>18</v>
      </c>
      <c r="S2" s="69" t="s">
        <v>19</v>
      </c>
      <c r="T2" s="159" t="s">
        <v>20</v>
      </c>
      <c r="U2" s="69" t="s">
        <v>21</v>
      </c>
      <c r="V2" s="159" t="s">
        <v>22</v>
      </c>
      <c r="W2" s="69" t="s">
        <v>23</v>
      </c>
      <c r="X2" s="69" t="s">
        <v>24</v>
      </c>
      <c r="Y2" s="159" t="s">
        <v>25</v>
      </c>
      <c r="Z2" s="159" t="s">
        <v>26</v>
      </c>
      <c r="AA2" s="159" t="s">
        <v>27</v>
      </c>
      <c r="AB2" s="159" t="s">
        <v>28</v>
      </c>
      <c r="AC2" s="159" t="s">
        <v>29</v>
      </c>
      <c r="AD2" s="8" t="s">
        <v>30</v>
      </c>
      <c r="AE2" s="8"/>
    </row>
    <row r="3" s="70" customFormat="true" ht="15" hidden="false" customHeight="false" outlineLevel="0" collapsed="false">
      <c r="A3" s="7"/>
      <c r="B3" s="7"/>
      <c r="C3" s="7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 t="s">
        <v>33</v>
      </c>
      <c r="M3" s="7"/>
      <c r="N3" s="7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5" t="s">
        <v>31</v>
      </c>
      <c r="AC3" s="7" t="s">
        <v>36</v>
      </c>
      <c r="AD3" s="35" t="s">
        <v>37</v>
      </c>
      <c r="AE3" s="35" t="s">
        <v>38</v>
      </c>
    </row>
    <row r="4" customFormat="false" ht="15" hidden="false" customHeight="false" outlineLevel="0" collapsed="false">
      <c r="A4" s="160" t="s">
        <v>415</v>
      </c>
      <c r="B4" s="160" t="s">
        <v>1104</v>
      </c>
      <c r="C4" s="160" t="s">
        <v>1105</v>
      </c>
      <c r="D4" s="161" t="s">
        <v>1106</v>
      </c>
      <c r="E4" s="160" t="s">
        <v>1107</v>
      </c>
      <c r="F4" s="160" t="n">
        <v>418.48</v>
      </c>
      <c r="G4" s="160" t="n">
        <v>157</v>
      </c>
      <c r="H4" s="160" t="n">
        <v>533</v>
      </c>
      <c r="I4" s="160" t="n">
        <v>273</v>
      </c>
      <c r="J4" s="160" t="n">
        <v>260</v>
      </c>
      <c r="K4" s="160" t="n">
        <v>167</v>
      </c>
      <c r="L4" s="112" t="n">
        <f aca="false">K4/H4*100</f>
        <v>31.3320825515947</v>
      </c>
      <c r="M4" s="160" t="n">
        <v>2</v>
      </c>
      <c r="N4" s="112" t="n">
        <f aca="false">M4/H4*100</f>
        <v>0.375234521575985</v>
      </c>
      <c r="O4" s="160" t="n">
        <v>73.33</v>
      </c>
      <c r="P4" s="160" t="n">
        <v>133.8</v>
      </c>
      <c r="Q4" s="153" t="s">
        <v>45</v>
      </c>
      <c r="R4" s="153" t="s">
        <v>1108</v>
      </c>
      <c r="S4" s="160"/>
      <c r="T4" s="153" t="n">
        <v>9.812</v>
      </c>
      <c r="U4" s="112"/>
      <c r="V4" s="112"/>
      <c r="W4" s="112"/>
      <c r="X4" s="112"/>
      <c r="Y4" s="112"/>
      <c r="Z4" s="112"/>
      <c r="AA4" s="153" t="s">
        <v>150</v>
      </c>
      <c r="AB4" s="153" t="n">
        <v>9.812</v>
      </c>
      <c r="AC4" s="162" t="s">
        <v>852</v>
      </c>
      <c r="AD4" s="153" t="n">
        <v>24.25913</v>
      </c>
      <c r="AE4" s="153" t="n">
        <v>76.33499</v>
      </c>
    </row>
    <row r="5" customFormat="false" ht="15" hidden="false" customHeight="false" outlineLevel="0" collapsed="false">
      <c r="A5" s="160" t="s">
        <v>415</v>
      </c>
      <c r="B5" s="160" t="s">
        <v>1104</v>
      </c>
      <c r="C5" s="160" t="s">
        <v>1105</v>
      </c>
      <c r="D5" s="160" t="s">
        <v>1109</v>
      </c>
      <c r="E5" s="160" t="s">
        <v>1110</v>
      </c>
      <c r="F5" s="160" t="n">
        <v>261.3</v>
      </c>
      <c r="G5" s="160" t="n">
        <v>94</v>
      </c>
      <c r="H5" s="160" t="n">
        <v>372</v>
      </c>
      <c r="I5" s="160" t="n">
        <v>196</v>
      </c>
      <c r="J5" s="160" t="n">
        <v>176</v>
      </c>
      <c r="K5" s="160" t="n">
        <v>276</v>
      </c>
      <c r="L5" s="112" t="n">
        <f aca="false">K5/H5*100</f>
        <v>74.1935483870968</v>
      </c>
      <c r="M5" s="160" t="n">
        <v>0</v>
      </c>
      <c r="N5" s="112" t="n">
        <f aca="false">M5/H5*100</f>
        <v>0</v>
      </c>
      <c r="O5" s="160" t="n">
        <v>18.2</v>
      </c>
      <c r="P5" s="160" t="n">
        <v>60.19</v>
      </c>
      <c r="Q5" s="11"/>
      <c r="R5" s="11"/>
      <c r="S5" s="160"/>
      <c r="T5" s="11"/>
      <c r="U5" s="112"/>
      <c r="V5" s="112"/>
      <c r="W5" s="112"/>
      <c r="X5" s="112"/>
      <c r="Y5" s="112"/>
      <c r="Z5" s="112"/>
      <c r="AA5" s="11"/>
      <c r="AB5" s="11"/>
      <c r="AC5" s="162" t="s">
        <v>852</v>
      </c>
      <c r="AD5" s="11"/>
      <c r="AE5" s="11"/>
    </row>
    <row r="6" customFormat="false" ht="15" hidden="false" customHeight="false" outlineLevel="0" collapsed="false">
      <c r="A6" s="160" t="s">
        <v>415</v>
      </c>
      <c r="B6" s="160" t="s">
        <v>1104</v>
      </c>
      <c r="C6" s="160" t="s">
        <v>1105</v>
      </c>
      <c r="D6" s="160" t="s">
        <v>1111</v>
      </c>
      <c r="E6" s="160" t="s">
        <v>1112</v>
      </c>
      <c r="F6" s="160" t="n">
        <v>157.06</v>
      </c>
      <c r="G6" s="160" t="n">
        <v>81</v>
      </c>
      <c r="H6" s="160" t="n">
        <v>261</v>
      </c>
      <c r="I6" s="160" t="n">
        <v>133</v>
      </c>
      <c r="J6" s="160" t="n">
        <v>128</v>
      </c>
      <c r="K6" s="160" t="n">
        <v>36</v>
      </c>
      <c r="L6" s="112" t="n">
        <f aca="false">K6/H6*100</f>
        <v>13.7931034482759</v>
      </c>
      <c r="M6" s="160" t="n">
        <v>0</v>
      </c>
      <c r="N6" s="112" t="n">
        <f aca="false">M6/H6*100</f>
        <v>0</v>
      </c>
      <c r="O6" s="160" t="n">
        <v>16.81</v>
      </c>
      <c r="P6" s="160" t="n">
        <v>6.83</v>
      </c>
      <c r="Q6" s="153" t="s">
        <v>45</v>
      </c>
      <c r="R6" s="153" t="s">
        <v>1108</v>
      </c>
      <c r="S6" s="160"/>
      <c r="T6" s="153" t="n">
        <v>1.136</v>
      </c>
      <c r="U6" s="112"/>
      <c r="V6" s="112"/>
      <c r="W6" s="112"/>
      <c r="X6" s="112"/>
      <c r="Y6" s="112"/>
      <c r="Z6" s="112"/>
      <c r="AA6" s="153" t="s">
        <v>150</v>
      </c>
      <c r="AB6" s="153" t="n">
        <v>1.136</v>
      </c>
      <c r="AC6" s="162" t="s">
        <v>852</v>
      </c>
      <c r="AD6" s="153" t="n">
        <v>24.29394</v>
      </c>
      <c r="AE6" s="153" t="n">
        <v>76.29008</v>
      </c>
    </row>
    <row r="7" customFormat="false" ht="15" hidden="false" customHeight="false" outlineLevel="0" collapsed="false">
      <c r="A7" s="160" t="s">
        <v>415</v>
      </c>
      <c r="B7" s="160" t="s">
        <v>1104</v>
      </c>
      <c r="C7" s="160" t="s">
        <v>1105</v>
      </c>
      <c r="D7" s="160" t="s">
        <v>1113</v>
      </c>
      <c r="E7" s="160" t="s">
        <v>1114</v>
      </c>
      <c r="F7" s="160" t="n">
        <v>133.28</v>
      </c>
      <c r="G7" s="160" t="n">
        <v>81</v>
      </c>
      <c r="H7" s="160" t="n">
        <v>342</v>
      </c>
      <c r="I7" s="160" t="n">
        <v>173</v>
      </c>
      <c r="J7" s="160" t="n">
        <v>169</v>
      </c>
      <c r="K7" s="160" t="n">
        <v>133</v>
      </c>
      <c r="L7" s="112" t="n">
        <f aca="false">K7/H7*100</f>
        <v>38.8888888888889</v>
      </c>
      <c r="M7" s="160" t="n">
        <v>0</v>
      </c>
      <c r="N7" s="112" t="n">
        <f aca="false">M7/H7*100</f>
        <v>0</v>
      </c>
      <c r="O7" s="160" t="n">
        <v>54.37</v>
      </c>
      <c r="P7" s="160" t="n">
        <v>0</v>
      </c>
      <c r="Q7" s="153" t="s">
        <v>45</v>
      </c>
      <c r="R7" s="153" t="s">
        <v>1108</v>
      </c>
      <c r="S7" s="160"/>
      <c r="T7" s="153" t="n">
        <v>12.4</v>
      </c>
      <c r="U7" s="112"/>
      <c r="V7" s="112"/>
      <c r="W7" s="112"/>
      <c r="X7" s="112"/>
      <c r="Y7" s="112"/>
      <c r="Z7" s="112"/>
      <c r="AA7" s="153" t="s">
        <v>150</v>
      </c>
      <c r="AB7" s="153" t="n">
        <v>12.4</v>
      </c>
      <c r="AC7" s="162" t="s">
        <v>852</v>
      </c>
      <c r="AD7" s="153" t="n">
        <v>24.24191</v>
      </c>
      <c r="AE7" s="153" t="n">
        <v>76.3468</v>
      </c>
    </row>
    <row r="8" customFormat="false" ht="15" hidden="false" customHeight="false" outlineLevel="0" collapsed="false">
      <c r="A8" s="160" t="s">
        <v>415</v>
      </c>
      <c r="B8" s="160" t="s">
        <v>1104</v>
      </c>
      <c r="C8" s="160" t="s">
        <v>1105</v>
      </c>
      <c r="D8" s="160" t="s">
        <v>1115</v>
      </c>
      <c r="E8" s="160" t="s">
        <v>1116</v>
      </c>
      <c r="F8" s="160" t="n">
        <v>29.64</v>
      </c>
      <c r="G8" s="160" t="n">
        <v>0</v>
      </c>
      <c r="H8" s="160" t="n">
        <v>0</v>
      </c>
      <c r="I8" s="160" t="n">
        <v>0</v>
      </c>
      <c r="J8" s="160" t="n">
        <v>0</v>
      </c>
      <c r="K8" s="160" t="n">
        <v>0</v>
      </c>
      <c r="L8" s="112"/>
      <c r="M8" s="160" t="n">
        <v>0</v>
      </c>
      <c r="N8" s="112"/>
      <c r="O8" s="160" t="n">
        <v>0</v>
      </c>
      <c r="P8" s="160" t="n">
        <v>0</v>
      </c>
      <c r="Q8" s="11"/>
      <c r="R8" s="11"/>
      <c r="S8" s="160"/>
      <c r="T8" s="11"/>
      <c r="U8" s="112"/>
      <c r="V8" s="112"/>
      <c r="W8" s="112"/>
      <c r="X8" s="112"/>
      <c r="Y8" s="112"/>
      <c r="Z8" s="112"/>
      <c r="AA8" s="11"/>
      <c r="AB8" s="11"/>
      <c r="AC8" s="162" t="s">
        <v>852</v>
      </c>
      <c r="AD8" s="11"/>
      <c r="AE8" s="11"/>
    </row>
    <row r="9" customFormat="false" ht="15" hidden="false" customHeight="false" outlineLevel="0" collapsed="false">
      <c r="A9" s="160" t="s">
        <v>415</v>
      </c>
      <c r="B9" s="160" t="s">
        <v>1104</v>
      </c>
      <c r="C9" s="160" t="s">
        <v>1105</v>
      </c>
      <c r="D9" s="160" t="s">
        <v>1117</v>
      </c>
      <c r="E9" s="160" t="s">
        <v>1118</v>
      </c>
      <c r="F9" s="160" t="n">
        <v>204.3</v>
      </c>
      <c r="G9" s="160" t="n">
        <v>76</v>
      </c>
      <c r="H9" s="160" t="n">
        <v>270</v>
      </c>
      <c r="I9" s="160" t="n">
        <v>135</v>
      </c>
      <c r="J9" s="160" t="n">
        <v>135</v>
      </c>
      <c r="K9" s="160" t="n">
        <v>0</v>
      </c>
      <c r="L9" s="112" t="n">
        <f aca="false">K9/H9*100</f>
        <v>0</v>
      </c>
      <c r="M9" s="160" t="n">
        <v>0</v>
      </c>
      <c r="N9" s="112" t="n">
        <f aca="false">M9/H9*100</f>
        <v>0</v>
      </c>
      <c r="O9" s="160" t="n">
        <v>29.92</v>
      </c>
      <c r="P9" s="160" t="n">
        <v>38.73</v>
      </c>
      <c r="Q9" s="11"/>
      <c r="R9" s="11"/>
      <c r="S9" s="160"/>
      <c r="T9" s="11"/>
      <c r="U9" s="112"/>
      <c r="V9" s="112"/>
      <c r="W9" s="112"/>
      <c r="X9" s="112"/>
      <c r="Y9" s="112"/>
      <c r="Z9" s="112"/>
      <c r="AA9" s="11"/>
      <c r="AB9" s="11"/>
      <c r="AC9" s="162" t="s">
        <v>852</v>
      </c>
      <c r="AD9" s="11"/>
      <c r="AE9" s="11"/>
    </row>
    <row r="10" customFormat="false" ht="15" hidden="false" customHeight="false" outlineLevel="0" collapsed="false">
      <c r="A10" s="160" t="s">
        <v>415</v>
      </c>
      <c r="B10" s="160" t="s">
        <v>1104</v>
      </c>
      <c r="C10" s="160" t="s">
        <v>1105</v>
      </c>
      <c r="D10" s="160" t="s">
        <v>1119</v>
      </c>
      <c r="E10" s="160" t="s">
        <v>1120</v>
      </c>
      <c r="F10" s="160" t="n">
        <v>83.06</v>
      </c>
      <c r="G10" s="160" t="n">
        <v>30</v>
      </c>
      <c r="H10" s="160" t="n">
        <v>146</v>
      </c>
      <c r="I10" s="160" t="n">
        <v>76</v>
      </c>
      <c r="J10" s="160" t="n">
        <v>70</v>
      </c>
      <c r="K10" s="160" t="n">
        <v>0</v>
      </c>
      <c r="L10" s="112" t="n">
        <f aca="false">K10/H10*100</f>
        <v>0</v>
      </c>
      <c r="M10" s="160" t="n">
        <v>0</v>
      </c>
      <c r="N10" s="112" t="n">
        <f aca="false">M10/H10*100</f>
        <v>0</v>
      </c>
      <c r="O10" s="160" t="n">
        <v>32.28</v>
      </c>
      <c r="P10" s="160" t="n">
        <v>0</v>
      </c>
      <c r="Q10" s="11"/>
      <c r="R10" s="11"/>
      <c r="S10" s="160"/>
      <c r="T10" s="11"/>
      <c r="U10" s="112"/>
      <c r="V10" s="112"/>
      <c r="W10" s="112"/>
      <c r="X10" s="112"/>
      <c r="Y10" s="112"/>
      <c r="Z10" s="112"/>
      <c r="AA10" s="11"/>
      <c r="AB10" s="11"/>
      <c r="AC10" s="162" t="s">
        <v>852</v>
      </c>
      <c r="AD10" s="11"/>
      <c r="AE10" s="11"/>
    </row>
    <row r="11" customFormat="false" ht="15" hidden="false" customHeight="false" outlineLevel="0" collapsed="false">
      <c r="A11" s="160" t="s">
        <v>415</v>
      </c>
      <c r="B11" s="160" t="s">
        <v>1104</v>
      </c>
      <c r="C11" s="160" t="s">
        <v>1105</v>
      </c>
      <c r="D11" s="160" t="s">
        <v>1121</v>
      </c>
      <c r="E11" s="160" t="s">
        <v>1122</v>
      </c>
      <c r="F11" s="160" t="n">
        <v>130.44</v>
      </c>
      <c r="G11" s="160" t="n">
        <v>67</v>
      </c>
      <c r="H11" s="160" t="n">
        <v>281</v>
      </c>
      <c r="I11" s="160" t="n">
        <v>138</v>
      </c>
      <c r="J11" s="160" t="n">
        <v>143</v>
      </c>
      <c r="K11" s="160" t="n">
        <v>0</v>
      </c>
      <c r="L11" s="112" t="n">
        <f aca="false">K11/H11*100</f>
        <v>0</v>
      </c>
      <c r="M11" s="160" t="n">
        <v>6</v>
      </c>
      <c r="N11" s="112" t="n">
        <f aca="false">M11/H11*100</f>
        <v>2.13523131672598</v>
      </c>
      <c r="O11" s="160" t="n">
        <v>7.46</v>
      </c>
      <c r="P11" s="160" t="n">
        <v>6.3</v>
      </c>
      <c r="Q11" s="153" t="s">
        <v>45</v>
      </c>
      <c r="R11" s="153" t="s">
        <v>1108</v>
      </c>
      <c r="S11" s="160"/>
      <c r="T11" s="153" t="n">
        <v>15.088</v>
      </c>
      <c r="U11" s="112"/>
      <c r="V11" s="112"/>
      <c r="W11" s="112"/>
      <c r="X11" s="112"/>
      <c r="Y11" s="112"/>
      <c r="Z11" s="112"/>
      <c r="AA11" s="153" t="s">
        <v>150</v>
      </c>
      <c r="AB11" s="153" t="n">
        <v>15.088</v>
      </c>
      <c r="AC11" s="162" t="s">
        <v>852</v>
      </c>
      <c r="AD11" s="153" t="n">
        <v>24.25826</v>
      </c>
      <c r="AE11" s="153" t="n">
        <v>76.29573</v>
      </c>
    </row>
    <row r="12" customFormat="false" ht="15" hidden="false" customHeight="false" outlineLevel="0" collapsed="false">
      <c r="A12" s="160" t="s">
        <v>415</v>
      </c>
      <c r="B12" s="160" t="s">
        <v>1104</v>
      </c>
      <c r="C12" s="160" t="s">
        <v>1105</v>
      </c>
      <c r="D12" s="160" t="s">
        <v>1123</v>
      </c>
      <c r="E12" s="160" t="s">
        <v>1124</v>
      </c>
      <c r="F12" s="160" t="n">
        <v>64.91</v>
      </c>
      <c r="G12" s="160" t="n">
        <v>16</v>
      </c>
      <c r="H12" s="160" t="n">
        <v>64</v>
      </c>
      <c r="I12" s="160" t="n">
        <v>31</v>
      </c>
      <c r="J12" s="160" t="n">
        <v>33</v>
      </c>
      <c r="K12" s="160" t="n">
        <v>0</v>
      </c>
      <c r="L12" s="112" t="n">
        <f aca="false">K12/H12*100</f>
        <v>0</v>
      </c>
      <c r="M12" s="160" t="n">
        <v>0</v>
      </c>
      <c r="N12" s="112" t="n">
        <f aca="false">M12/H12*100</f>
        <v>0</v>
      </c>
      <c r="O12" s="160" t="n">
        <v>10.67</v>
      </c>
      <c r="P12" s="160" t="n">
        <v>0</v>
      </c>
      <c r="Q12" s="153" t="s">
        <v>45</v>
      </c>
      <c r="R12" s="153" t="s">
        <v>1108</v>
      </c>
      <c r="S12" s="160"/>
      <c r="T12" s="153" t="n">
        <v>4.932</v>
      </c>
      <c r="U12" s="112"/>
      <c r="V12" s="112"/>
      <c r="W12" s="112"/>
      <c r="X12" s="112"/>
      <c r="Y12" s="112"/>
      <c r="Z12" s="112"/>
      <c r="AA12" s="153" t="s">
        <v>150</v>
      </c>
      <c r="AB12" s="153" t="n">
        <v>4.932</v>
      </c>
      <c r="AC12" s="162" t="s">
        <v>852</v>
      </c>
      <c r="AD12" s="153" t="n">
        <v>24.24362</v>
      </c>
      <c r="AE12" s="153" t="n">
        <v>76.34908</v>
      </c>
    </row>
    <row r="13" customFormat="false" ht="15" hidden="false" customHeight="false" outlineLevel="0" collapsed="false">
      <c r="A13" s="160" t="s">
        <v>415</v>
      </c>
      <c r="B13" s="160" t="s">
        <v>1104</v>
      </c>
      <c r="C13" s="160" t="s">
        <v>1105</v>
      </c>
      <c r="D13" s="160" t="s">
        <v>1125</v>
      </c>
      <c r="E13" s="160" t="s">
        <v>1126</v>
      </c>
      <c r="F13" s="160" t="n">
        <v>42.96</v>
      </c>
      <c r="G13" s="160" t="n">
        <v>0</v>
      </c>
      <c r="H13" s="160" t="n">
        <v>0</v>
      </c>
      <c r="I13" s="160" t="n">
        <v>0</v>
      </c>
      <c r="J13" s="160" t="n">
        <v>0</v>
      </c>
      <c r="K13" s="160" t="n">
        <v>0</v>
      </c>
      <c r="L13" s="112"/>
      <c r="M13" s="160" t="n">
        <v>0</v>
      </c>
      <c r="N13" s="112"/>
      <c r="O13" s="160" t="n">
        <v>0</v>
      </c>
      <c r="P13" s="160" t="n">
        <v>25.41</v>
      </c>
      <c r="Q13" s="11"/>
      <c r="R13" s="11"/>
      <c r="S13" s="160"/>
      <c r="T13" s="11"/>
      <c r="U13" s="112"/>
      <c r="V13" s="112"/>
      <c r="W13" s="112"/>
      <c r="X13" s="112"/>
      <c r="Y13" s="112"/>
      <c r="Z13" s="112"/>
      <c r="AA13" s="11"/>
      <c r="AB13" s="11"/>
      <c r="AC13" s="162" t="s">
        <v>852</v>
      </c>
      <c r="AD13" s="11"/>
      <c r="AE13" s="11"/>
    </row>
    <row r="14" customFormat="false" ht="15" hidden="false" customHeight="false" outlineLevel="0" collapsed="false">
      <c r="A14" s="160" t="s">
        <v>415</v>
      </c>
      <c r="B14" s="160" t="s">
        <v>1104</v>
      </c>
      <c r="C14" s="160" t="s">
        <v>1105</v>
      </c>
      <c r="D14" s="160" t="s">
        <v>1127</v>
      </c>
      <c r="E14" s="160" t="s">
        <v>1128</v>
      </c>
      <c r="F14" s="160" t="n">
        <v>87.72</v>
      </c>
      <c r="G14" s="160" t="n">
        <v>29</v>
      </c>
      <c r="H14" s="160" t="n">
        <v>142</v>
      </c>
      <c r="I14" s="160" t="n">
        <v>64</v>
      </c>
      <c r="J14" s="160" t="n">
        <v>78</v>
      </c>
      <c r="K14" s="160" t="n">
        <v>0</v>
      </c>
      <c r="L14" s="112" t="n">
        <f aca="false">K14/H14*100</f>
        <v>0</v>
      </c>
      <c r="M14" s="160" t="n">
        <v>0</v>
      </c>
      <c r="N14" s="112" t="n">
        <f aca="false">M14/H14*100</f>
        <v>0</v>
      </c>
      <c r="O14" s="160" t="n">
        <v>22.53</v>
      </c>
      <c r="P14" s="160" t="n">
        <v>21.1</v>
      </c>
      <c r="Q14" s="153" t="s">
        <v>45</v>
      </c>
      <c r="R14" s="153" t="s">
        <v>1108</v>
      </c>
      <c r="S14" s="160"/>
      <c r="T14" s="153" t="n">
        <v>6.93</v>
      </c>
      <c r="U14" s="112"/>
      <c r="V14" s="112"/>
      <c r="W14" s="112"/>
      <c r="X14" s="112"/>
      <c r="Y14" s="112"/>
      <c r="Z14" s="112"/>
      <c r="AA14" s="153" t="s">
        <v>150</v>
      </c>
      <c r="AB14" s="153" t="n">
        <v>6.93</v>
      </c>
      <c r="AC14" s="162" t="s">
        <v>852</v>
      </c>
      <c r="AD14" s="153" t="n">
        <v>24.25809</v>
      </c>
      <c r="AE14" s="153" t="n">
        <v>76.34217</v>
      </c>
    </row>
    <row r="15" customFormat="false" ht="15" hidden="false" customHeight="false" outlineLevel="0" collapsed="false">
      <c r="A15" s="160" t="s">
        <v>415</v>
      </c>
      <c r="B15" s="160" t="s">
        <v>1104</v>
      </c>
      <c r="C15" s="160" t="s">
        <v>1105</v>
      </c>
      <c r="D15" s="160" t="s">
        <v>1129</v>
      </c>
      <c r="E15" s="160" t="s">
        <v>1130</v>
      </c>
      <c r="F15" s="160" t="n">
        <v>153.4</v>
      </c>
      <c r="G15" s="160" t="n">
        <v>71</v>
      </c>
      <c r="H15" s="160" t="n">
        <v>284</v>
      </c>
      <c r="I15" s="160" t="n">
        <v>143</v>
      </c>
      <c r="J15" s="160" t="n">
        <v>141</v>
      </c>
      <c r="K15" s="160" t="n">
        <v>54</v>
      </c>
      <c r="L15" s="112" t="n">
        <f aca="false">K15/H15*100</f>
        <v>19.0140845070423</v>
      </c>
      <c r="M15" s="160" t="n">
        <v>0</v>
      </c>
      <c r="N15" s="112" t="n">
        <f aca="false">M15/H15*100</f>
        <v>0</v>
      </c>
      <c r="O15" s="160" t="n">
        <v>29.16</v>
      </c>
      <c r="P15" s="160" t="n">
        <v>15.68</v>
      </c>
      <c r="Q15" s="153" t="s">
        <v>45</v>
      </c>
      <c r="R15" s="153" t="s">
        <v>1108</v>
      </c>
      <c r="S15" s="160"/>
      <c r="T15" s="153" t="n">
        <v>1.408</v>
      </c>
      <c r="U15" s="112"/>
      <c r="V15" s="112"/>
      <c r="W15" s="112"/>
      <c r="X15" s="112"/>
      <c r="Y15" s="112"/>
      <c r="Z15" s="112"/>
      <c r="AA15" s="153" t="s">
        <v>150</v>
      </c>
      <c r="AB15" s="153" t="n">
        <v>1.408</v>
      </c>
      <c r="AC15" s="162" t="s">
        <v>852</v>
      </c>
      <c r="AD15" s="153" t="n">
        <v>24.2726</v>
      </c>
      <c r="AE15" s="153" t="n">
        <v>76.3175</v>
      </c>
    </row>
    <row r="16" customFormat="false" ht="15" hidden="false" customHeight="false" outlineLevel="0" collapsed="false">
      <c r="A16" s="160" t="s">
        <v>415</v>
      </c>
      <c r="B16" s="160" t="s">
        <v>1104</v>
      </c>
      <c r="C16" s="160" t="s">
        <v>1105</v>
      </c>
      <c r="D16" s="160" t="s">
        <v>1131</v>
      </c>
      <c r="E16" s="160" t="s">
        <v>1132</v>
      </c>
      <c r="F16" s="160" t="n">
        <v>239.64</v>
      </c>
      <c r="G16" s="160" t="n">
        <v>107</v>
      </c>
      <c r="H16" s="160" t="n">
        <v>436</v>
      </c>
      <c r="I16" s="160" t="n">
        <v>225</v>
      </c>
      <c r="J16" s="160" t="n">
        <v>211</v>
      </c>
      <c r="K16" s="160" t="n">
        <v>106</v>
      </c>
      <c r="L16" s="112" t="n">
        <f aca="false">K16/H16*100</f>
        <v>24.3119266055046</v>
      </c>
      <c r="M16" s="160" t="n">
        <v>0</v>
      </c>
      <c r="N16" s="112" t="n">
        <f aca="false">M16/H16*100</f>
        <v>0</v>
      </c>
      <c r="O16" s="160" t="n">
        <v>40.05</v>
      </c>
      <c r="P16" s="160" t="n">
        <v>65.77</v>
      </c>
      <c r="Q16" s="153" t="s">
        <v>45</v>
      </c>
      <c r="R16" s="153" t="s">
        <v>1108</v>
      </c>
      <c r="S16" s="160"/>
      <c r="T16" s="153" t="n">
        <v>18.66</v>
      </c>
      <c r="U16" s="112"/>
      <c r="V16" s="112"/>
      <c r="W16" s="112"/>
      <c r="X16" s="112"/>
      <c r="Y16" s="112"/>
      <c r="Z16" s="112"/>
      <c r="AA16" s="153" t="s">
        <v>150</v>
      </c>
      <c r="AB16" s="153" t="n">
        <v>18.66</v>
      </c>
      <c r="AC16" s="162" t="s">
        <v>852</v>
      </c>
      <c r="AD16" s="153" t="n">
        <v>24.26445</v>
      </c>
      <c r="AE16" s="153" t="n">
        <v>76.30182</v>
      </c>
    </row>
    <row r="17" customFormat="false" ht="15" hidden="false" customHeight="false" outlineLevel="0" collapsed="false">
      <c r="A17" s="160" t="s">
        <v>415</v>
      </c>
      <c r="B17" s="160" t="s">
        <v>1104</v>
      </c>
      <c r="C17" s="160" t="s">
        <v>1105</v>
      </c>
      <c r="D17" s="160" t="s">
        <v>1133</v>
      </c>
      <c r="E17" s="160" t="s">
        <v>1134</v>
      </c>
      <c r="F17" s="160" t="n">
        <v>157.38</v>
      </c>
      <c r="G17" s="160" t="n">
        <v>16</v>
      </c>
      <c r="H17" s="160" t="n">
        <v>58</v>
      </c>
      <c r="I17" s="160" t="n">
        <v>31</v>
      </c>
      <c r="J17" s="160" t="n">
        <v>27</v>
      </c>
      <c r="K17" s="160" t="n">
        <v>0</v>
      </c>
      <c r="L17" s="112" t="n">
        <f aca="false">K17/H17*100</f>
        <v>0</v>
      </c>
      <c r="M17" s="160" t="n">
        <v>0</v>
      </c>
      <c r="N17" s="112" t="n">
        <f aca="false">M17/H17*100</f>
        <v>0</v>
      </c>
      <c r="O17" s="160" t="n">
        <v>1.93</v>
      </c>
      <c r="P17" s="160" t="n">
        <v>67.67</v>
      </c>
      <c r="Q17" s="153" t="s">
        <v>45</v>
      </c>
      <c r="R17" s="153" t="s">
        <v>1108</v>
      </c>
      <c r="S17" s="160"/>
      <c r="T17" s="153" t="n">
        <v>28.576</v>
      </c>
      <c r="U17" s="112"/>
      <c r="V17" s="112"/>
      <c r="W17" s="112"/>
      <c r="X17" s="112"/>
      <c r="Y17" s="112"/>
      <c r="Z17" s="112"/>
      <c r="AA17" s="153" t="s">
        <v>150</v>
      </c>
      <c r="AB17" s="153" t="n">
        <v>28.576</v>
      </c>
      <c r="AC17" s="162" t="s">
        <v>852</v>
      </c>
      <c r="AD17" s="153" t="n">
        <v>24.26177</v>
      </c>
      <c r="AE17" s="153" t="n">
        <v>76.35706</v>
      </c>
    </row>
    <row r="18" customFormat="false" ht="15" hidden="false" customHeight="false" outlineLevel="0" collapsed="false">
      <c r="A18" s="160" t="s">
        <v>415</v>
      </c>
      <c r="B18" s="160" t="s">
        <v>1104</v>
      </c>
      <c r="C18" s="160" t="s">
        <v>1105</v>
      </c>
      <c r="D18" s="160" t="s">
        <v>1135</v>
      </c>
      <c r="E18" s="160" t="s">
        <v>1136</v>
      </c>
      <c r="F18" s="160" t="n">
        <v>222.26</v>
      </c>
      <c r="G18" s="160" t="n">
        <v>83</v>
      </c>
      <c r="H18" s="160" t="n">
        <v>328</v>
      </c>
      <c r="I18" s="160" t="n">
        <v>162</v>
      </c>
      <c r="J18" s="160" t="n">
        <v>166</v>
      </c>
      <c r="K18" s="160" t="n">
        <v>0</v>
      </c>
      <c r="L18" s="112" t="n">
        <f aca="false">K18/H18*100</f>
        <v>0</v>
      </c>
      <c r="M18" s="160" t="n">
        <v>0</v>
      </c>
      <c r="N18" s="112" t="n">
        <f aca="false">M18/H18*100</f>
        <v>0</v>
      </c>
      <c r="O18" s="160" t="n">
        <v>29.39</v>
      </c>
      <c r="P18" s="160" t="n">
        <v>0</v>
      </c>
      <c r="Q18" s="153" t="s">
        <v>45</v>
      </c>
      <c r="R18" s="153" t="s">
        <v>1108</v>
      </c>
      <c r="S18" s="160"/>
      <c r="T18" s="153" t="n">
        <v>9.02</v>
      </c>
      <c r="U18" s="112"/>
      <c r="V18" s="112"/>
      <c r="W18" s="112"/>
      <c r="X18" s="112"/>
      <c r="Y18" s="112"/>
      <c r="Z18" s="112"/>
      <c r="AA18" s="153" t="s">
        <v>150</v>
      </c>
      <c r="AB18" s="153" t="n">
        <v>9.02</v>
      </c>
      <c r="AC18" s="162" t="s">
        <v>852</v>
      </c>
      <c r="AD18" s="153" t="n">
        <v>24.26559</v>
      </c>
      <c r="AE18" s="153" t="n">
        <v>76.35</v>
      </c>
    </row>
    <row r="19" customFormat="false" ht="15" hidden="false" customHeight="false" outlineLevel="0" collapsed="false">
      <c r="A19" s="160" t="s">
        <v>415</v>
      </c>
      <c r="B19" s="160" t="s">
        <v>1104</v>
      </c>
      <c r="C19" s="160" t="s">
        <v>1105</v>
      </c>
      <c r="D19" s="160" t="s">
        <v>1137</v>
      </c>
      <c r="E19" s="160" t="s">
        <v>1138</v>
      </c>
      <c r="F19" s="160" t="n">
        <v>110.95</v>
      </c>
      <c r="G19" s="160" t="n">
        <v>72</v>
      </c>
      <c r="H19" s="160" t="n">
        <v>263</v>
      </c>
      <c r="I19" s="160" t="n">
        <v>136</v>
      </c>
      <c r="J19" s="160" t="n">
        <v>127</v>
      </c>
      <c r="K19" s="160" t="n">
        <v>0</v>
      </c>
      <c r="L19" s="112" t="n">
        <f aca="false">K19/H19*100</f>
        <v>0</v>
      </c>
      <c r="M19" s="160" t="n">
        <v>0</v>
      </c>
      <c r="N19" s="112" t="n">
        <f aca="false">M19/H19*100</f>
        <v>0</v>
      </c>
      <c r="O19" s="160" t="n">
        <v>11.48</v>
      </c>
      <c r="P19" s="160" t="n">
        <v>0</v>
      </c>
      <c r="Q19" s="11"/>
      <c r="R19" s="11"/>
      <c r="S19" s="160"/>
      <c r="T19" s="11"/>
      <c r="U19" s="112"/>
      <c r="V19" s="112"/>
      <c r="W19" s="112"/>
      <c r="X19" s="112"/>
      <c r="Y19" s="112"/>
      <c r="Z19" s="112"/>
      <c r="AA19" s="11"/>
      <c r="AB19" s="11"/>
      <c r="AC19" s="162" t="s">
        <v>852</v>
      </c>
      <c r="AD19" s="11"/>
      <c r="AE19" s="11"/>
    </row>
    <row r="20" customFormat="false" ht="15" hidden="false" customHeight="false" outlineLevel="0" collapsed="false">
      <c r="A20" s="160" t="s">
        <v>415</v>
      </c>
      <c r="B20" s="160" t="s">
        <v>1104</v>
      </c>
      <c r="C20" s="160" t="s">
        <v>1104</v>
      </c>
      <c r="D20" s="161" t="s">
        <v>1139</v>
      </c>
      <c r="E20" s="160" t="s">
        <v>1140</v>
      </c>
      <c r="F20" s="160" t="n">
        <v>0</v>
      </c>
      <c r="G20" s="160" t="n">
        <v>0</v>
      </c>
      <c r="H20" s="160" t="n">
        <v>0</v>
      </c>
      <c r="I20" s="160" t="n">
        <v>0</v>
      </c>
      <c r="J20" s="160" t="n">
        <v>0</v>
      </c>
      <c r="K20" s="160" t="n">
        <v>0</v>
      </c>
      <c r="L20" s="112"/>
      <c r="M20" s="160" t="n">
        <v>0</v>
      </c>
      <c r="N20" s="112"/>
      <c r="O20" s="160" t="n">
        <v>0</v>
      </c>
      <c r="P20" s="160" t="n">
        <v>0</v>
      </c>
      <c r="Q20" s="150" t="s">
        <v>45</v>
      </c>
      <c r="R20" s="163" t="n">
        <v>44413</v>
      </c>
      <c r="S20" s="160"/>
      <c r="T20" s="150" t="n">
        <v>20</v>
      </c>
      <c r="U20" s="112"/>
      <c r="V20" s="112"/>
      <c r="W20" s="112"/>
      <c r="X20" s="112"/>
      <c r="Y20" s="112"/>
      <c r="Z20" s="112"/>
      <c r="AA20" s="150" t="s">
        <v>45</v>
      </c>
      <c r="AB20" s="150" t="n">
        <v>20</v>
      </c>
      <c r="AC20" s="162" t="s">
        <v>852</v>
      </c>
      <c r="AD20" s="150" t="n">
        <v>24.283596</v>
      </c>
      <c r="AE20" s="150" t="n">
        <v>76.240067</v>
      </c>
    </row>
    <row r="21" customFormat="false" ht="15" hidden="false" customHeight="false" outlineLevel="0" collapsed="false">
      <c r="A21" s="160" t="s">
        <v>415</v>
      </c>
      <c r="B21" s="160" t="s">
        <v>1104</v>
      </c>
      <c r="C21" s="160" t="s">
        <v>1104</v>
      </c>
      <c r="D21" s="160" t="s">
        <v>1141</v>
      </c>
      <c r="E21" s="160" t="s">
        <v>1142</v>
      </c>
      <c r="F21" s="160" t="n">
        <v>92.89</v>
      </c>
      <c r="G21" s="160" t="n">
        <v>0</v>
      </c>
      <c r="H21" s="160" t="n">
        <v>0</v>
      </c>
      <c r="I21" s="160" t="n">
        <v>0</v>
      </c>
      <c r="J21" s="160" t="n">
        <v>0</v>
      </c>
      <c r="K21" s="160" t="n">
        <v>0</v>
      </c>
      <c r="L21" s="112"/>
      <c r="M21" s="160" t="n">
        <v>0</v>
      </c>
      <c r="N21" s="112"/>
      <c r="O21" s="160" t="n">
        <v>0</v>
      </c>
      <c r="P21" s="160" t="n">
        <v>0</v>
      </c>
      <c r="Q21" s="11"/>
      <c r="R21" s="11"/>
      <c r="S21" s="160"/>
      <c r="T21" s="11"/>
      <c r="U21" s="112"/>
      <c r="V21" s="112"/>
      <c r="W21" s="112"/>
      <c r="X21" s="112"/>
      <c r="Y21" s="112"/>
      <c r="Z21" s="112"/>
      <c r="AA21" s="11"/>
      <c r="AB21" s="11"/>
      <c r="AC21" s="162" t="s">
        <v>852</v>
      </c>
      <c r="AD21" s="11"/>
      <c r="AE21" s="11"/>
    </row>
    <row r="22" customFormat="false" ht="15" hidden="false" customHeight="false" outlineLevel="0" collapsed="false">
      <c r="A22" s="160" t="s">
        <v>415</v>
      </c>
      <c r="B22" s="160" t="s">
        <v>1104</v>
      </c>
      <c r="C22" s="160" t="s">
        <v>1143</v>
      </c>
      <c r="D22" s="161" t="s">
        <v>1144</v>
      </c>
      <c r="E22" s="160" t="s">
        <v>1145</v>
      </c>
      <c r="F22" s="160" t="n">
        <v>1005.45</v>
      </c>
      <c r="G22" s="160" t="n">
        <v>684</v>
      </c>
      <c r="H22" s="160" t="n">
        <v>3076</v>
      </c>
      <c r="I22" s="160" t="n">
        <v>1573</v>
      </c>
      <c r="J22" s="160" t="n">
        <v>1503</v>
      </c>
      <c r="K22" s="160" t="n">
        <v>398</v>
      </c>
      <c r="L22" s="112" t="n">
        <f aca="false">K22/H22*100</f>
        <v>12.9388816644994</v>
      </c>
      <c r="M22" s="160" t="n">
        <v>84</v>
      </c>
      <c r="N22" s="112" t="n">
        <f aca="false">M22/H22*100</f>
        <v>2.73081924577373</v>
      </c>
      <c r="O22" s="160" t="n">
        <v>149.77</v>
      </c>
      <c r="P22" s="160" t="n">
        <v>13.56</v>
      </c>
      <c r="Q22" s="152" t="s">
        <v>45</v>
      </c>
      <c r="R22" s="164" t="n">
        <v>44414</v>
      </c>
      <c r="S22" s="160"/>
      <c r="T22" s="165" t="n">
        <v>6</v>
      </c>
      <c r="U22" s="112"/>
      <c r="V22" s="112" t="s">
        <v>43</v>
      </c>
      <c r="W22" s="112"/>
      <c r="X22" s="112"/>
      <c r="Y22" s="112"/>
      <c r="Z22" s="112"/>
      <c r="AA22" s="165" t="s">
        <v>43</v>
      </c>
      <c r="AB22" s="165" t="n">
        <v>6</v>
      </c>
      <c r="AC22" s="162" t="s">
        <v>852</v>
      </c>
      <c r="AD22" s="152" t="n">
        <v>24.223118</v>
      </c>
      <c r="AE22" s="152" t="n">
        <v>76.221612</v>
      </c>
    </row>
    <row r="23" customFormat="false" ht="15" hidden="false" customHeight="false" outlineLevel="0" collapsed="false">
      <c r="A23" s="160"/>
      <c r="B23" s="160"/>
      <c r="C23" s="160"/>
      <c r="D23" s="161"/>
      <c r="E23" s="160"/>
      <c r="F23" s="160"/>
      <c r="G23" s="160"/>
      <c r="H23" s="160"/>
      <c r="I23" s="160"/>
      <c r="J23" s="160"/>
      <c r="K23" s="160"/>
      <c r="L23" s="112"/>
      <c r="M23" s="160"/>
      <c r="N23" s="112"/>
      <c r="O23" s="160"/>
      <c r="P23" s="160"/>
      <c r="Q23" s="149" t="s">
        <v>45</v>
      </c>
      <c r="R23" s="166" t="n">
        <v>44414</v>
      </c>
      <c r="S23" s="160"/>
      <c r="T23" s="167" t="n">
        <v>20</v>
      </c>
      <c r="U23" s="112"/>
      <c r="V23" s="112"/>
      <c r="W23" s="112"/>
      <c r="X23" s="112"/>
      <c r="Y23" s="112"/>
      <c r="Z23" s="112"/>
      <c r="AA23" s="167" t="s">
        <v>45</v>
      </c>
      <c r="AB23" s="167" t="n">
        <v>20</v>
      </c>
      <c r="AC23" s="162" t="s">
        <v>852</v>
      </c>
      <c r="AD23" s="149" t="n">
        <v>24.218344</v>
      </c>
      <c r="AE23" s="149" t="n">
        <v>76.22093</v>
      </c>
    </row>
    <row r="24" customFormat="false" ht="15" hidden="false" customHeight="false" outlineLevel="0" collapsed="false">
      <c r="A24" s="160"/>
      <c r="B24" s="160"/>
      <c r="C24" s="160"/>
      <c r="D24" s="161"/>
      <c r="E24" s="160"/>
      <c r="F24" s="160"/>
      <c r="G24" s="160"/>
      <c r="H24" s="160"/>
      <c r="I24" s="160"/>
      <c r="J24" s="160"/>
      <c r="K24" s="160"/>
      <c r="L24" s="112"/>
      <c r="M24" s="160"/>
      <c r="N24" s="112"/>
      <c r="O24" s="160"/>
      <c r="P24" s="160"/>
      <c r="Q24" s="152" t="s">
        <v>45</v>
      </c>
      <c r="R24" s="164" t="n">
        <v>44414</v>
      </c>
      <c r="S24" s="160"/>
      <c r="T24" s="165" t="n">
        <v>13</v>
      </c>
      <c r="U24" s="112"/>
      <c r="V24" s="112"/>
      <c r="W24" s="112"/>
      <c r="X24" s="112"/>
      <c r="Y24" s="112"/>
      <c r="Z24" s="112"/>
      <c r="AA24" s="165" t="s">
        <v>43</v>
      </c>
      <c r="AB24" s="165" t="n">
        <v>13</v>
      </c>
      <c r="AC24" s="162" t="s">
        <v>852</v>
      </c>
      <c r="AD24" s="152" t="n">
        <v>24.217607</v>
      </c>
      <c r="AE24" s="152" t="n">
        <v>76.220768</v>
      </c>
    </row>
    <row r="25" customFormat="false" ht="15" hidden="false" customHeight="false" outlineLevel="0" collapsed="false">
      <c r="A25" s="160" t="s">
        <v>415</v>
      </c>
      <c r="B25" s="160" t="s">
        <v>1104</v>
      </c>
      <c r="C25" s="160" t="s">
        <v>1143</v>
      </c>
      <c r="D25" s="160" t="s">
        <v>1146</v>
      </c>
      <c r="E25" s="160" t="s">
        <v>1147</v>
      </c>
      <c r="F25" s="160" t="n">
        <v>195.99</v>
      </c>
      <c r="G25" s="160" t="n">
        <v>96</v>
      </c>
      <c r="H25" s="160" t="n">
        <v>450</v>
      </c>
      <c r="I25" s="160" t="n">
        <v>224</v>
      </c>
      <c r="J25" s="160" t="n">
        <v>226</v>
      </c>
      <c r="K25" s="160" t="n">
        <v>55</v>
      </c>
      <c r="L25" s="112" t="n">
        <f aca="false">K25/H25*100</f>
        <v>12.2222222222222</v>
      </c>
      <c r="M25" s="160" t="n">
        <v>0</v>
      </c>
      <c r="N25" s="112" t="n">
        <f aca="false">M25/H25*100</f>
        <v>0</v>
      </c>
      <c r="O25" s="160" t="n">
        <v>15.28</v>
      </c>
      <c r="P25" s="160" t="n">
        <v>0</v>
      </c>
      <c r="Q25" s="149" t="s">
        <v>45</v>
      </c>
      <c r="R25" s="166" t="n">
        <v>44414</v>
      </c>
      <c r="S25" s="160"/>
      <c r="T25" s="167" t="n">
        <v>1.5</v>
      </c>
      <c r="U25" s="112"/>
      <c r="V25" s="112"/>
      <c r="W25" s="112"/>
      <c r="X25" s="112"/>
      <c r="Y25" s="112"/>
      <c r="Z25" s="112"/>
      <c r="AA25" s="167" t="s">
        <v>45</v>
      </c>
      <c r="AB25" s="167" t="n">
        <v>1.5</v>
      </c>
      <c r="AC25" s="162" t="s">
        <v>852</v>
      </c>
      <c r="AD25" s="149" t="n">
        <v>24.23156</v>
      </c>
      <c r="AE25" s="149" t="n">
        <v>76.235878</v>
      </c>
    </row>
    <row r="26" customFormat="false" ht="15" hidden="false" customHeight="false" outlineLevel="0" collapsed="false">
      <c r="A26" s="160" t="s">
        <v>415</v>
      </c>
      <c r="B26" s="160" t="s">
        <v>1104</v>
      </c>
      <c r="C26" s="160" t="s">
        <v>1143</v>
      </c>
      <c r="D26" s="160" t="s">
        <v>1148</v>
      </c>
      <c r="E26" s="160" t="s">
        <v>1149</v>
      </c>
      <c r="F26" s="160" t="n">
        <v>115.18</v>
      </c>
      <c r="G26" s="160" t="n">
        <v>27</v>
      </c>
      <c r="H26" s="160" t="n">
        <v>117</v>
      </c>
      <c r="I26" s="160" t="n">
        <v>67</v>
      </c>
      <c r="J26" s="160" t="n">
        <v>50</v>
      </c>
      <c r="K26" s="160" t="n">
        <v>0</v>
      </c>
      <c r="L26" s="112" t="n">
        <f aca="false">K26/H26*100</f>
        <v>0</v>
      </c>
      <c r="M26" s="160" t="n">
        <v>0</v>
      </c>
      <c r="N26" s="112" t="n">
        <f aca="false">M26/H26*100</f>
        <v>0</v>
      </c>
      <c r="O26" s="160" t="n">
        <v>28.56</v>
      </c>
      <c r="P26" s="160" t="n">
        <v>0</v>
      </c>
      <c r="Q26" s="149" t="s">
        <v>45</v>
      </c>
      <c r="R26" s="166" t="n">
        <v>44421</v>
      </c>
      <c r="S26" s="160"/>
      <c r="T26" s="167" t="n">
        <v>3</v>
      </c>
      <c r="U26" s="112"/>
      <c r="V26" s="112"/>
      <c r="W26" s="112"/>
      <c r="X26" s="112"/>
      <c r="Y26" s="112"/>
      <c r="Z26" s="112"/>
      <c r="AA26" s="167" t="s">
        <v>45</v>
      </c>
      <c r="AB26" s="167" t="n">
        <v>3</v>
      </c>
      <c r="AC26" s="162" t="s">
        <v>852</v>
      </c>
      <c r="AD26" s="149" t="n">
        <v>24.219277</v>
      </c>
      <c r="AE26" s="149" t="n">
        <v>76.224748</v>
      </c>
    </row>
    <row r="27" customFormat="false" ht="15" hidden="false" customHeight="false" outlineLevel="0" collapsed="false">
      <c r="A27" s="160" t="s">
        <v>415</v>
      </c>
      <c r="B27" s="160" t="s">
        <v>1104</v>
      </c>
      <c r="C27" s="160" t="s">
        <v>1150</v>
      </c>
      <c r="D27" s="161" t="s">
        <v>1151</v>
      </c>
      <c r="E27" s="160" t="s">
        <v>1152</v>
      </c>
      <c r="F27" s="160" t="n">
        <v>237.86</v>
      </c>
      <c r="G27" s="160" t="n">
        <v>280</v>
      </c>
      <c r="H27" s="160" t="n">
        <v>1043</v>
      </c>
      <c r="I27" s="160" t="n">
        <v>526</v>
      </c>
      <c r="J27" s="160" t="n">
        <v>517</v>
      </c>
      <c r="K27" s="160" t="n">
        <v>440</v>
      </c>
      <c r="L27" s="112" t="n">
        <f aca="false">K27/H27*100</f>
        <v>42.1860019175455</v>
      </c>
      <c r="M27" s="160" t="n">
        <v>329</v>
      </c>
      <c r="N27" s="112" t="n">
        <f aca="false">M27/H27*100</f>
        <v>31.5436241610738</v>
      </c>
      <c r="O27" s="160" t="n">
        <v>35.44</v>
      </c>
      <c r="P27" s="160" t="n">
        <v>0</v>
      </c>
      <c r="Q27" s="168" t="s">
        <v>45</v>
      </c>
      <c r="R27" s="169" t="n">
        <v>44775</v>
      </c>
      <c r="S27" s="160"/>
      <c r="T27" s="11" t="n">
        <v>12</v>
      </c>
      <c r="U27" s="112"/>
      <c r="V27" s="112" t="s">
        <v>43</v>
      </c>
      <c r="W27" s="112"/>
      <c r="X27" s="112"/>
      <c r="Y27" s="112"/>
      <c r="Z27" s="112"/>
      <c r="AA27" s="41" t="s">
        <v>45</v>
      </c>
      <c r="AB27" s="11" t="n">
        <v>12</v>
      </c>
      <c r="AC27" s="162" t="s">
        <v>852</v>
      </c>
      <c r="AD27" s="170" t="n">
        <v>24.39248</v>
      </c>
      <c r="AE27" s="170" t="n">
        <v>76.26156</v>
      </c>
    </row>
    <row r="28" customFormat="false" ht="15" hidden="false" customHeight="false" outlineLevel="0" collapsed="false">
      <c r="A28" s="160"/>
      <c r="B28" s="160"/>
      <c r="C28" s="160"/>
      <c r="D28" s="161"/>
      <c r="E28" s="160"/>
      <c r="F28" s="160"/>
      <c r="G28" s="160"/>
      <c r="H28" s="160"/>
      <c r="I28" s="160"/>
      <c r="J28" s="160"/>
      <c r="K28" s="160"/>
      <c r="L28" s="112"/>
      <c r="M28" s="160"/>
      <c r="N28" s="112"/>
      <c r="O28" s="160"/>
      <c r="P28" s="160"/>
      <c r="Q28" s="153" t="s">
        <v>45</v>
      </c>
      <c r="R28" s="171" t="n">
        <v>44867</v>
      </c>
      <c r="S28" s="160"/>
      <c r="T28" s="153" t="n">
        <v>15</v>
      </c>
      <c r="U28" s="112"/>
      <c r="V28" s="112"/>
      <c r="W28" s="112"/>
      <c r="X28" s="112"/>
      <c r="Y28" s="112"/>
      <c r="Z28" s="112"/>
      <c r="AA28" s="153" t="s">
        <v>45</v>
      </c>
      <c r="AB28" s="153" t="n">
        <v>15</v>
      </c>
      <c r="AC28" s="162" t="s">
        <v>852</v>
      </c>
      <c r="AD28" s="153" t="n">
        <v>24.400347</v>
      </c>
      <c r="AE28" s="153" t="n">
        <v>76.213707</v>
      </c>
    </row>
    <row r="29" customFormat="false" ht="15" hidden="false" customHeight="false" outlineLevel="0" collapsed="false">
      <c r="A29" s="160" t="s">
        <v>415</v>
      </c>
      <c r="B29" s="160" t="s">
        <v>1104</v>
      </c>
      <c r="C29" s="160" t="s">
        <v>1150</v>
      </c>
      <c r="D29" s="160" t="s">
        <v>1153</v>
      </c>
      <c r="E29" s="160" t="s">
        <v>1154</v>
      </c>
      <c r="F29" s="160" t="n">
        <v>248.86</v>
      </c>
      <c r="G29" s="160" t="n">
        <v>149</v>
      </c>
      <c r="H29" s="160" t="n">
        <v>631</v>
      </c>
      <c r="I29" s="160" t="n">
        <v>316</v>
      </c>
      <c r="J29" s="160" t="n">
        <v>315</v>
      </c>
      <c r="K29" s="160" t="n">
        <v>68</v>
      </c>
      <c r="L29" s="112" t="n">
        <f aca="false">K29/H29*100</f>
        <v>10.7765451664025</v>
      </c>
      <c r="M29" s="160" t="n">
        <v>83</v>
      </c>
      <c r="N29" s="112" t="n">
        <f aca="false">M29/H29*100</f>
        <v>13.1537242472266</v>
      </c>
      <c r="O29" s="160" t="n">
        <v>14.91</v>
      </c>
      <c r="P29" s="160" t="n">
        <v>0</v>
      </c>
      <c r="Q29" s="172" t="s">
        <v>45</v>
      </c>
      <c r="R29" s="173" t="n">
        <v>44653</v>
      </c>
      <c r="S29" s="160"/>
      <c r="T29" s="153" t="n">
        <v>1</v>
      </c>
      <c r="U29" s="112"/>
      <c r="V29" s="112"/>
      <c r="W29" s="112"/>
      <c r="X29" s="112"/>
      <c r="Y29" s="112"/>
      <c r="Z29" s="112"/>
      <c r="AA29" s="153" t="s">
        <v>82</v>
      </c>
      <c r="AB29" s="153" t="n">
        <v>1</v>
      </c>
      <c r="AC29" s="162" t="s">
        <v>852</v>
      </c>
      <c r="AD29" s="174" t="n">
        <v>24.38733</v>
      </c>
      <c r="AE29" s="174" t="n">
        <v>76.23166</v>
      </c>
    </row>
    <row r="30" customFormat="false" ht="15" hidden="false" customHeight="false" outlineLevel="0" collapsed="false">
      <c r="A30" s="160" t="s">
        <v>415</v>
      </c>
      <c r="B30" s="160" t="s">
        <v>1104</v>
      </c>
      <c r="C30" s="160" t="s">
        <v>1150</v>
      </c>
      <c r="D30" s="160" t="s">
        <v>1121</v>
      </c>
      <c r="E30" s="160" t="s">
        <v>1155</v>
      </c>
      <c r="F30" s="160" t="n">
        <v>112.17</v>
      </c>
      <c r="G30" s="160" t="n">
        <v>73</v>
      </c>
      <c r="H30" s="160" t="n">
        <v>383</v>
      </c>
      <c r="I30" s="160" t="n">
        <v>192</v>
      </c>
      <c r="J30" s="160" t="n">
        <v>191</v>
      </c>
      <c r="K30" s="160" t="n">
        <v>50</v>
      </c>
      <c r="L30" s="112" t="n">
        <f aca="false">K30/H30*100</f>
        <v>13.0548302872063</v>
      </c>
      <c r="M30" s="160" t="n">
        <v>0</v>
      </c>
      <c r="N30" s="112" t="n">
        <f aca="false">M30/H30*100</f>
        <v>0</v>
      </c>
      <c r="O30" s="160" t="n">
        <v>20.48</v>
      </c>
      <c r="P30" s="160" t="n">
        <v>0</v>
      </c>
      <c r="Q30" s="175" t="s">
        <v>45</v>
      </c>
      <c r="R30" s="176" t="n">
        <v>44775</v>
      </c>
      <c r="S30" s="160"/>
      <c r="T30" s="10" t="n">
        <v>12</v>
      </c>
      <c r="U30" s="112"/>
      <c r="V30" s="112"/>
      <c r="W30" s="112"/>
      <c r="X30" s="112"/>
      <c r="Y30" s="112"/>
      <c r="Z30" s="112"/>
      <c r="AA30" s="41" t="s">
        <v>45</v>
      </c>
      <c r="AB30" s="10" t="n">
        <v>12</v>
      </c>
      <c r="AC30" s="162" t="s">
        <v>852</v>
      </c>
      <c r="AD30" s="177" t="n">
        <v>24.39248</v>
      </c>
      <c r="AE30" s="177" t="n">
        <v>76.26156</v>
      </c>
    </row>
    <row r="31" customFormat="false" ht="15" hidden="false" customHeight="false" outlineLevel="0" collapsed="false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12"/>
      <c r="M31" s="160"/>
      <c r="N31" s="112"/>
      <c r="O31" s="160"/>
      <c r="P31" s="160"/>
      <c r="Q31" s="172" t="s">
        <v>45</v>
      </c>
      <c r="R31" s="173" t="n">
        <v>44775</v>
      </c>
      <c r="S31" s="160"/>
      <c r="T31" s="153" t="n">
        <v>3</v>
      </c>
      <c r="U31" s="112"/>
      <c r="V31" s="112"/>
      <c r="W31" s="112"/>
      <c r="X31" s="112"/>
      <c r="Y31" s="112"/>
      <c r="Z31" s="112"/>
      <c r="AA31" s="153" t="s">
        <v>82</v>
      </c>
      <c r="AB31" s="153" t="n">
        <v>3</v>
      </c>
      <c r="AC31" s="162" t="s">
        <v>852</v>
      </c>
      <c r="AD31" s="174" t="n">
        <v>24.39248</v>
      </c>
      <c r="AE31" s="174" t="n">
        <v>76.26156</v>
      </c>
    </row>
    <row r="32" customFormat="false" ht="15" hidden="false" customHeight="false" outlineLevel="0" collapsed="false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12"/>
      <c r="M32" s="160"/>
      <c r="N32" s="112"/>
      <c r="O32" s="160"/>
      <c r="P32" s="160"/>
      <c r="Q32" s="168" t="s">
        <v>45</v>
      </c>
      <c r="R32" s="169" t="n">
        <v>44775</v>
      </c>
      <c r="S32" s="160"/>
      <c r="T32" s="11" t="n">
        <v>12</v>
      </c>
      <c r="U32" s="112"/>
      <c r="V32" s="112"/>
      <c r="W32" s="112"/>
      <c r="X32" s="112"/>
      <c r="Y32" s="112"/>
      <c r="Z32" s="112"/>
      <c r="AA32" s="41" t="s">
        <v>45</v>
      </c>
      <c r="AB32" s="11" t="n">
        <v>12</v>
      </c>
      <c r="AC32" s="162" t="s">
        <v>852</v>
      </c>
      <c r="AD32" s="170" t="n">
        <v>24.39248</v>
      </c>
      <c r="AE32" s="170" t="n">
        <v>76.26156</v>
      </c>
    </row>
    <row r="33" customFormat="false" ht="15" hidden="false" customHeight="false" outlineLevel="0" collapsed="false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12"/>
      <c r="M33" s="160"/>
      <c r="N33" s="112"/>
      <c r="O33" s="160"/>
      <c r="P33" s="160"/>
      <c r="Q33" s="172" t="s">
        <v>45</v>
      </c>
      <c r="R33" s="173" t="n">
        <v>44653</v>
      </c>
      <c r="S33" s="160"/>
      <c r="T33" s="153" t="n">
        <v>10</v>
      </c>
      <c r="U33" s="112"/>
      <c r="V33" s="112"/>
      <c r="W33" s="112"/>
      <c r="X33" s="112"/>
      <c r="Y33" s="112"/>
      <c r="Z33" s="112"/>
      <c r="AA33" s="153" t="s">
        <v>82</v>
      </c>
      <c r="AB33" s="153" t="n">
        <v>10</v>
      </c>
      <c r="AC33" s="162" t="s">
        <v>852</v>
      </c>
      <c r="AD33" s="174" t="n">
        <v>24.400307</v>
      </c>
      <c r="AE33" s="174" t="n">
        <v>76.213699</v>
      </c>
    </row>
    <row r="34" customFormat="false" ht="15" hidden="false" customHeight="false" outlineLevel="0" collapsed="false">
      <c r="A34" s="160" t="s">
        <v>415</v>
      </c>
      <c r="B34" s="160" t="s">
        <v>1104</v>
      </c>
      <c r="C34" s="160" t="s">
        <v>1150</v>
      </c>
      <c r="D34" s="160" t="s">
        <v>1156</v>
      </c>
      <c r="E34" s="160" t="s">
        <v>1157</v>
      </c>
      <c r="F34" s="160" t="n">
        <v>214</v>
      </c>
      <c r="G34" s="160" t="n">
        <v>136</v>
      </c>
      <c r="H34" s="160" t="n">
        <v>738</v>
      </c>
      <c r="I34" s="160" t="n">
        <v>363</v>
      </c>
      <c r="J34" s="160" t="n">
        <v>375</v>
      </c>
      <c r="K34" s="160" t="n">
        <v>48</v>
      </c>
      <c r="L34" s="112" t="n">
        <f aca="false">K34/H34*100</f>
        <v>6.50406504065041</v>
      </c>
      <c r="M34" s="160" t="n">
        <v>0</v>
      </c>
      <c r="N34" s="112" t="n">
        <f aca="false">M34/H34*100</f>
        <v>0</v>
      </c>
      <c r="O34" s="160" t="n">
        <v>51.45</v>
      </c>
      <c r="P34" s="160" t="n">
        <v>0</v>
      </c>
      <c r="Q34" s="11"/>
      <c r="R34" s="11"/>
      <c r="S34" s="160"/>
      <c r="T34" s="11"/>
      <c r="U34" s="112"/>
      <c r="V34" s="112" t="s">
        <v>43</v>
      </c>
      <c r="W34" s="112"/>
      <c r="X34" s="112"/>
      <c r="Y34" s="112"/>
      <c r="Z34" s="112"/>
      <c r="AA34" s="11"/>
      <c r="AB34" s="11"/>
      <c r="AC34" s="162" t="s">
        <v>852</v>
      </c>
      <c r="AD34" s="11"/>
      <c r="AE34" s="11"/>
    </row>
    <row r="35" customFormat="false" ht="15" hidden="false" customHeight="false" outlineLevel="0" collapsed="false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12"/>
      <c r="M35" s="160"/>
      <c r="N35" s="112"/>
      <c r="O35" s="160"/>
      <c r="P35" s="160"/>
      <c r="Q35" s="153" t="s">
        <v>45</v>
      </c>
      <c r="R35" s="171" t="n">
        <v>44653</v>
      </c>
      <c r="S35" s="160"/>
      <c r="T35" s="153" t="n">
        <v>9</v>
      </c>
      <c r="U35" s="112"/>
      <c r="V35" s="112"/>
      <c r="W35" s="112"/>
      <c r="X35" s="112"/>
      <c r="Y35" s="112"/>
      <c r="Z35" s="112"/>
      <c r="AA35" s="153" t="s">
        <v>45</v>
      </c>
      <c r="AB35" s="153" t="n">
        <v>9</v>
      </c>
      <c r="AC35" s="162" t="s">
        <v>852</v>
      </c>
      <c r="AD35" s="153" t="n">
        <v>24.3929</v>
      </c>
      <c r="AE35" s="153" t="n">
        <v>76.24221</v>
      </c>
    </row>
    <row r="36" customFormat="false" ht="15" hidden="false" customHeight="false" outlineLevel="0" collapsed="false">
      <c r="A36" s="160" t="s">
        <v>415</v>
      </c>
      <c r="B36" s="160" t="s">
        <v>1104</v>
      </c>
      <c r="C36" s="160" t="s">
        <v>1150</v>
      </c>
      <c r="D36" s="160" t="s">
        <v>1158</v>
      </c>
      <c r="E36" s="160" t="s">
        <v>1159</v>
      </c>
      <c r="F36" s="160" t="n">
        <v>253.26</v>
      </c>
      <c r="G36" s="160" t="n">
        <v>134</v>
      </c>
      <c r="H36" s="160" t="n">
        <v>663</v>
      </c>
      <c r="I36" s="160" t="n">
        <v>324</v>
      </c>
      <c r="J36" s="160" t="n">
        <v>339</v>
      </c>
      <c r="K36" s="160" t="n">
        <v>98</v>
      </c>
      <c r="L36" s="112" t="n">
        <f aca="false">K36/H36*100</f>
        <v>14.7812971342383</v>
      </c>
      <c r="M36" s="160" t="n">
        <v>118</v>
      </c>
      <c r="N36" s="112" t="n">
        <f aca="false">M36/H36*100</f>
        <v>17.7978883861237</v>
      </c>
      <c r="O36" s="160" t="n">
        <v>53.58</v>
      </c>
      <c r="P36" s="160" t="n">
        <v>0</v>
      </c>
      <c r="Q36" s="172" t="s">
        <v>45</v>
      </c>
      <c r="R36" s="173" t="n">
        <v>44806</v>
      </c>
      <c r="S36" s="160"/>
      <c r="T36" s="153" t="n">
        <v>14</v>
      </c>
      <c r="U36" s="112"/>
      <c r="V36" s="112"/>
      <c r="W36" s="112"/>
      <c r="X36" s="112"/>
      <c r="Y36" s="112"/>
      <c r="Z36" s="112"/>
      <c r="AA36" s="153" t="s">
        <v>82</v>
      </c>
      <c r="AB36" s="153" t="n">
        <v>14</v>
      </c>
      <c r="AC36" s="162" t="s">
        <v>852</v>
      </c>
      <c r="AD36" s="174" t="n">
        <v>24.39989</v>
      </c>
      <c r="AE36" s="174" t="n">
        <v>76.25886</v>
      </c>
    </row>
    <row r="37" customFormat="false" ht="15" hidden="false" customHeight="false" outlineLevel="0" collapsed="false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12"/>
      <c r="M37" s="160"/>
      <c r="N37" s="112"/>
      <c r="O37" s="160"/>
      <c r="P37" s="160"/>
      <c r="Q37" s="168" t="s">
        <v>45</v>
      </c>
      <c r="R37" s="169" t="n">
        <v>44806</v>
      </c>
      <c r="S37" s="160"/>
      <c r="T37" s="11" t="n">
        <v>4</v>
      </c>
      <c r="U37" s="112"/>
      <c r="V37" s="112"/>
      <c r="W37" s="112"/>
      <c r="X37" s="112"/>
      <c r="Y37" s="112"/>
      <c r="Z37" s="112"/>
      <c r="AA37" s="41" t="s">
        <v>45</v>
      </c>
      <c r="AB37" s="11" t="n">
        <v>4</v>
      </c>
      <c r="AC37" s="162" t="s">
        <v>852</v>
      </c>
      <c r="AD37" s="170" t="n">
        <v>24.39989</v>
      </c>
      <c r="AE37" s="170" t="n">
        <v>76.25886</v>
      </c>
    </row>
    <row r="38" customFormat="false" ht="15" hidden="false" customHeight="false" outlineLevel="0" collapsed="false">
      <c r="A38" s="160" t="s">
        <v>415</v>
      </c>
      <c r="B38" s="160" t="s">
        <v>1104</v>
      </c>
      <c r="C38" s="160" t="s">
        <v>1150</v>
      </c>
      <c r="D38" s="160" t="s">
        <v>376</v>
      </c>
      <c r="E38" s="160" t="s">
        <v>1160</v>
      </c>
      <c r="F38" s="160" t="n">
        <v>387.62</v>
      </c>
      <c r="G38" s="160" t="n">
        <v>102</v>
      </c>
      <c r="H38" s="160" t="n">
        <v>510</v>
      </c>
      <c r="I38" s="160" t="n">
        <v>234</v>
      </c>
      <c r="J38" s="160" t="n">
        <v>276</v>
      </c>
      <c r="K38" s="160" t="n">
        <v>168</v>
      </c>
      <c r="L38" s="112" t="n">
        <f aca="false">K38/H38*100</f>
        <v>32.9411764705882</v>
      </c>
      <c r="M38" s="160" t="n">
        <v>160</v>
      </c>
      <c r="N38" s="112" t="n">
        <f aca="false">M38/H38*100</f>
        <v>31.3725490196078</v>
      </c>
      <c r="O38" s="160" t="n">
        <v>24.28</v>
      </c>
      <c r="P38" s="160" t="n">
        <v>0</v>
      </c>
      <c r="Q38" s="168" t="s">
        <v>45</v>
      </c>
      <c r="R38" s="169" t="n">
        <v>44836</v>
      </c>
      <c r="S38" s="160"/>
      <c r="T38" s="11" t="n">
        <v>2</v>
      </c>
      <c r="U38" s="112"/>
      <c r="V38" s="112"/>
      <c r="W38" s="112"/>
      <c r="X38" s="112"/>
      <c r="Y38" s="112"/>
      <c r="Z38" s="112"/>
      <c r="AA38" s="41" t="s">
        <v>45</v>
      </c>
      <c r="AB38" s="11" t="n">
        <v>2</v>
      </c>
      <c r="AC38" s="162" t="s">
        <v>852</v>
      </c>
      <c r="AD38" s="170" t="n">
        <v>24.40145</v>
      </c>
      <c r="AE38" s="170" t="n">
        <v>76.2328</v>
      </c>
    </row>
    <row r="39" customFormat="false" ht="15" hidden="false" customHeight="false" outlineLevel="0" collapsed="false">
      <c r="A39" s="160" t="s">
        <v>415</v>
      </c>
      <c r="B39" s="160" t="s">
        <v>1104</v>
      </c>
      <c r="C39" s="160" t="s">
        <v>1161</v>
      </c>
      <c r="D39" s="161" t="s">
        <v>1162</v>
      </c>
      <c r="E39" s="160" t="s">
        <v>1163</v>
      </c>
      <c r="F39" s="160" t="n">
        <v>166.57</v>
      </c>
      <c r="G39" s="160" t="n">
        <v>95</v>
      </c>
      <c r="H39" s="160" t="n">
        <v>431</v>
      </c>
      <c r="I39" s="160" t="n">
        <v>236</v>
      </c>
      <c r="J39" s="160" t="n">
        <v>195</v>
      </c>
      <c r="K39" s="160" t="n">
        <v>4</v>
      </c>
      <c r="L39" s="112" t="n">
        <f aca="false">K39/H39*100</f>
        <v>0.928074245939675</v>
      </c>
      <c r="M39" s="160" t="n">
        <v>253</v>
      </c>
      <c r="N39" s="112" t="n">
        <f aca="false">M39/H39*100</f>
        <v>58.7006960556845</v>
      </c>
      <c r="O39" s="160" t="n">
        <v>40.9</v>
      </c>
      <c r="P39" s="160" t="n">
        <v>0</v>
      </c>
      <c r="Q39" s="12" t="s">
        <v>45</v>
      </c>
      <c r="R39" s="20" t="n">
        <v>44294</v>
      </c>
      <c r="S39" s="160"/>
      <c r="T39" s="12" t="n">
        <v>2</v>
      </c>
      <c r="U39" s="112"/>
      <c r="V39" s="112"/>
      <c r="W39" s="112"/>
      <c r="X39" s="112"/>
      <c r="Y39" s="112"/>
      <c r="Z39" s="112"/>
      <c r="AA39" s="150" t="s">
        <v>150</v>
      </c>
      <c r="AB39" s="12" t="n">
        <v>2</v>
      </c>
      <c r="AC39" s="162" t="s">
        <v>852</v>
      </c>
      <c r="AD39" s="12" t="n">
        <v>24.229459</v>
      </c>
      <c r="AE39" s="12" t="n">
        <v>76.2686943</v>
      </c>
    </row>
    <row r="40" customFormat="false" ht="15" hidden="false" customHeight="false" outlineLevel="0" collapsed="false">
      <c r="A40" s="160" t="s">
        <v>415</v>
      </c>
      <c r="B40" s="160" t="s">
        <v>1104</v>
      </c>
      <c r="C40" s="160" t="s">
        <v>1161</v>
      </c>
      <c r="D40" s="160" t="s">
        <v>1164</v>
      </c>
      <c r="E40" s="160" t="s">
        <v>1165</v>
      </c>
      <c r="F40" s="160" t="n">
        <v>393.14</v>
      </c>
      <c r="G40" s="160" t="n">
        <v>158</v>
      </c>
      <c r="H40" s="160" t="n">
        <v>793</v>
      </c>
      <c r="I40" s="160" t="n">
        <v>412</v>
      </c>
      <c r="J40" s="160" t="n">
        <v>381</v>
      </c>
      <c r="K40" s="160" t="n">
        <v>0</v>
      </c>
      <c r="L40" s="112" t="n">
        <f aca="false">K40/H40*100</f>
        <v>0</v>
      </c>
      <c r="M40" s="160" t="n">
        <v>11</v>
      </c>
      <c r="N40" s="112" t="n">
        <f aca="false">M40/H40*100</f>
        <v>1.38713745271122</v>
      </c>
      <c r="O40" s="160" t="n">
        <v>61.41</v>
      </c>
      <c r="P40" s="160" t="n">
        <v>0</v>
      </c>
      <c r="Q40" s="12" t="s">
        <v>45</v>
      </c>
      <c r="R40" s="20" t="n">
        <v>44294</v>
      </c>
      <c r="S40" s="160"/>
      <c r="T40" s="12" t="n">
        <v>2</v>
      </c>
      <c r="U40" s="112"/>
      <c r="V40" s="112"/>
      <c r="W40" s="112"/>
      <c r="X40" s="112"/>
      <c r="Y40" s="112"/>
      <c r="Z40" s="112"/>
      <c r="AA40" s="150" t="s">
        <v>150</v>
      </c>
      <c r="AB40" s="12" t="n">
        <v>2</v>
      </c>
      <c r="AC40" s="162" t="s">
        <v>852</v>
      </c>
      <c r="AD40" s="12" t="n">
        <v>24.2219551</v>
      </c>
      <c r="AE40" s="12" t="n">
        <v>76.269494</v>
      </c>
    </row>
    <row r="41" customFormat="false" ht="15" hidden="false" customHeight="false" outlineLevel="0" collapsed="false">
      <c r="A41" s="160" t="s">
        <v>415</v>
      </c>
      <c r="B41" s="160" t="s">
        <v>1104</v>
      </c>
      <c r="C41" s="160" t="s">
        <v>1161</v>
      </c>
      <c r="D41" s="160" t="s">
        <v>1166</v>
      </c>
      <c r="E41" s="160" t="s">
        <v>1167</v>
      </c>
      <c r="F41" s="160" t="n">
        <v>200.32</v>
      </c>
      <c r="G41" s="160" t="n">
        <v>120</v>
      </c>
      <c r="H41" s="160" t="n">
        <v>555</v>
      </c>
      <c r="I41" s="160" t="n">
        <v>308</v>
      </c>
      <c r="J41" s="160" t="n">
        <v>247</v>
      </c>
      <c r="K41" s="160" t="n">
        <v>43</v>
      </c>
      <c r="L41" s="112" t="n">
        <f aca="false">K41/H41*100</f>
        <v>7.74774774774775</v>
      </c>
      <c r="M41" s="160" t="n">
        <v>13</v>
      </c>
      <c r="N41" s="112" t="n">
        <f aca="false">M41/H41*100</f>
        <v>2.34234234234234</v>
      </c>
      <c r="O41" s="160" t="n">
        <v>56.33</v>
      </c>
      <c r="P41" s="160" t="n">
        <v>19.31</v>
      </c>
      <c r="Q41" s="11"/>
      <c r="R41" s="11"/>
      <c r="S41" s="160"/>
      <c r="T41" s="11"/>
      <c r="U41" s="112"/>
      <c r="V41" s="112"/>
      <c r="W41" s="112"/>
      <c r="X41" s="112"/>
      <c r="Y41" s="112"/>
      <c r="Z41" s="112"/>
      <c r="AA41" s="11"/>
      <c r="AB41" s="11"/>
      <c r="AC41" s="162" t="s">
        <v>852</v>
      </c>
      <c r="AD41" s="11"/>
      <c r="AE41" s="11"/>
    </row>
    <row r="42" customFormat="false" ht="15" hidden="false" customHeight="false" outlineLevel="0" collapsed="false">
      <c r="A42" s="160" t="s">
        <v>415</v>
      </c>
      <c r="B42" s="160" t="s">
        <v>1104</v>
      </c>
      <c r="C42" s="160" t="s">
        <v>1161</v>
      </c>
      <c r="D42" s="160" t="s">
        <v>1168</v>
      </c>
      <c r="E42" s="160" t="s">
        <v>1169</v>
      </c>
      <c r="F42" s="160" t="n">
        <v>107.05</v>
      </c>
      <c r="G42" s="160" t="n">
        <v>0</v>
      </c>
      <c r="H42" s="160" t="n">
        <v>0</v>
      </c>
      <c r="I42" s="160" t="n">
        <v>0</v>
      </c>
      <c r="J42" s="160" t="n">
        <v>0</v>
      </c>
      <c r="K42" s="160" t="n">
        <v>0</v>
      </c>
      <c r="L42" s="112"/>
      <c r="M42" s="160" t="n">
        <v>0</v>
      </c>
      <c r="N42" s="112"/>
      <c r="O42" s="160" t="n">
        <v>0</v>
      </c>
      <c r="P42" s="160" t="n">
        <v>0</v>
      </c>
      <c r="Q42" s="11"/>
      <c r="R42" s="11"/>
      <c r="S42" s="160"/>
      <c r="T42" s="11"/>
      <c r="U42" s="112"/>
      <c r="V42" s="112"/>
      <c r="W42" s="112"/>
      <c r="X42" s="112"/>
      <c r="Y42" s="112"/>
      <c r="Z42" s="112"/>
      <c r="AA42" s="11"/>
      <c r="AB42" s="11"/>
      <c r="AC42" s="162" t="s">
        <v>852</v>
      </c>
      <c r="AD42" s="11"/>
      <c r="AE42" s="11"/>
    </row>
    <row r="43" customFormat="false" ht="15" hidden="false" customHeight="false" outlineLevel="0" collapsed="false">
      <c r="A43" s="160" t="s">
        <v>415</v>
      </c>
      <c r="B43" s="160" t="s">
        <v>1104</v>
      </c>
      <c r="C43" s="160" t="s">
        <v>1161</v>
      </c>
      <c r="D43" s="160" t="s">
        <v>1170</v>
      </c>
      <c r="E43" s="160" t="s">
        <v>1171</v>
      </c>
      <c r="F43" s="160" t="n">
        <v>435.88</v>
      </c>
      <c r="G43" s="160" t="n">
        <v>187</v>
      </c>
      <c r="H43" s="160" t="n">
        <v>935</v>
      </c>
      <c r="I43" s="160" t="n">
        <v>464</v>
      </c>
      <c r="J43" s="160" t="n">
        <v>471</v>
      </c>
      <c r="K43" s="160" t="n">
        <v>173</v>
      </c>
      <c r="L43" s="112" t="n">
        <f aca="false">K43/H43*100</f>
        <v>18.5026737967914</v>
      </c>
      <c r="M43" s="160" t="n">
        <v>0</v>
      </c>
      <c r="N43" s="112" t="n">
        <f aca="false">M43/H43*100</f>
        <v>0</v>
      </c>
      <c r="O43" s="160" t="n">
        <v>71.1</v>
      </c>
      <c r="P43" s="160" t="n">
        <v>0</v>
      </c>
      <c r="Q43" s="12" t="s">
        <v>45</v>
      </c>
      <c r="R43" s="20" t="n">
        <v>44294</v>
      </c>
      <c r="S43" s="160"/>
      <c r="T43" s="12" t="n">
        <v>2</v>
      </c>
      <c r="U43" s="112"/>
      <c r="V43" s="112"/>
      <c r="W43" s="112"/>
      <c r="X43" s="112"/>
      <c r="Y43" s="112"/>
      <c r="Z43" s="112"/>
      <c r="AA43" s="150" t="s">
        <v>150</v>
      </c>
      <c r="AB43" s="12" t="n">
        <v>2</v>
      </c>
      <c r="AC43" s="162" t="s">
        <v>852</v>
      </c>
      <c r="AD43" s="12" t="n">
        <v>24.228571</v>
      </c>
      <c r="AE43" s="12" t="n">
        <v>76.255584</v>
      </c>
    </row>
    <row r="44" customFormat="false" ht="15" hidden="false" customHeight="false" outlineLevel="0" collapsed="false">
      <c r="A44" s="160" t="s">
        <v>415</v>
      </c>
      <c r="B44" s="160" t="s">
        <v>1104</v>
      </c>
      <c r="C44" s="160" t="s">
        <v>1161</v>
      </c>
      <c r="D44" s="160" t="s">
        <v>1172</v>
      </c>
      <c r="E44" s="160" t="s">
        <v>1173</v>
      </c>
      <c r="F44" s="160" t="n">
        <v>121.06</v>
      </c>
      <c r="G44" s="160" t="n">
        <v>67</v>
      </c>
      <c r="H44" s="160" t="n">
        <v>273</v>
      </c>
      <c r="I44" s="160" t="n">
        <v>133</v>
      </c>
      <c r="J44" s="160" t="n">
        <v>140</v>
      </c>
      <c r="K44" s="160" t="n">
        <v>61</v>
      </c>
      <c r="L44" s="112" t="n">
        <f aca="false">K44/H44*100</f>
        <v>22.3443223443223</v>
      </c>
      <c r="M44" s="160" t="n">
        <v>0</v>
      </c>
      <c r="N44" s="112" t="n">
        <f aca="false">M44/H44*100</f>
        <v>0</v>
      </c>
      <c r="O44" s="160" t="n">
        <v>8.22</v>
      </c>
      <c r="P44" s="160" t="n">
        <v>44.17</v>
      </c>
      <c r="Q44" s="12" t="s">
        <v>45</v>
      </c>
      <c r="R44" s="20" t="n">
        <v>44294</v>
      </c>
      <c r="S44" s="160"/>
      <c r="T44" s="12" t="n">
        <v>3</v>
      </c>
      <c r="U44" s="112"/>
      <c r="V44" s="112"/>
      <c r="W44" s="112"/>
      <c r="X44" s="112"/>
      <c r="Y44" s="112"/>
      <c r="Z44" s="112"/>
      <c r="AA44" s="150" t="s">
        <v>150</v>
      </c>
      <c r="AB44" s="12" t="n">
        <v>3</v>
      </c>
      <c r="AC44" s="162" t="s">
        <v>852</v>
      </c>
      <c r="AD44" s="12" t="n">
        <v>24.2301761</v>
      </c>
      <c r="AE44" s="12" t="n">
        <v>76.272808</v>
      </c>
    </row>
    <row r="45" customFormat="false" ht="15" hidden="false" customHeight="false" outlineLevel="0" collapsed="false">
      <c r="A45" s="160" t="s">
        <v>415</v>
      </c>
      <c r="B45" s="160" t="s">
        <v>1104</v>
      </c>
      <c r="C45" s="160" t="s">
        <v>1161</v>
      </c>
      <c r="D45" s="160" t="s">
        <v>1174</v>
      </c>
      <c r="E45" s="160" t="s">
        <v>1175</v>
      </c>
      <c r="F45" s="160" t="n">
        <v>180.77</v>
      </c>
      <c r="G45" s="160" t="n">
        <v>120</v>
      </c>
      <c r="H45" s="160" t="n">
        <v>683</v>
      </c>
      <c r="I45" s="160" t="n">
        <v>345</v>
      </c>
      <c r="J45" s="160" t="n">
        <v>338</v>
      </c>
      <c r="K45" s="160" t="n">
        <v>0</v>
      </c>
      <c r="L45" s="112" t="n">
        <f aca="false">K45/H45*100</f>
        <v>0</v>
      </c>
      <c r="M45" s="160" t="n">
        <v>0</v>
      </c>
      <c r="N45" s="112" t="n">
        <f aca="false">M45/H45*100</f>
        <v>0</v>
      </c>
      <c r="O45" s="160" t="n">
        <v>56.26</v>
      </c>
      <c r="P45" s="160" t="n">
        <v>34.4</v>
      </c>
      <c r="Q45" s="12" t="s">
        <v>45</v>
      </c>
      <c r="R45" s="20" t="n">
        <v>44294</v>
      </c>
      <c r="S45" s="160"/>
      <c r="T45" s="12" t="n">
        <v>1</v>
      </c>
      <c r="U45" s="112"/>
      <c r="V45" s="112"/>
      <c r="W45" s="112"/>
      <c r="X45" s="112"/>
      <c r="Y45" s="112"/>
      <c r="Z45" s="112"/>
      <c r="AA45" s="150" t="s">
        <v>150</v>
      </c>
      <c r="AB45" s="12" t="n">
        <v>1</v>
      </c>
      <c r="AC45" s="162" t="s">
        <v>852</v>
      </c>
      <c r="AD45" s="12" t="n">
        <v>24.229321</v>
      </c>
      <c r="AE45" s="12" t="n">
        <v>76.271865</v>
      </c>
    </row>
    <row r="46" customFormat="false" ht="15" hidden="false" customHeight="false" outlineLevel="0" collapsed="false">
      <c r="A46" s="160" t="s">
        <v>415</v>
      </c>
      <c r="B46" s="160" t="s">
        <v>1104</v>
      </c>
      <c r="C46" s="160" t="s">
        <v>1176</v>
      </c>
      <c r="D46" s="161" t="s">
        <v>1177</v>
      </c>
      <c r="E46" s="160" t="s">
        <v>1178</v>
      </c>
      <c r="F46" s="160" t="n">
        <v>322.14</v>
      </c>
      <c r="G46" s="160" t="n">
        <v>260</v>
      </c>
      <c r="H46" s="160" t="n">
        <v>1320</v>
      </c>
      <c r="I46" s="160" t="n">
        <v>665</v>
      </c>
      <c r="J46" s="160" t="n">
        <v>655</v>
      </c>
      <c r="K46" s="160" t="n">
        <v>39</v>
      </c>
      <c r="L46" s="112" t="n">
        <f aca="false">K46/H46*100</f>
        <v>2.95454545454545</v>
      </c>
      <c r="M46" s="160" t="n">
        <v>0</v>
      </c>
      <c r="N46" s="112" t="n">
        <f aca="false">M46/H46*100</f>
        <v>0</v>
      </c>
      <c r="O46" s="160" t="n">
        <v>32.53</v>
      </c>
      <c r="P46" s="160" t="n">
        <v>0</v>
      </c>
      <c r="Q46" s="168" t="s">
        <v>45</v>
      </c>
      <c r="R46" s="168" t="s">
        <v>1179</v>
      </c>
      <c r="S46" s="160"/>
      <c r="T46" s="11" t="n">
        <v>3</v>
      </c>
      <c r="U46" s="112"/>
      <c r="V46" s="112" t="s">
        <v>43</v>
      </c>
      <c r="W46" s="112"/>
      <c r="X46" s="112"/>
      <c r="Y46" s="112"/>
      <c r="Z46" s="112"/>
      <c r="AA46" s="41" t="s">
        <v>45</v>
      </c>
      <c r="AB46" s="11" t="n">
        <v>3</v>
      </c>
      <c r="AC46" s="162" t="s">
        <v>852</v>
      </c>
      <c r="AD46" s="170" t="n">
        <v>24.33091</v>
      </c>
      <c r="AE46" s="170" t="n">
        <v>76.23415</v>
      </c>
    </row>
    <row r="47" customFormat="false" ht="15" hidden="false" customHeight="false" outlineLevel="0" collapsed="false">
      <c r="A47" s="160" t="s">
        <v>415</v>
      </c>
      <c r="B47" s="160" t="s">
        <v>1104</v>
      </c>
      <c r="C47" s="160" t="s">
        <v>1176</v>
      </c>
      <c r="D47" s="160" t="s">
        <v>1180</v>
      </c>
      <c r="E47" s="160" t="s">
        <v>1181</v>
      </c>
      <c r="F47" s="160" t="n">
        <v>165.31</v>
      </c>
      <c r="G47" s="160" t="n">
        <v>37</v>
      </c>
      <c r="H47" s="160" t="n">
        <v>186</v>
      </c>
      <c r="I47" s="160" t="n">
        <v>88</v>
      </c>
      <c r="J47" s="160" t="n">
        <v>98</v>
      </c>
      <c r="K47" s="160" t="n">
        <v>0</v>
      </c>
      <c r="L47" s="112" t="n">
        <f aca="false">K47/H47*100</f>
        <v>0</v>
      </c>
      <c r="M47" s="160" t="n">
        <v>0</v>
      </c>
      <c r="N47" s="112" t="n">
        <f aca="false">M47/H47*100</f>
        <v>0</v>
      </c>
      <c r="O47" s="160" t="n">
        <v>12.63</v>
      </c>
      <c r="P47" s="160" t="n">
        <v>0</v>
      </c>
      <c r="Q47" s="168" t="s">
        <v>45</v>
      </c>
      <c r="R47" s="168" t="s">
        <v>1179</v>
      </c>
      <c r="S47" s="160"/>
      <c r="T47" s="11" t="n">
        <v>1</v>
      </c>
      <c r="U47" s="112"/>
      <c r="V47" s="112"/>
      <c r="W47" s="112"/>
      <c r="X47" s="112"/>
      <c r="Y47" s="112"/>
      <c r="Z47" s="112"/>
      <c r="AA47" s="41" t="s">
        <v>45</v>
      </c>
      <c r="AB47" s="11" t="n">
        <v>1</v>
      </c>
      <c r="AC47" s="162" t="s">
        <v>852</v>
      </c>
      <c r="AD47" s="170"/>
      <c r="AE47" s="170"/>
    </row>
    <row r="48" customFormat="false" ht="15" hidden="false" customHeight="false" outlineLevel="0" collapsed="false">
      <c r="A48" s="160" t="s">
        <v>415</v>
      </c>
      <c r="B48" s="160" t="s">
        <v>1104</v>
      </c>
      <c r="C48" s="160" t="s">
        <v>1176</v>
      </c>
      <c r="D48" s="160" t="s">
        <v>1182</v>
      </c>
      <c r="E48" s="160" t="s">
        <v>1183</v>
      </c>
      <c r="F48" s="160" t="n">
        <v>277.97</v>
      </c>
      <c r="G48" s="160" t="n">
        <v>103</v>
      </c>
      <c r="H48" s="160" t="n">
        <v>402</v>
      </c>
      <c r="I48" s="160" t="n">
        <v>215</v>
      </c>
      <c r="J48" s="160" t="n">
        <v>187</v>
      </c>
      <c r="K48" s="160" t="n">
        <v>0</v>
      </c>
      <c r="L48" s="112" t="n">
        <f aca="false">K48/H48*100</f>
        <v>0</v>
      </c>
      <c r="M48" s="160" t="n">
        <v>0</v>
      </c>
      <c r="N48" s="112" t="n">
        <f aca="false">M48/H48*100</f>
        <v>0</v>
      </c>
      <c r="O48" s="160" t="n">
        <v>30.24</v>
      </c>
      <c r="P48" s="160" t="n">
        <v>0</v>
      </c>
      <c r="Q48" s="168" t="s">
        <v>45</v>
      </c>
      <c r="R48" s="168" t="s">
        <v>1179</v>
      </c>
      <c r="S48" s="160"/>
      <c r="T48" s="11" t="n">
        <v>2</v>
      </c>
      <c r="U48" s="112"/>
      <c r="V48" s="112"/>
      <c r="W48" s="112"/>
      <c r="X48" s="112"/>
      <c r="Y48" s="112"/>
      <c r="Z48" s="112"/>
      <c r="AA48" s="41" t="s">
        <v>45</v>
      </c>
      <c r="AB48" s="11" t="n">
        <v>2</v>
      </c>
      <c r="AC48" s="162" t="s">
        <v>852</v>
      </c>
      <c r="AD48" s="170" t="n">
        <v>24.36643</v>
      </c>
      <c r="AE48" s="170" t="n">
        <v>76.22564</v>
      </c>
    </row>
    <row r="49" customFormat="false" ht="15" hidden="false" customHeight="false" outlineLevel="0" collapsed="false">
      <c r="A49" s="160" t="s">
        <v>415</v>
      </c>
      <c r="B49" s="160" t="s">
        <v>1104</v>
      </c>
      <c r="C49" s="160" t="s">
        <v>1176</v>
      </c>
      <c r="D49" s="160" t="s">
        <v>1184</v>
      </c>
      <c r="E49" s="160" t="s">
        <v>1185</v>
      </c>
      <c r="F49" s="160" t="n">
        <v>535.12</v>
      </c>
      <c r="G49" s="160" t="n">
        <v>262</v>
      </c>
      <c r="H49" s="160" t="n">
        <v>1247</v>
      </c>
      <c r="I49" s="160" t="n">
        <v>650</v>
      </c>
      <c r="J49" s="160" t="n">
        <v>597</v>
      </c>
      <c r="K49" s="160" t="n">
        <v>226</v>
      </c>
      <c r="L49" s="112" t="n">
        <f aca="false">K49/H49*100</f>
        <v>18.1234963913392</v>
      </c>
      <c r="M49" s="160" t="n">
        <v>52</v>
      </c>
      <c r="N49" s="112" t="n">
        <f aca="false">M49/H49*100</f>
        <v>4.17000801924619</v>
      </c>
      <c r="O49" s="160" t="n">
        <v>77.22</v>
      </c>
      <c r="P49" s="160" t="n">
        <v>0</v>
      </c>
      <c r="Q49" s="168" t="s">
        <v>45</v>
      </c>
      <c r="R49" s="168" t="s">
        <v>1179</v>
      </c>
      <c r="S49" s="160"/>
      <c r="T49" s="11" t="n">
        <v>4</v>
      </c>
      <c r="U49" s="112"/>
      <c r="V49" s="112"/>
      <c r="W49" s="112"/>
      <c r="X49" s="112"/>
      <c r="Y49" s="112"/>
      <c r="Z49" s="112"/>
      <c r="AA49" s="41" t="s">
        <v>45</v>
      </c>
      <c r="AB49" s="11" t="n">
        <v>4</v>
      </c>
      <c r="AC49" s="162" t="s">
        <v>852</v>
      </c>
      <c r="AD49" s="170" t="n">
        <v>24.32603</v>
      </c>
      <c r="AE49" s="170" t="n">
        <v>76.19675</v>
      </c>
    </row>
    <row r="50" customFormat="false" ht="15" hidden="false" customHeight="false" outlineLevel="0" collapsed="false">
      <c r="A50" s="160" t="s">
        <v>415</v>
      </c>
      <c r="B50" s="160" t="s">
        <v>1104</v>
      </c>
      <c r="C50" s="160" t="s">
        <v>1176</v>
      </c>
      <c r="D50" s="160" t="s">
        <v>1186</v>
      </c>
      <c r="E50" s="160" t="s">
        <v>1187</v>
      </c>
      <c r="F50" s="160" t="n">
        <v>214.86</v>
      </c>
      <c r="G50" s="160" t="n">
        <v>128</v>
      </c>
      <c r="H50" s="160" t="n">
        <v>713</v>
      </c>
      <c r="I50" s="160" t="n">
        <v>369</v>
      </c>
      <c r="J50" s="160" t="n">
        <v>344</v>
      </c>
      <c r="K50" s="160" t="n">
        <v>52</v>
      </c>
      <c r="L50" s="112" t="n">
        <f aca="false">K50/H50*100</f>
        <v>7.29312762973352</v>
      </c>
      <c r="M50" s="160" t="n">
        <v>318</v>
      </c>
      <c r="N50" s="112" t="n">
        <f aca="false">M50/H50*100</f>
        <v>44.6002805049088</v>
      </c>
      <c r="O50" s="160" t="n">
        <v>44.68</v>
      </c>
      <c r="P50" s="160" t="n">
        <v>0</v>
      </c>
      <c r="Q50" s="168" t="s">
        <v>45</v>
      </c>
      <c r="R50" s="168" t="s">
        <v>1179</v>
      </c>
      <c r="S50" s="160"/>
      <c r="T50" s="11" t="n">
        <v>4</v>
      </c>
      <c r="U50" s="112"/>
      <c r="V50" s="112"/>
      <c r="W50" s="112"/>
      <c r="X50" s="112"/>
      <c r="Y50" s="112"/>
      <c r="Z50" s="112"/>
      <c r="AA50" s="41" t="s">
        <v>45</v>
      </c>
      <c r="AB50" s="11" t="n">
        <v>4</v>
      </c>
      <c r="AC50" s="162" t="s">
        <v>852</v>
      </c>
      <c r="AD50" s="170" t="n">
        <v>24.36292</v>
      </c>
      <c r="AE50" s="170" t="n">
        <v>76.18362</v>
      </c>
    </row>
    <row r="51" customFormat="false" ht="15" hidden="false" customHeight="false" outlineLevel="0" collapsed="false">
      <c r="A51" s="160" t="s">
        <v>415</v>
      </c>
      <c r="B51" s="160" t="s">
        <v>1104</v>
      </c>
      <c r="C51" s="160" t="s">
        <v>1188</v>
      </c>
      <c r="D51" s="161" t="s">
        <v>1189</v>
      </c>
      <c r="E51" s="160" t="s">
        <v>1190</v>
      </c>
      <c r="F51" s="160" t="n">
        <v>131.94</v>
      </c>
      <c r="G51" s="160" t="n">
        <v>121</v>
      </c>
      <c r="H51" s="160" t="n">
        <v>556</v>
      </c>
      <c r="I51" s="160" t="n">
        <v>291</v>
      </c>
      <c r="J51" s="160" t="n">
        <v>265</v>
      </c>
      <c r="K51" s="160" t="n">
        <v>147</v>
      </c>
      <c r="L51" s="112" t="n">
        <f aca="false">K51/H51*100</f>
        <v>26.4388489208633</v>
      </c>
      <c r="M51" s="160" t="n">
        <v>0</v>
      </c>
      <c r="N51" s="112" t="n">
        <f aca="false">M51/H51*100</f>
        <v>0</v>
      </c>
      <c r="O51" s="160" t="n">
        <v>5.72</v>
      </c>
      <c r="P51" s="160" t="n">
        <v>0</v>
      </c>
      <c r="Q51" s="168" t="s">
        <v>45</v>
      </c>
      <c r="R51" s="169" t="n">
        <v>44775</v>
      </c>
      <c r="S51" s="160"/>
      <c r="T51" s="11" t="n">
        <v>2</v>
      </c>
      <c r="U51" s="112"/>
      <c r="V51" s="112"/>
      <c r="W51" s="112"/>
      <c r="X51" s="112"/>
      <c r="Y51" s="112"/>
      <c r="Z51" s="112"/>
      <c r="AA51" s="41" t="s">
        <v>45</v>
      </c>
      <c r="AB51" s="11" t="n">
        <v>2</v>
      </c>
      <c r="AC51" s="162" t="s">
        <v>852</v>
      </c>
      <c r="AD51" s="170" t="n">
        <v>24.38391</v>
      </c>
      <c r="AE51" s="170" t="n">
        <v>76.351886</v>
      </c>
    </row>
    <row r="52" customFormat="false" ht="15" hidden="false" customHeight="false" outlineLevel="0" collapsed="false">
      <c r="A52" s="160" t="s">
        <v>415</v>
      </c>
      <c r="B52" s="160" t="s">
        <v>1104</v>
      </c>
      <c r="C52" s="160" t="s">
        <v>1188</v>
      </c>
      <c r="D52" s="160" t="s">
        <v>318</v>
      </c>
      <c r="E52" s="160" t="s">
        <v>1191</v>
      </c>
      <c r="F52" s="160" t="n">
        <v>183.11</v>
      </c>
      <c r="G52" s="160" t="n">
        <v>44</v>
      </c>
      <c r="H52" s="160" t="n">
        <v>238</v>
      </c>
      <c r="I52" s="160" t="n">
        <v>122</v>
      </c>
      <c r="J52" s="160" t="n">
        <v>116</v>
      </c>
      <c r="K52" s="160" t="n">
        <v>214</v>
      </c>
      <c r="L52" s="112" t="n">
        <f aca="false">K52/H52*100</f>
        <v>89.9159663865546</v>
      </c>
      <c r="M52" s="160" t="n">
        <v>0</v>
      </c>
      <c r="N52" s="112" t="n">
        <f aca="false">M52/H52*100</f>
        <v>0</v>
      </c>
      <c r="O52" s="160" t="n">
        <v>7.13</v>
      </c>
      <c r="P52" s="160" t="n">
        <v>0</v>
      </c>
      <c r="Q52" s="11"/>
      <c r="R52" s="11"/>
      <c r="S52" s="160"/>
      <c r="T52" s="11"/>
      <c r="U52" s="112"/>
      <c r="V52" s="112"/>
      <c r="W52" s="112"/>
      <c r="X52" s="112"/>
      <c r="Y52" s="112"/>
      <c r="Z52" s="112"/>
      <c r="AA52" s="11"/>
      <c r="AB52" s="11"/>
      <c r="AC52" s="162" t="s">
        <v>852</v>
      </c>
      <c r="AD52" s="11"/>
      <c r="AE52" s="11"/>
    </row>
    <row r="53" customFormat="false" ht="15" hidden="false" customHeight="false" outlineLevel="0" collapsed="false">
      <c r="A53" s="160" t="s">
        <v>415</v>
      </c>
      <c r="B53" s="160" t="s">
        <v>1104</v>
      </c>
      <c r="C53" s="160" t="s">
        <v>1188</v>
      </c>
      <c r="D53" s="160" t="s">
        <v>1192</v>
      </c>
      <c r="E53" s="160" t="s">
        <v>1193</v>
      </c>
      <c r="F53" s="160" t="n">
        <v>148.19</v>
      </c>
      <c r="G53" s="160" t="n">
        <v>46</v>
      </c>
      <c r="H53" s="160" t="n">
        <v>253</v>
      </c>
      <c r="I53" s="160" t="n">
        <v>135</v>
      </c>
      <c r="J53" s="160" t="n">
        <v>118</v>
      </c>
      <c r="K53" s="160" t="n">
        <v>11</v>
      </c>
      <c r="L53" s="112" t="n">
        <f aca="false">K53/H53*100</f>
        <v>4.34782608695652</v>
      </c>
      <c r="M53" s="160" t="n">
        <v>0</v>
      </c>
      <c r="N53" s="112" t="n">
        <f aca="false">M53/H53*100</f>
        <v>0</v>
      </c>
      <c r="O53" s="160" t="n">
        <v>10.81</v>
      </c>
      <c r="P53" s="160" t="n">
        <v>9.11</v>
      </c>
      <c r="Q53" s="168" t="s">
        <v>45</v>
      </c>
      <c r="R53" s="169" t="n">
        <v>44868</v>
      </c>
      <c r="S53" s="160"/>
      <c r="T53" s="41" t="n">
        <v>3</v>
      </c>
      <c r="U53" s="112"/>
      <c r="V53" s="112"/>
      <c r="W53" s="112"/>
      <c r="X53" s="112"/>
      <c r="Y53" s="112"/>
      <c r="Z53" s="112"/>
      <c r="AA53" s="41" t="s">
        <v>45</v>
      </c>
      <c r="AB53" s="41" t="n">
        <v>3</v>
      </c>
      <c r="AC53" s="162" t="s">
        <v>852</v>
      </c>
      <c r="AD53" s="170" t="n">
        <v>24.384446</v>
      </c>
      <c r="AE53" s="170" t="n">
        <v>76.352657</v>
      </c>
    </row>
    <row r="54" customFormat="false" ht="15" hidden="false" customHeight="false" outlineLevel="0" collapsed="false">
      <c r="A54" s="160" t="s">
        <v>415</v>
      </c>
      <c r="B54" s="160" t="s">
        <v>1104</v>
      </c>
      <c r="C54" s="160" t="s">
        <v>1188</v>
      </c>
      <c r="D54" s="160" t="s">
        <v>232</v>
      </c>
      <c r="E54" s="160" t="s">
        <v>1194</v>
      </c>
      <c r="F54" s="160" t="n">
        <v>135.76</v>
      </c>
      <c r="G54" s="160" t="n">
        <v>52</v>
      </c>
      <c r="H54" s="160" t="n">
        <v>271</v>
      </c>
      <c r="I54" s="160" t="n">
        <v>139</v>
      </c>
      <c r="J54" s="160" t="n">
        <v>132</v>
      </c>
      <c r="K54" s="160" t="n">
        <v>58</v>
      </c>
      <c r="L54" s="112" t="n">
        <f aca="false">K54/H54*100</f>
        <v>21.4022140221402</v>
      </c>
      <c r="M54" s="160" t="n">
        <v>42</v>
      </c>
      <c r="N54" s="112" t="n">
        <f aca="false">M54/H54*100</f>
        <v>15.4981549815498</v>
      </c>
      <c r="O54" s="160" t="n">
        <v>8.04</v>
      </c>
      <c r="P54" s="160" t="n">
        <v>64.75</v>
      </c>
      <c r="Q54" s="168" t="s">
        <v>45</v>
      </c>
      <c r="R54" s="168" t="s">
        <v>234</v>
      </c>
      <c r="S54" s="160"/>
      <c r="T54" s="41" t="n">
        <v>1</v>
      </c>
      <c r="U54" s="112"/>
      <c r="V54" s="112"/>
      <c r="W54" s="112"/>
      <c r="X54" s="112"/>
      <c r="Y54" s="112"/>
      <c r="Z54" s="112"/>
      <c r="AA54" s="41" t="s">
        <v>45</v>
      </c>
      <c r="AB54" s="41" t="n">
        <v>1</v>
      </c>
      <c r="AC54" s="162" t="s">
        <v>852</v>
      </c>
      <c r="AD54" s="170" t="n">
        <v>24.383133</v>
      </c>
      <c r="AE54" s="170" t="n">
        <v>76.352096</v>
      </c>
    </row>
    <row r="55" customFormat="false" ht="15" hidden="false" customHeight="false" outlineLevel="0" collapsed="false">
      <c r="A55" s="160" t="s">
        <v>415</v>
      </c>
      <c r="B55" s="160" t="s">
        <v>1104</v>
      </c>
      <c r="C55" s="160" t="s">
        <v>1188</v>
      </c>
      <c r="D55" s="160" t="s">
        <v>478</v>
      </c>
      <c r="E55" s="160" t="s">
        <v>1195</v>
      </c>
      <c r="F55" s="160" t="n">
        <v>52.85</v>
      </c>
      <c r="G55" s="160" t="n">
        <v>32</v>
      </c>
      <c r="H55" s="160" t="n">
        <v>191</v>
      </c>
      <c r="I55" s="160" t="n">
        <v>97</v>
      </c>
      <c r="J55" s="160" t="n">
        <v>94</v>
      </c>
      <c r="K55" s="160" t="n">
        <v>0</v>
      </c>
      <c r="L55" s="112" t="n">
        <f aca="false">K55/H55*100</f>
        <v>0</v>
      </c>
      <c r="M55" s="160" t="n">
        <v>0</v>
      </c>
      <c r="N55" s="112" t="n">
        <f aca="false">M55/H55*100</f>
        <v>0</v>
      </c>
      <c r="O55" s="160" t="n">
        <v>5.97</v>
      </c>
      <c r="P55" s="160" t="n">
        <v>0</v>
      </c>
      <c r="Q55" s="11"/>
      <c r="R55" s="11"/>
      <c r="S55" s="160"/>
      <c r="T55" s="11"/>
      <c r="U55" s="112"/>
      <c r="V55" s="112"/>
      <c r="W55" s="112"/>
      <c r="X55" s="112"/>
      <c r="Y55" s="112"/>
      <c r="Z55" s="112"/>
      <c r="AA55" s="11"/>
      <c r="AB55" s="11"/>
      <c r="AC55" s="162" t="s">
        <v>852</v>
      </c>
      <c r="AD55" s="11"/>
      <c r="AE55" s="11"/>
    </row>
    <row r="56" customFormat="false" ht="15" hidden="false" customHeight="false" outlineLevel="0" collapsed="false">
      <c r="A56" s="160" t="s">
        <v>415</v>
      </c>
      <c r="B56" s="160" t="s">
        <v>1104</v>
      </c>
      <c r="C56" s="160" t="s">
        <v>1188</v>
      </c>
      <c r="D56" s="160" t="s">
        <v>1196</v>
      </c>
      <c r="E56" s="160" t="s">
        <v>1197</v>
      </c>
      <c r="F56" s="160" t="n">
        <v>147.43</v>
      </c>
      <c r="G56" s="160" t="n">
        <v>58</v>
      </c>
      <c r="H56" s="160" t="n">
        <v>311</v>
      </c>
      <c r="I56" s="160" t="n">
        <v>157</v>
      </c>
      <c r="J56" s="160" t="n">
        <v>154</v>
      </c>
      <c r="K56" s="160" t="n">
        <v>28</v>
      </c>
      <c r="L56" s="112" t="n">
        <f aca="false">K56/H56*100</f>
        <v>9.0032154340836</v>
      </c>
      <c r="M56" s="160" t="n">
        <v>0</v>
      </c>
      <c r="N56" s="112" t="n">
        <f aca="false">M56/H56*100</f>
        <v>0</v>
      </c>
      <c r="O56" s="160" t="n">
        <v>25.38</v>
      </c>
      <c r="P56" s="160" t="n">
        <v>27.86</v>
      </c>
      <c r="Q56" s="11"/>
      <c r="R56" s="11"/>
      <c r="S56" s="160"/>
      <c r="T56" s="11"/>
      <c r="U56" s="112"/>
      <c r="V56" s="112"/>
      <c r="W56" s="112"/>
      <c r="X56" s="112"/>
      <c r="Y56" s="112"/>
      <c r="Z56" s="112"/>
      <c r="AA56" s="11"/>
      <c r="AB56" s="11"/>
      <c r="AC56" s="162" t="s">
        <v>852</v>
      </c>
      <c r="AD56" s="11"/>
      <c r="AE56" s="11"/>
    </row>
    <row r="57" customFormat="false" ht="15" hidden="false" customHeight="false" outlineLevel="0" collapsed="false">
      <c r="A57" s="160" t="s">
        <v>415</v>
      </c>
      <c r="B57" s="160" t="s">
        <v>1104</v>
      </c>
      <c r="C57" s="160" t="s">
        <v>1188</v>
      </c>
      <c r="D57" s="160" t="s">
        <v>1198</v>
      </c>
      <c r="E57" s="160" t="s">
        <v>1199</v>
      </c>
      <c r="F57" s="160" t="n">
        <v>152.53</v>
      </c>
      <c r="G57" s="160" t="n">
        <v>60</v>
      </c>
      <c r="H57" s="160" t="n">
        <v>273</v>
      </c>
      <c r="I57" s="160" t="n">
        <v>129</v>
      </c>
      <c r="J57" s="160" t="n">
        <v>144</v>
      </c>
      <c r="K57" s="160" t="n">
        <v>0</v>
      </c>
      <c r="L57" s="112" t="n">
        <f aca="false">K57/H57*100</f>
        <v>0</v>
      </c>
      <c r="M57" s="160" t="n">
        <v>0</v>
      </c>
      <c r="N57" s="112" t="n">
        <f aca="false">M57/H57*100</f>
        <v>0</v>
      </c>
      <c r="O57" s="160" t="n">
        <v>1.73</v>
      </c>
      <c r="P57" s="160" t="n">
        <v>65.03</v>
      </c>
      <c r="Q57" s="11"/>
      <c r="R57" s="11"/>
      <c r="S57" s="160"/>
      <c r="T57" s="11"/>
      <c r="U57" s="112"/>
      <c r="V57" s="112"/>
      <c r="W57" s="112"/>
      <c r="X57" s="112"/>
      <c r="Y57" s="112"/>
      <c r="Z57" s="112"/>
      <c r="AA57" s="11"/>
      <c r="AB57" s="11"/>
      <c r="AC57" s="162" t="s">
        <v>852</v>
      </c>
      <c r="AD57" s="11"/>
      <c r="AE57" s="11"/>
    </row>
    <row r="58" customFormat="false" ht="15" hidden="false" customHeight="false" outlineLevel="0" collapsed="false">
      <c r="A58" s="160" t="s">
        <v>415</v>
      </c>
      <c r="B58" s="160" t="s">
        <v>1104</v>
      </c>
      <c r="C58" s="160" t="s">
        <v>1188</v>
      </c>
      <c r="D58" s="160" t="s">
        <v>1200</v>
      </c>
      <c r="E58" s="160" t="s">
        <v>1201</v>
      </c>
      <c r="F58" s="160" t="n">
        <v>235.99</v>
      </c>
      <c r="G58" s="160" t="n">
        <v>106</v>
      </c>
      <c r="H58" s="160" t="n">
        <v>462</v>
      </c>
      <c r="I58" s="160" t="n">
        <v>219</v>
      </c>
      <c r="J58" s="160" t="n">
        <v>243</v>
      </c>
      <c r="K58" s="160" t="n">
        <v>32</v>
      </c>
      <c r="L58" s="112" t="n">
        <f aca="false">K58/H58*100</f>
        <v>6.92640692640693</v>
      </c>
      <c r="M58" s="160" t="n">
        <v>0</v>
      </c>
      <c r="N58" s="112" t="n">
        <f aca="false">M58/H58*100</f>
        <v>0</v>
      </c>
      <c r="O58" s="160" t="n">
        <v>12.71</v>
      </c>
      <c r="P58" s="160" t="n">
        <v>145.07</v>
      </c>
      <c r="Q58" s="168" t="s">
        <v>45</v>
      </c>
      <c r="R58" s="169" t="n">
        <v>44868</v>
      </c>
      <c r="S58" s="160"/>
      <c r="T58" s="11" t="n">
        <v>1</v>
      </c>
      <c r="U58" s="112"/>
      <c r="V58" s="112"/>
      <c r="W58" s="112"/>
      <c r="X58" s="112"/>
      <c r="Y58" s="112"/>
      <c r="Z58" s="112"/>
      <c r="AA58" s="41" t="s">
        <v>45</v>
      </c>
      <c r="AB58" s="11" t="n">
        <v>1</v>
      </c>
      <c r="AC58" s="162" t="s">
        <v>852</v>
      </c>
      <c r="AD58" s="170" t="n">
        <v>24.383123</v>
      </c>
      <c r="AE58" s="170" t="n">
        <v>76.352057</v>
      </c>
    </row>
    <row r="59" customFormat="false" ht="15" hidden="false" customHeight="false" outlineLevel="0" collapsed="false">
      <c r="A59" s="160" t="s">
        <v>415</v>
      </c>
      <c r="B59" s="160" t="s">
        <v>1104</v>
      </c>
      <c r="C59" s="160" t="s">
        <v>1188</v>
      </c>
      <c r="D59" s="160" t="s">
        <v>1202</v>
      </c>
      <c r="E59" s="160" t="s">
        <v>1203</v>
      </c>
      <c r="F59" s="160" t="n">
        <v>127.03</v>
      </c>
      <c r="G59" s="160" t="n">
        <v>96</v>
      </c>
      <c r="H59" s="160" t="n">
        <v>536</v>
      </c>
      <c r="I59" s="160" t="n">
        <v>261</v>
      </c>
      <c r="J59" s="160" t="n">
        <v>275</v>
      </c>
      <c r="K59" s="160" t="n">
        <v>30</v>
      </c>
      <c r="L59" s="112" t="n">
        <f aca="false">K59/H59*100</f>
        <v>5.59701492537313</v>
      </c>
      <c r="M59" s="160" t="n">
        <v>0</v>
      </c>
      <c r="N59" s="112" t="n">
        <f aca="false">M59/H59*100</f>
        <v>0</v>
      </c>
      <c r="O59" s="160" t="n">
        <v>0</v>
      </c>
      <c r="P59" s="160" t="n">
        <v>34.61</v>
      </c>
      <c r="Q59" s="11"/>
      <c r="R59" s="11"/>
      <c r="S59" s="160"/>
      <c r="T59" s="11"/>
      <c r="U59" s="112"/>
      <c r="V59" s="112"/>
      <c r="W59" s="112"/>
      <c r="X59" s="112"/>
      <c r="Y59" s="112"/>
      <c r="Z59" s="112"/>
      <c r="AA59" s="11"/>
      <c r="AB59" s="11"/>
      <c r="AC59" s="162" t="s">
        <v>852</v>
      </c>
      <c r="AD59" s="11"/>
      <c r="AE59" s="11"/>
    </row>
    <row r="60" customFormat="false" ht="15" hidden="false" customHeight="false" outlineLevel="0" collapsed="false">
      <c r="A60" s="160" t="s">
        <v>415</v>
      </c>
      <c r="B60" s="160" t="s">
        <v>1104</v>
      </c>
      <c r="C60" s="160" t="s">
        <v>1188</v>
      </c>
      <c r="D60" s="160" t="s">
        <v>1204</v>
      </c>
      <c r="E60" s="160" t="s">
        <v>1205</v>
      </c>
      <c r="F60" s="160" t="n">
        <v>192.31</v>
      </c>
      <c r="G60" s="160" t="n">
        <v>14</v>
      </c>
      <c r="H60" s="160" t="n">
        <v>50</v>
      </c>
      <c r="I60" s="160" t="n">
        <v>23</v>
      </c>
      <c r="J60" s="160" t="n">
        <v>27</v>
      </c>
      <c r="K60" s="160" t="n">
        <v>0</v>
      </c>
      <c r="L60" s="112" t="n">
        <f aca="false">K60/H60*100</f>
        <v>0</v>
      </c>
      <c r="M60" s="160" t="n">
        <v>36</v>
      </c>
      <c r="N60" s="112" t="n">
        <f aca="false">M60/H60*100</f>
        <v>72</v>
      </c>
      <c r="O60" s="160" t="n">
        <v>0</v>
      </c>
      <c r="P60" s="160" t="n">
        <v>127.23</v>
      </c>
      <c r="Q60" s="11"/>
      <c r="R60" s="11"/>
      <c r="S60" s="160"/>
      <c r="T60" s="11"/>
      <c r="U60" s="112"/>
      <c r="V60" s="112"/>
      <c r="W60" s="112"/>
      <c r="X60" s="112"/>
      <c r="Y60" s="112"/>
      <c r="Z60" s="112"/>
      <c r="AA60" s="11"/>
      <c r="AB60" s="11"/>
      <c r="AC60" s="162" t="s">
        <v>852</v>
      </c>
      <c r="AD60" s="11"/>
      <c r="AE60" s="11"/>
    </row>
    <row r="61" customFormat="false" ht="15" hidden="false" customHeight="false" outlineLevel="0" collapsed="false">
      <c r="A61" s="160" t="s">
        <v>415</v>
      </c>
      <c r="B61" s="160" t="s">
        <v>1104</v>
      </c>
      <c r="C61" s="160" t="s">
        <v>1188</v>
      </c>
      <c r="D61" s="160" t="s">
        <v>293</v>
      </c>
      <c r="E61" s="160" t="s">
        <v>1206</v>
      </c>
      <c r="F61" s="160" t="n">
        <v>106.96</v>
      </c>
      <c r="G61" s="160" t="n">
        <v>53</v>
      </c>
      <c r="H61" s="160" t="n">
        <v>261</v>
      </c>
      <c r="I61" s="160" t="n">
        <v>134</v>
      </c>
      <c r="J61" s="160" t="n">
        <v>127</v>
      </c>
      <c r="K61" s="160" t="n">
        <v>19</v>
      </c>
      <c r="L61" s="112" t="n">
        <f aca="false">K61/H61*100</f>
        <v>7.27969348659004</v>
      </c>
      <c r="M61" s="160" t="n">
        <v>0</v>
      </c>
      <c r="N61" s="112" t="n">
        <f aca="false">M61/H61*100</f>
        <v>0</v>
      </c>
      <c r="O61" s="160" t="n">
        <v>10.44</v>
      </c>
      <c r="P61" s="160" t="n">
        <v>27.2</v>
      </c>
      <c r="Q61" s="150" t="s">
        <v>45</v>
      </c>
      <c r="R61" s="163" t="n">
        <v>44423</v>
      </c>
      <c r="S61" s="160"/>
      <c r="T61" s="150" t="n">
        <v>11.88</v>
      </c>
      <c r="U61" s="112"/>
      <c r="V61" s="112"/>
      <c r="W61" s="112"/>
      <c r="X61" s="112"/>
      <c r="Y61" s="112"/>
      <c r="Z61" s="112"/>
      <c r="AA61" s="150" t="s">
        <v>45</v>
      </c>
      <c r="AB61" s="150" t="n">
        <v>11.88</v>
      </c>
      <c r="AC61" s="162" t="s">
        <v>852</v>
      </c>
      <c r="AD61" s="150" t="n">
        <v>24.407213</v>
      </c>
      <c r="AE61" s="150" t="n">
        <v>76.320525</v>
      </c>
    </row>
    <row r="62" customFormat="false" ht="15" hidden="false" customHeight="false" outlineLevel="0" collapsed="false">
      <c r="A62" s="160" t="s">
        <v>415</v>
      </c>
      <c r="B62" s="160" t="s">
        <v>1104</v>
      </c>
      <c r="C62" s="160" t="s">
        <v>1188</v>
      </c>
      <c r="D62" s="160" t="s">
        <v>1207</v>
      </c>
      <c r="E62" s="160" t="s">
        <v>1208</v>
      </c>
      <c r="F62" s="160" t="n">
        <v>251.37</v>
      </c>
      <c r="G62" s="160" t="n">
        <v>34</v>
      </c>
      <c r="H62" s="160" t="n">
        <v>196</v>
      </c>
      <c r="I62" s="160" t="n">
        <v>95</v>
      </c>
      <c r="J62" s="160" t="n">
        <v>101</v>
      </c>
      <c r="K62" s="160" t="n">
        <v>0</v>
      </c>
      <c r="L62" s="112" t="n">
        <f aca="false">K62/H62*100</f>
        <v>0</v>
      </c>
      <c r="M62" s="160" t="n">
        <v>0</v>
      </c>
      <c r="N62" s="112" t="n">
        <f aca="false">M62/H62*100</f>
        <v>0</v>
      </c>
      <c r="O62" s="160" t="n">
        <v>6.88</v>
      </c>
      <c r="P62" s="160" t="n">
        <v>202.17</v>
      </c>
      <c r="Q62" s="11"/>
      <c r="R62" s="11"/>
      <c r="S62" s="160"/>
      <c r="T62" s="11"/>
      <c r="U62" s="112"/>
      <c r="V62" s="112"/>
      <c r="W62" s="112"/>
      <c r="X62" s="112"/>
      <c r="Y62" s="112"/>
      <c r="Z62" s="112"/>
      <c r="AA62" s="11"/>
      <c r="AB62" s="11"/>
      <c r="AC62" s="162" t="s">
        <v>852</v>
      </c>
      <c r="AD62" s="11"/>
      <c r="AE62" s="11"/>
    </row>
    <row r="63" customFormat="false" ht="15" hidden="false" customHeight="false" outlineLevel="0" collapsed="false">
      <c r="A63" s="160" t="s">
        <v>415</v>
      </c>
      <c r="B63" s="160" t="s">
        <v>1104</v>
      </c>
      <c r="C63" s="160" t="s">
        <v>1188</v>
      </c>
      <c r="D63" s="160" t="s">
        <v>1209</v>
      </c>
      <c r="E63" s="160" t="s">
        <v>1210</v>
      </c>
      <c r="F63" s="160" t="n">
        <v>324.72</v>
      </c>
      <c r="G63" s="160" t="n">
        <v>50</v>
      </c>
      <c r="H63" s="160" t="n">
        <v>234</v>
      </c>
      <c r="I63" s="160" t="n">
        <v>127</v>
      </c>
      <c r="J63" s="160" t="n">
        <v>107</v>
      </c>
      <c r="K63" s="160" t="n">
        <v>29</v>
      </c>
      <c r="L63" s="112" t="n">
        <f aca="false">K63/H63*100</f>
        <v>12.3931623931624</v>
      </c>
      <c r="M63" s="160" t="n">
        <v>0</v>
      </c>
      <c r="N63" s="112" t="n">
        <f aca="false">M63/H63*100</f>
        <v>0</v>
      </c>
      <c r="O63" s="160" t="n">
        <v>7.15</v>
      </c>
      <c r="P63" s="160" t="n">
        <v>261.36</v>
      </c>
      <c r="Q63" s="11"/>
      <c r="R63" s="11"/>
      <c r="S63" s="160"/>
      <c r="T63" s="11"/>
      <c r="U63" s="112"/>
      <c r="V63" s="112"/>
      <c r="W63" s="112"/>
      <c r="X63" s="112"/>
      <c r="Y63" s="112"/>
      <c r="Z63" s="112"/>
      <c r="AA63" s="11"/>
      <c r="AB63" s="11"/>
      <c r="AC63" s="162" t="s">
        <v>852</v>
      </c>
      <c r="AD63" s="11"/>
      <c r="AE63" s="11"/>
    </row>
    <row r="64" customFormat="false" ht="15" hidden="false" customHeight="false" outlineLevel="0" collapsed="false">
      <c r="A64" s="160" t="s">
        <v>415</v>
      </c>
      <c r="B64" s="160" t="s">
        <v>1104</v>
      </c>
      <c r="C64" s="160" t="s">
        <v>1211</v>
      </c>
      <c r="D64" s="161" t="s">
        <v>1212</v>
      </c>
      <c r="E64" s="160" t="s">
        <v>1213</v>
      </c>
      <c r="F64" s="160" t="n">
        <v>544.46</v>
      </c>
      <c r="G64" s="160" t="n">
        <v>233</v>
      </c>
      <c r="H64" s="160" t="n">
        <v>1000</v>
      </c>
      <c r="I64" s="160" t="n">
        <v>517</v>
      </c>
      <c r="J64" s="160" t="n">
        <v>483</v>
      </c>
      <c r="K64" s="160" t="n">
        <v>146</v>
      </c>
      <c r="L64" s="112" t="n">
        <f aca="false">K64/H64*100</f>
        <v>14.6</v>
      </c>
      <c r="M64" s="160" t="n">
        <v>9</v>
      </c>
      <c r="N64" s="112" t="n">
        <f aca="false">M64/H64*100</f>
        <v>0.9</v>
      </c>
      <c r="O64" s="160" t="n">
        <v>81.65</v>
      </c>
      <c r="P64" s="160" t="n">
        <v>196.04</v>
      </c>
      <c r="Q64" s="150" t="s">
        <v>45</v>
      </c>
      <c r="R64" s="163" t="n">
        <v>44424</v>
      </c>
      <c r="S64" s="160"/>
      <c r="T64" s="150" t="n">
        <v>10</v>
      </c>
      <c r="U64" s="112"/>
      <c r="V64" s="112"/>
      <c r="W64" s="112"/>
      <c r="X64" s="112"/>
      <c r="Y64" s="112"/>
      <c r="Z64" s="112"/>
      <c r="AA64" s="150" t="s">
        <v>150</v>
      </c>
      <c r="AB64" s="150" t="n">
        <v>10</v>
      </c>
      <c r="AC64" s="162" t="s">
        <v>852</v>
      </c>
      <c r="AD64" s="150" t="n">
        <v>24.314471</v>
      </c>
      <c r="AE64" s="150" t="n">
        <v>76.283139</v>
      </c>
    </row>
    <row r="65" customFormat="false" ht="15" hidden="false" customHeight="false" outlineLevel="0" collapsed="false">
      <c r="A65" s="160"/>
      <c r="B65" s="160"/>
      <c r="C65" s="160"/>
      <c r="D65" s="161"/>
      <c r="E65" s="160"/>
      <c r="F65" s="160"/>
      <c r="G65" s="160"/>
      <c r="H65" s="160"/>
      <c r="I65" s="160"/>
      <c r="J65" s="160"/>
      <c r="K65" s="160"/>
      <c r="L65" s="112"/>
      <c r="M65" s="160"/>
      <c r="N65" s="112"/>
      <c r="O65" s="160"/>
      <c r="P65" s="160"/>
      <c r="Q65" s="150" t="s">
        <v>45</v>
      </c>
      <c r="R65" s="163" t="n">
        <v>44424</v>
      </c>
      <c r="S65" s="160"/>
      <c r="T65" s="150" t="n">
        <v>30</v>
      </c>
      <c r="U65" s="112"/>
      <c r="V65" s="112"/>
      <c r="W65" s="112"/>
      <c r="X65" s="112"/>
      <c r="Y65" s="112"/>
      <c r="Z65" s="112"/>
      <c r="AA65" s="150" t="s">
        <v>43</v>
      </c>
      <c r="AB65" s="150" t="n">
        <v>30</v>
      </c>
      <c r="AC65" s="162" t="s">
        <v>852</v>
      </c>
      <c r="AD65" s="150" t="n">
        <v>24.316679</v>
      </c>
      <c r="AE65" s="150" t="n">
        <v>76.292295</v>
      </c>
    </row>
    <row r="66" customFormat="false" ht="15" hidden="false" customHeight="false" outlineLevel="0" collapsed="false">
      <c r="A66" s="160"/>
      <c r="B66" s="160"/>
      <c r="C66" s="160"/>
      <c r="D66" s="161"/>
      <c r="E66" s="160"/>
      <c r="F66" s="160"/>
      <c r="G66" s="160"/>
      <c r="H66" s="160"/>
      <c r="I66" s="160"/>
      <c r="J66" s="160"/>
      <c r="K66" s="160"/>
      <c r="L66" s="112"/>
      <c r="M66" s="160"/>
      <c r="N66" s="112"/>
      <c r="O66" s="160"/>
      <c r="P66" s="160"/>
      <c r="Q66" s="150" t="s">
        <v>45</v>
      </c>
      <c r="R66" s="163" t="n">
        <v>44424</v>
      </c>
      <c r="S66" s="160"/>
      <c r="T66" s="150" t="n">
        <v>20</v>
      </c>
      <c r="U66" s="112"/>
      <c r="V66" s="112"/>
      <c r="W66" s="112"/>
      <c r="X66" s="112"/>
      <c r="Y66" s="112"/>
      <c r="Z66" s="112"/>
      <c r="AA66" s="150" t="s">
        <v>43</v>
      </c>
      <c r="AB66" s="150" t="n">
        <v>20</v>
      </c>
      <c r="AC66" s="162" t="s">
        <v>852</v>
      </c>
      <c r="AD66" s="150" t="n">
        <v>24.317118</v>
      </c>
      <c r="AE66" s="150" t="n">
        <v>76.29259</v>
      </c>
    </row>
    <row r="67" customFormat="false" ht="15" hidden="false" customHeight="false" outlineLevel="0" collapsed="false">
      <c r="A67" s="160" t="s">
        <v>415</v>
      </c>
      <c r="B67" s="160" t="s">
        <v>1104</v>
      </c>
      <c r="C67" s="160" t="s">
        <v>1211</v>
      </c>
      <c r="D67" s="160" t="s">
        <v>74</v>
      </c>
      <c r="E67" s="160" t="s">
        <v>1214</v>
      </c>
      <c r="F67" s="160" t="n">
        <v>266.4</v>
      </c>
      <c r="G67" s="160" t="n">
        <v>93</v>
      </c>
      <c r="H67" s="160" t="n">
        <v>376</v>
      </c>
      <c r="I67" s="160" t="n">
        <v>192</v>
      </c>
      <c r="J67" s="160" t="n">
        <v>184</v>
      </c>
      <c r="K67" s="160" t="n">
        <v>40</v>
      </c>
      <c r="L67" s="112" t="n">
        <f aca="false">K67/H67*100</f>
        <v>10.6382978723404</v>
      </c>
      <c r="M67" s="160" t="n">
        <v>0</v>
      </c>
      <c r="N67" s="112" t="n">
        <f aca="false">M67/H67*100</f>
        <v>0</v>
      </c>
      <c r="O67" s="160" t="n">
        <v>21.04</v>
      </c>
      <c r="P67" s="160" t="n">
        <v>0</v>
      </c>
      <c r="Q67" s="11"/>
      <c r="R67" s="11"/>
      <c r="S67" s="160"/>
      <c r="T67" s="11"/>
      <c r="U67" s="112"/>
      <c r="V67" s="112"/>
      <c r="W67" s="112"/>
      <c r="X67" s="112"/>
      <c r="Y67" s="112"/>
      <c r="Z67" s="112"/>
      <c r="AA67" s="11"/>
      <c r="AB67" s="11"/>
      <c r="AC67" s="162" t="s">
        <v>852</v>
      </c>
      <c r="AD67" s="11"/>
      <c r="AE67" s="11"/>
    </row>
    <row r="68" customFormat="false" ht="15" hidden="false" customHeight="false" outlineLevel="0" collapsed="false">
      <c r="A68" s="160" t="s">
        <v>415</v>
      </c>
      <c r="B68" s="160" t="s">
        <v>1104</v>
      </c>
      <c r="C68" s="160" t="s">
        <v>1211</v>
      </c>
      <c r="D68" s="160" t="s">
        <v>1084</v>
      </c>
      <c r="E68" s="160" t="s">
        <v>1215</v>
      </c>
      <c r="F68" s="160" t="n">
        <v>447.35</v>
      </c>
      <c r="G68" s="160" t="n">
        <v>51</v>
      </c>
      <c r="H68" s="160" t="n">
        <v>222</v>
      </c>
      <c r="I68" s="160" t="n">
        <v>112</v>
      </c>
      <c r="J68" s="160" t="n">
        <v>110</v>
      </c>
      <c r="K68" s="160" t="n">
        <v>4</v>
      </c>
      <c r="L68" s="112" t="n">
        <f aca="false">K68/H68*100</f>
        <v>1.8018018018018</v>
      </c>
      <c r="M68" s="160" t="n">
        <v>0</v>
      </c>
      <c r="N68" s="112" t="n">
        <f aca="false">M68/H68*100</f>
        <v>0</v>
      </c>
      <c r="O68" s="160" t="n">
        <v>13.13</v>
      </c>
      <c r="P68" s="160" t="n">
        <v>94.32</v>
      </c>
      <c r="Q68" s="11"/>
      <c r="R68" s="11"/>
      <c r="S68" s="160"/>
      <c r="T68" s="11"/>
      <c r="U68" s="112"/>
      <c r="V68" s="112"/>
      <c r="W68" s="112"/>
      <c r="X68" s="112"/>
      <c r="Y68" s="112"/>
      <c r="Z68" s="112"/>
      <c r="AA68" s="11"/>
      <c r="AB68" s="11"/>
      <c r="AC68" s="162" t="s">
        <v>852</v>
      </c>
      <c r="AD68" s="11"/>
      <c r="AE68" s="11"/>
    </row>
    <row r="69" customFormat="false" ht="15" hidden="false" customHeight="false" outlineLevel="0" collapsed="false">
      <c r="A69" s="160" t="s">
        <v>415</v>
      </c>
      <c r="B69" s="160" t="s">
        <v>1104</v>
      </c>
      <c r="C69" s="160" t="s">
        <v>1211</v>
      </c>
      <c r="D69" s="160" t="s">
        <v>1216</v>
      </c>
      <c r="E69" s="160" t="s">
        <v>1217</v>
      </c>
      <c r="F69" s="160" t="n">
        <v>410.1</v>
      </c>
      <c r="G69" s="160" t="n">
        <v>15</v>
      </c>
      <c r="H69" s="160" t="n">
        <v>68</v>
      </c>
      <c r="I69" s="160" t="n">
        <v>31</v>
      </c>
      <c r="J69" s="160" t="n">
        <v>37</v>
      </c>
      <c r="K69" s="160" t="n">
        <v>0</v>
      </c>
      <c r="L69" s="112" t="n">
        <f aca="false">K69/H69*100</f>
        <v>0</v>
      </c>
      <c r="M69" s="160" t="n">
        <v>0</v>
      </c>
      <c r="N69" s="112" t="n">
        <f aca="false">M69/H69*100</f>
        <v>0</v>
      </c>
      <c r="O69" s="160" t="n">
        <v>6.08</v>
      </c>
      <c r="P69" s="160" t="n">
        <v>127.49</v>
      </c>
      <c r="Q69" s="11"/>
      <c r="R69" s="11"/>
      <c r="S69" s="160"/>
      <c r="T69" s="11"/>
      <c r="U69" s="112"/>
      <c r="V69" s="112"/>
      <c r="W69" s="112"/>
      <c r="X69" s="112"/>
      <c r="Y69" s="112"/>
      <c r="Z69" s="112"/>
      <c r="AA69" s="11"/>
      <c r="AB69" s="11"/>
      <c r="AC69" s="162" t="s">
        <v>852</v>
      </c>
      <c r="AD69" s="11"/>
      <c r="AE69" s="11"/>
    </row>
    <row r="70" customFormat="false" ht="15" hidden="false" customHeight="false" outlineLevel="0" collapsed="false">
      <c r="A70" s="160" t="s">
        <v>415</v>
      </c>
      <c r="B70" s="160" t="s">
        <v>1104</v>
      </c>
      <c r="C70" s="160" t="s">
        <v>1211</v>
      </c>
      <c r="D70" s="160" t="s">
        <v>1218</v>
      </c>
      <c r="E70" s="160" t="s">
        <v>1219</v>
      </c>
      <c r="F70" s="160" t="n">
        <v>193.13</v>
      </c>
      <c r="G70" s="160" t="n">
        <v>154</v>
      </c>
      <c r="H70" s="160" t="n">
        <v>508</v>
      </c>
      <c r="I70" s="160" t="n">
        <v>265</v>
      </c>
      <c r="J70" s="160" t="n">
        <v>243</v>
      </c>
      <c r="K70" s="160" t="n">
        <v>6</v>
      </c>
      <c r="L70" s="112" t="n">
        <f aca="false">K70/H70*100</f>
        <v>1.18110236220472</v>
      </c>
      <c r="M70" s="160" t="n">
        <v>0</v>
      </c>
      <c r="N70" s="112" t="n">
        <f aca="false">M70/H70*100</f>
        <v>0</v>
      </c>
      <c r="O70" s="160" t="n">
        <v>18.22</v>
      </c>
      <c r="P70" s="160" t="n">
        <v>0</v>
      </c>
      <c r="Q70" s="11"/>
      <c r="R70" s="11"/>
      <c r="S70" s="160"/>
      <c r="T70" s="11"/>
      <c r="U70" s="112"/>
      <c r="V70" s="112"/>
      <c r="W70" s="112"/>
      <c r="X70" s="112"/>
      <c r="Y70" s="112"/>
      <c r="Z70" s="112"/>
      <c r="AA70" s="11"/>
      <c r="AB70" s="11"/>
      <c r="AC70" s="162" t="s">
        <v>852</v>
      </c>
      <c r="AD70" s="11"/>
      <c r="AE70" s="11"/>
    </row>
    <row r="71" customFormat="false" ht="15" hidden="false" customHeight="false" outlineLevel="0" collapsed="false">
      <c r="A71" s="160" t="s">
        <v>415</v>
      </c>
      <c r="B71" s="160" t="s">
        <v>1104</v>
      </c>
      <c r="C71" s="160" t="s">
        <v>1211</v>
      </c>
      <c r="D71" s="160" t="s">
        <v>498</v>
      </c>
      <c r="E71" s="160" t="s">
        <v>1220</v>
      </c>
      <c r="F71" s="160" t="n">
        <v>71.04</v>
      </c>
      <c r="G71" s="160" t="n">
        <v>62</v>
      </c>
      <c r="H71" s="160" t="n">
        <v>230</v>
      </c>
      <c r="I71" s="160" t="n">
        <v>115</v>
      </c>
      <c r="J71" s="160" t="n">
        <v>115</v>
      </c>
      <c r="K71" s="160" t="n">
        <v>0</v>
      </c>
      <c r="L71" s="112" t="n">
        <f aca="false">K71/H71*100</f>
        <v>0</v>
      </c>
      <c r="M71" s="160" t="n">
        <v>0</v>
      </c>
      <c r="N71" s="112" t="n">
        <f aca="false">M71/H71*100</f>
        <v>0</v>
      </c>
      <c r="O71" s="160" t="n">
        <v>11.38</v>
      </c>
      <c r="P71" s="160" t="n">
        <v>2.88</v>
      </c>
      <c r="Q71" s="11"/>
      <c r="R71" s="11"/>
      <c r="S71" s="160"/>
      <c r="T71" s="11"/>
      <c r="U71" s="112"/>
      <c r="V71" s="112"/>
      <c r="W71" s="112"/>
      <c r="X71" s="112"/>
      <c r="Y71" s="112"/>
      <c r="Z71" s="112"/>
      <c r="AA71" s="11"/>
      <c r="AB71" s="11"/>
      <c r="AC71" s="162" t="s">
        <v>852</v>
      </c>
      <c r="AD71" s="11"/>
      <c r="AE71" s="11"/>
    </row>
    <row r="72" customFormat="false" ht="15" hidden="false" customHeight="false" outlineLevel="0" collapsed="false">
      <c r="A72" s="160" t="s">
        <v>415</v>
      </c>
      <c r="B72" s="160" t="s">
        <v>1104</v>
      </c>
      <c r="C72" s="160" t="s">
        <v>1211</v>
      </c>
      <c r="D72" s="160" t="s">
        <v>1221</v>
      </c>
      <c r="E72" s="160" t="s">
        <v>1222</v>
      </c>
      <c r="F72" s="160" t="n">
        <v>181.3</v>
      </c>
      <c r="G72" s="160" t="n">
        <v>96</v>
      </c>
      <c r="H72" s="160" t="n">
        <v>348</v>
      </c>
      <c r="I72" s="160" t="n">
        <v>162</v>
      </c>
      <c r="J72" s="160" t="n">
        <v>186</v>
      </c>
      <c r="K72" s="160" t="n">
        <v>0</v>
      </c>
      <c r="L72" s="112" t="n">
        <f aca="false">K72/H72*100</f>
        <v>0</v>
      </c>
      <c r="M72" s="160" t="n">
        <v>0</v>
      </c>
      <c r="N72" s="112" t="n">
        <f aca="false">M72/H72*100</f>
        <v>0</v>
      </c>
      <c r="O72" s="160" t="n">
        <v>24.04</v>
      </c>
      <c r="P72" s="160" t="n">
        <v>23.03</v>
      </c>
      <c r="Q72" s="11"/>
      <c r="R72" s="11"/>
      <c r="S72" s="160"/>
      <c r="T72" s="11"/>
      <c r="U72" s="112"/>
      <c r="V72" s="112"/>
      <c r="W72" s="112"/>
      <c r="X72" s="112"/>
      <c r="Y72" s="112"/>
      <c r="Z72" s="112"/>
      <c r="AA72" s="11"/>
      <c r="AB72" s="11"/>
      <c r="AC72" s="162" t="s">
        <v>852</v>
      </c>
      <c r="AD72" s="11"/>
      <c r="AE72" s="11"/>
    </row>
    <row r="73" customFormat="false" ht="15" hidden="false" customHeight="false" outlineLevel="0" collapsed="false">
      <c r="A73" s="160" t="s">
        <v>415</v>
      </c>
      <c r="B73" s="160" t="s">
        <v>1104</v>
      </c>
      <c r="C73" s="160" t="s">
        <v>1211</v>
      </c>
      <c r="D73" s="160" t="s">
        <v>1223</v>
      </c>
      <c r="E73" s="160" t="s">
        <v>1224</v>
      </c>
      <c r="F73" s="160" t="n">
        <v>36.05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12"/>
      <c r="M73" s="160" t="n">
        <v>0</v>
      </c>
      <c r="N73" s="112"/>
      <c r="O73" s="160" t="n">
        <v>0</v>
      </c>
      <c r="P73" s="160" t="n">
        <v>0</v>
      </c>
      <c r="Q73" s="11"/>
      <c r="R73" s="11"/>
      <c r="S73" s="160"/>
      <c r="T73" s="11"/>
      <c r="U73" s="112"/>
      <c r="V73" s="112"/>
      <c r="W73" s="112"/>
      <c r="X73" s="112"/>
      <c r="Y73" s="112"/>
      <c r="Z73" s="112"/>
      <c r="AA73" s="11"/>
      <c r="AB73" s="11"/>
      <c r="AC73" s="162" t="s">
        <v>852</v>
      </c>
      <c r="AD73" s="11"/>
      <c r="AE73" s="11"/>
    </row>
    <row r="74" customFormat="false" ht="15" hidden="false" customHeight="false" outlineLevel="0" collapsed="false">
      <c r="A74" s="160" t="s">
        <v>415</v>
      </c>
      <c r="B74" s="160" t="s">
        <v>1104</v>
      </c>
      <c r="C74" s="160" t="s">
        <v>1211</v>
      </c>
      <c r="D74" s="160" t="s">
        <v>1225</v>
      </c>
      <c r="E74" s="160" t="s">
        <v>1226</v>
      </c>
      <c r="F74" s="160" t="n">
        <v>453.59</v>
      </c>
      <c r="G74" s="160" t="n">
        <v>196</v>
      </c>
      <c r="H74" s="160" t="n">
        <v>970</v>
      </c>
      <c r="I74" s="160" t="n">
        <v>483</v>
      </c>
      <c r="J74" s="160" t="n">
        <v>487</v>
      </c>
      <c r="K74" s="160" t="n">
        <v>0</v>
      </c>
      <c r="L74" s="112" t="n">
        <f aca="false">K74/H74*100</f>
        <v>0</v>
      </c>
      <c r="M74" s="160" t="n">
        <v>0</v>
      </c>
      <c r="N74" s="112" t="n">
        <f aca="false">M74/H74*100</f>
        <v>0</v>
      </c>
      <c r="O74" s="160" t="n">
        <v>50.47</v>
      </c>
      <c r="P74" s="160" t="n">
        <v>100.45</v>
      </c>
      <c r="Q74" s="11"/>
      <c r="R74" s="11"/>
      <c r="S74" s="160"/>
      <c r="T74" s="11"/>
      <c r="U74" s="112"/>
      <c r="V74" s="112"/>
      <c r="W74" s="112"/>
      <c r="X74" s="112"/>
      <c r="Y74" s="112"/>
      <c r="Z74" s="112"/>
      <c r="AA74" s="11"/>
      <c r="AB74" s="11"/>
      <c r="AC74" s="162" t="s">
        <v>852</v>
      </c>
      <c r="AD74" s="11"/>
      <c r="AE74" s="11"/>
    </row>
    <row r="75" customFormat="false" ht="15" hidden="false" customHeight="false" outlineLevel="0" collapsed="false">
      <c r="A75" s="160" t="s">
        <v>415</v>
      </c>
      <c r="B75" s="160" t="s">
        <v>1104</v>
      </c>
      <c r="C75" s="160" t="s">
        <v>1227</v>
      </c>
      <c r="D75" s="161" t="s">
        <v>1228</v>
      </c>
      <c r="E75" s="160" t="s">
        <v>1229</v>
      </c>
      <c r="F75" s="160" t="n">
        <v>708.47</v>
      </c>
      <c r="G75" s="160" t="n">
        <v>223</v>
      </c>
      <c r="H75" s="160" t="n">
        <v>1076</v>
      </c>
      <c r="I75" s="160" t="n">
        <v>566</v>
      </c>
      <c r="J75" s="160" t="n">
        <v>510</v>
      </c>
      <c r="K75" s="160" t="n">
        <v>169</v>
      </c>
      <c r="L75" s="112" t="n">
        <f aca="false">K75/H75*100</f>
        <v>15.7063197026022</v>
      </c>
      <c r="M75" s="160" t="n">
        <v>213</v>
      </c>
      <c r="N75" s="112" t="n">
        <f aca="false">M75/H75*100</f>
        <v>19.7955390334573</v>
      </c>
      <c r="O75" s="160" t="n">
        <v>43.79</v>
      </c>
      <c r="P75" s="160" t="n">
        <v>409.35</v>
      </c>
      <c r="Q75" s="178" t="s">
        <v>45</v>
      </c>
      <c r="R75" s="179" t="n">
        <v>44410</v>
      </c>
      <c r="S75" s="160"/>
      <c r="T75" s="150" t="n">
        <v>10</v>
      </c>
      <c r="U75" s="112"/>
      <c r="V75" s="112"/>
      <c r="W75" s="112"/>
      <c r="X75" s="112"/>
      <c r="Y75" s="112"/>
      <c r="Z75" s="112"/>
      <c r="AA75" s="150" t="s">
        <v>150</v>
      </c>
      <c r="AB75" s="150" t="n">
        <v>10</v>
      </c>
      <c r="AC75" s="162" t="s">
        <v>852</v>
      </c>
      <c r="AD75" s="150" t="n">
        <v>24.343808</v>
      </c>
      <c r="AE75" s="150" t="n">
        <v>76.349287</v>
      </c>
    </row>
    <row r="76" customFormat="false" ht="15" hidden="false" customHeight="false" outlineLevel="0" collapsed="false">
      <c r="A76" s="160" t="s">
        <v>415</v>
      </c>
      <c r="B76" s="160" t="s">
        <v>1104</v>
      </c>
      <c r="C76" s="160" t="s">
        <v>1227</v>
      </c>
      <c r="D76" s="160" t="s">
        <v>376</v>
      </c>
      <c r="E76" s="160" t="s">
        <v>1230</v>
      </c>
      <c r="F76" s="160" t="n">
        <v>387.49</v>
      </c>
      <c r="G76" s="160" t="n">
        <v>84</v>
      </c>
      <c r="H76" s="160" t="n">
        <v>365</v>
      </c>
      <c r="I76" s="160" t="n">
        <v>188</v>
      </c>
      <c r="J76" s="160" t="n">
        <v>177</v>
      </c>
      <c r="K76" s="160" t="n">
        <v>158</v>
      </c>
      <c r="L76" s="112" t="n">
        <f aca="false">K76/H76*100</f>
        <v>43.2876712328767</v>
      </c>
      <c r="M76" s="160" t="n">
        <v>0</v>
      </c>
      <c r="N76" s="112" t="n">
        <f aca="false">M76/H76*100</f>
        <v>0</v>
      </c>
      <c r="O76" s="160" t="n">
        <v>67.1</v>
      </c>
      <c r="P76" s="160" t="n">
        <v>63.13</v>
      </c>
      <c r="Q76" s="12" t="s">
        <v>45</v>
      </c>
      <c r="R76" s="20" t="n">
        <v>44235</v>
      </c>
      <c r="S76" s="160"/>
      <c r="T76" s="11" t="n">
        <v>1</v>
      </c>
      <c r="U76" s="112"/>
      <c r="V76" s="112"/>
      <c r="W76" s="112"/>
      <c r="X76" s="112"/>
      <c r="Y76" s="112"/>
      <c r="Z76" s="112"/>
      <c r="AA76" s="150" t="s">
        <v>150</v>
      </c>
      <c r="AB76" s="11" t="n">
        <v>1</v>
      </c>
      <c r="AC76" s="162" t="s">
        <v>852</v>
      </c>
      <c r="AD76" s="11" t="n">
        <v>24.309371</v>
      </c>
      <c r="AE76" s="11" t="n">
        <v>76.356071</v>
      </c>
    </row>
    <row r="77" customFormat="false" ht="15" hidden="false" customHeight="false" outlineLevel="0" collapsed="false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12"/>
      <c r="M77" s="160"/>
      <c r="N77" s="112"/>
      <c r="O77" s="160"/>
      <c r="P77" s="160"/>
      <c r="Q77" s="153" t="s">
        <v>45</v>
      </c>
      <c r="R77" s="171" t="n">
        <v>44235</v>
      </c>
      <c r="S77" s="160"/>
      <c r="T77" s="153" t="n">
        <v>4.912</v>
      </c>
      <c r="U77" s="112"/>
      <c r="V77" s="112"/>
      <c r="W77" s="112"/>
      <c r="X77" s="112"/>
      <c r="Y77" s="112"/>
      <c r="Z77" s="112"/>
      <c r="AA77" s="153" t="s">
        <v>150</v>
      </c>
      <c r="AB77" s="153" t="n">
        <v>4.912</v>
      </c>
      <c r="AC77" s="162" t="s">
        <v>852</v>
      </c>
      <c r="AD77" s="153" t="n">
        <v>24.3117</v>
      </c>
      <c r="AE77" s="153" t="n">
        <v>76.355</v>
      </c>
    </row>
    <row r="78" customFormat="false" ht="15" hidden="false" customHeight="false" outlineLevel="0" collapsed="false">
      <c r="A78" s="160" t="s">
        <v>415</v>
      </c>
      <c r="B78" s="160" t="s">
        <v>1104</v>
      </c>
      <c r="C78" s="160" t="s">
        <v>1227</v>
      </c>
      <c r="D78" s="160" t="s">
        <v>1231</v>
      </c>
      <c r="E78" s="160" t="s">
        <v>1232</v>
      </c>
      <c r="F78" s="160" t="n">
        <v>477.43</v>
      </c>
      <c r="G78" s="160" t="n">
        <v>132</v>
      </c>
      <c r="H78" s="160" t="n">
        <v>628</v>
      </c>
      <c r="I78" s="160" t="n">
        <v>329</v>
      </c>
      <c r="J78" s="160" t="n">
        <v>299</v>
      </c>
      <c r="K78" s="160" t="n">
        <v>80</v>
      </c>
      <c r="L78" s="112" t="n">
        <f aca="false">K78/H78*100</f>
        <v>12.7388535031847</v>
      </c>
      <c r="M78" s="160" t="n">
        <v>0</v>
      </c>
      <c r="N78" s="112" t="n">
        <f aca="false">M78/H78*100</f>
        <v>0</v>
      </c>
      <c r="O78" s="160" t="n">
        <v>23.69</v>
      </c>
      <c r="P78" s="160" t="n">
        <v>262.18</v>
      </c>
      <c r="Q78" s="12" t="s">
        <v>150</v>
      </c>
      <c r="R78" s="20" t="n">
        <v>44235</v>
      </c>
      <c r="S78" s="160"/>
      <c r="T78" s="11" t="n">
        <v>2</v>
      </c>
      <c r="U78" s="112"/>
      <c r="V78" s="112"/>
      <c r="W78" s="112"/>
      <c r="X78" s="112"/>
      <c r="Y78" s="112"/>
      <c r="Z78" s="112"/>
      <c r="AA78" s="150" t="s">
        <v>150</v>
      </c>
      <c r="AB78" s="11" t="n">
        <v>2</v>
      </c>
      <c r="AC78" s="162" t="s">
        <v>852</v>
      </c>
      <c r="AD78" s="11" t="n">
        <v>24.331549</v>
      </c>
      <c r="AE78" s="11" t="n">
        <v>76.354903</v>
      </c>
    </row>
    <row r="79" customFormat="false" ht="15" hidden="false" customHeight="false" outlineLevel="0" collapsed="false">
      <c r="A79" s="160" t="s">
        <v>415</v>
      </c>
      <c r="B79" s="160" t="s">
        <v>1104</v>
      </c>
      <c r="C79" s="160" t="s">
        <v>1227</v>
      </c>
      <c r="D79" s="160" t="s">
        <v>130</v>
      </c>
      <c r="E79" s="160" t="s">
        <v>1233</v>
      </c>
      <c r="F79" s="160" t="n">
        <v>179.25</v>
      </c>
      <c r="G79" s="160" t="n">
        <v>120</v>
      </c>
      <c r="H79" s="160" t="n">
        <v>451</v>
      </c>
      <c r="I79" s="160" t="n">
        <v>224</v>
      </c>
      <c r="J79" s="160" t="n">
        <v>227</v>
      </c>
      <c r="K79" s="160" t="n">
        <v>0</v>
      </c>
      <c r="L79" s="112" t="n">
        <f aca="false">K79/H79*100</f>
        <v>0</v>
      </c>
      <c r="M79" s="160" t="n">
        <v>0</v>
      </c>
      <c r="N79" s="112" t="n">
        <f aca="false">M79/H79*100</f>
        <v>0</v>
      </c>
      <c r="O79" s="160" t="n">
        <v>23.19</v>
      </c>
      <c r="P79" s="160" t="n">
        <v>39.26</v>
      </c>
      <c r="Q79" s="12" t="s">
        <v>45</v>
      </c>
      <c r="R79" s="20" t="n">
        <v>44235</v>
      </c>
      <c r="S79" s="160"/>
      <c r="T79" s="11" t="n">
        <v>2</v>
      </c>
      <c r="U79" s="112"/>
      <c r="V79" s="112"/>
      <c r="W79" s="112"/>
      <c r="X79" s="112"/>
      <c r="Y79" s="112"/>
      <c r="Z79" s="112"/>
      <c r="AA79" s="150" t="s">
        <v>150</v>
      </c>
      <c r="AB79" s="11" t="n">
        <v>2</v>
      </c>
      <c r="AC79" s="162" t="s">
        <v>852</v>
      </c>
      <c r="AD79" s="11" t="n">
        <v>24.323511</v>
      </c>
      <c r="AE79" s="11" t="n">
        <v>76.370665</v>
      </c>
    </row>
    <row r="80" customFormat="false" ht="15" hidden="false" customHeight="false" outlineLevel="0" collapsed="false">
      <c r="A80" s="160" t="s">
        <v>415</v>
      </c>
      <c r="B80" s="160" t="s">
        <v>1104</v>
      </c>
      <c r="C80" s="160" t="s">
        <v>1227</v>
      </c>
      <c r="D80" s="160" t="s">
        <v>1234</v>
      </c>
      <c r="E80" s="160" t="s">
        <v>1235</v>
      </c>
      <c r="F80" s="160" t="n">
        <v>132.98</v>
      </c>
      <c r="G80" s="160" t="n">
        <v>130</v>
      </c>
      <c r="H80" s="160" t="n">
        <v>491</v>
      </c>
      <c r="I80" s="160" t="n">
        <v>245</v>
      </c>
      <c r="J80" s="160" t="n">
        <v>246</v>
      </c>
      <c r="K80" s="160" t="n">
        <v>0</v>
      </c>
      <c r="L80" s="112" t="n">
        <f aca="false">K80/H80*100</f>
        <v>0</v>
      </c>
      <c r="M80" s="160" t="n">
        <v>0</v>
      </c>
      <c r="N80" s="112" t="n">
        <f aca="false">M80/H80*100</f>
        <v>0</v>
      </c>
      <c r="O80" s="160" t="n">
        <v>38.21</v>
      </c>
      <c r="P80" s="160" t="n">
        <v>0.6</v>
      </c>
      <c r="Q80" s="12" t="s">
        <v>45</v>
      </c>
      <c r="R80" s="20" t="n">
        <v>44235</v>
      </c>
      <c r="S80" s="160"/>
      <c r="T80" s="11" t="n">
        <v>2</v>
      </c>
      <c r="U80" s="112"/>
      <c r="V80" s="112"/>
      <c r="W80" s="112"/>
      <c r="X80" s="112"/>
      <c r="Y80" s="112"/>
      <c r="Z80" s="112"/>
      <c r="AA80" s="150" t="s">
        <v>150</v>
      </c>
      <c r="AB80" s="11" t="n">
        <v>2</v>
      </c>
      <c r="AC80" s="162" t="s">
        <v>852</v>
      </c>
      <c r="AD80" s="11" t="n">
        <v>24.322455</v>
      </c>
      <c r="AE80" s="11" t="n">
        <v>76.339557</v>
      </c>
    </row>
    <row r="81" customFormat="false" ht="15" hidden="false" customHeight="false" outlineLevel="0" collapsed="false">
      <c r="A81" s="160" t="s">
        <v>415</v>
      </c>
      <c r="B81" s="160" t="s">
        <v>1104</v>
      </c>
      <c r="C81" s="160" t="s">
        <v>1227</v>
      </c>
      <c r="D81" s="160" t="s">
        <v>1236</v>
      </c>
      <c r="E81" s="160" t="s">
        <v>1237</v>
      </c>
      <c r="F81" s="160" t="n">
        <v>70.58</v>
      </c>
      <c r="G81" s="160" t="n">
        <v>117</v>
      </c>
      <c r="H81" s="160" t="n">
        <v>499</v>
      </c>
      <c r="I81" s="160" t="n">
        <v>269</v>
      </c>
      <c r="J81" s="160" t="n">
        <v>230</v>
      </c>
      <c r="K81" s="160" t="n">
        <v>44</v>
      </c>
      <c r="L81" s="112" t="n">
        <f aca="false">K81/H81*100</f>
        <v>8.81763527054108</v>
      </c>
      <c r="M81" s="160" t="n">
        <v>0</v>
      </c>
      <c r="N81" s="112" t="n">
        <f aca="false">M81/H81*100</f>
        <v>0</v>
      </c>
      <c r="O81" s="160" t="n">
        <v>14.1</v>
      </c>
      <c r="P81" s="160" t="n">
        <v>0</v>
      </c>
      <c r="Q81" s="12" t="s">
        <v>45</v>
      </c>
      <c r="R81" s="20" t="n">
        <v>44235</v>
      </c>
      <c r="S81" s="160"/>
      <c r="T81" s="11" t="n">
        <v>3</v>
      </c>
      <c r="U81" s="112"/>
      <c r="V81" s="112"/>
      <c r="W81" s="112"/>
      <c r="X81" s="112"/>
      <c r="Y81" s="112"/>
      <c r="Z81" s="112"/>
      <c r="AA81" s="150" t="s">
        <v>150</v>
      </c>
      <c r="AB81" s="11" t="n">
        <v>3</v>
      </c>
      <c r="AC81" s="162" t="s">
        <v>852</v>
      </c>
      <c r="AD81" s="11" t="n">
        <v>24.354756</v>
      </c>
      <c r="AE81" s="11" t="n">
        <v>76.346981</v>
      </c>
    </row>
    <row r="82" customFormat="false" ht="15" hidden="false" customHeight="false" outlineLevel="0" collapsed="false">
      <c r="A82" s="160" t="s">
        <v>415</v>
      </c>
      <c r="B82" s="160" t="s">
        <v>1104</v>
      </c>
      <c r="C82" s="160" t="s">
        <v>1227</v>
      </c>
      <c r="D82" s="160" t="s">
        <v>671</v>
      </c>
      <c r="E82" s="160" t="s">
        <v>1238</v>
      </c>
      <c r="F82" s="160" t="n">
        <v>74.7</v>
      </c>
      <c r="G82" s="160" t="n">
        <v>16</v>
      </c>
      <c r="H82" s="160" t="n">
        <v>81</v>
      </c>
      <c r="I82" s="160" t="n">
        <v>46</v>
      </c>
      <c r="J82" s="160" t="n">
        <v>35</v>
      </c>
      <c r="K82" s="160" t="n">
        <v>0</v>
      </c>
      <c r="L82" s="112" t="n">
        <f aca="false">K82/H82*100</f>
        <v>0</v>
      </c>
      <c r="M82" s="160" t="n">
        <v>0</v>
      </c>
      <c r="N82" s="112" t="n">
        <f aca="false">M82/H82*100</f>
        <v>0</v>
      </c>
      <c r="O82" s="160" t="n">
        <v>0</v>
      </c>
      <c r="P82" s="160" t="n">
        <v>39.91</v>
      </c>
      <c r="Q82" s="11"/>
      <c r="R82" s="11"/>
      <c r="S82" s="160"/>
      <c r="T82" s="11"/>
      <c r="U82" s="112"/>
      <c r="V82" s="112"/>
      <c r="W82" s="112"/>
      <c r="X82" s="112"/>
      <c r="Y82" s="112"/>
      <c r="Z82" s="112"/>
      <c r="AA82" s="11"/>
      <c r="AB82" s="11"/>
      <c r="AC82" s="162" t="s">
        <v>852</v>
      </c>
      <c r="AD82" s="11"/>
      <c r="AE82" s="11"/>
    </row>
    <row r="83" customFormat="false" ht="15" hidden="false" customHeight="false" outlineLevel="0" collapsed="false">
      <c r="A83" s="160" t="s">
        <v>415</v>
      </c>
      <c r="B83" s="160" t="s">
        <v>1104</v>
      </c>
      <c r="C83" s="160" t="s">
        <v>1227</v>
      </c>
      <c r="D83" s="160" t="s">
        <v>1239</v>
      </c>
      <c r="E83" s="160" t="s">
        <v>1240</v>
      </c>
      <c r="F83" s="160" t="n">
        <v>119.43</v>
      </c>
      <c r="G83" s="160" t="n">
        <v>110</v>
      </c>
      <c r="H83" s="160" t="n">
        <v>418</v>
      </c>
      <c r="I83" s="160" t="n">
        <v>203</v>
      </c>
      <c r="J83" s="160" t="n">
        <v>215</v>
      </c>
      <c r="K83" s="160" t="n">
        <v>33</v>
      </c>
      <c r="L83" s="112" t="n">
        <f aca="false">K83/H83*100</f>
        <v>7.89473684210526</v>
      </c>
      <c r="M83" s="160" t="n">
        <v>11</v>
      </c>
      <c r="N83" s="112" t="n">
        <f aca="false">M83/H83*100</f>
        <v>2.63157894736842</v>
      </c>
      <c r="O83" s="160" t="n">
        <v>3.92</v>
      </c>
      <c r="P83" s="160" t="n">
        <v>24.04</v>
      </c>
      <c r="Q83" s="12" t="s">
        <v>45</v>
      </c>
      <c r="R83" s="20" t="n">
        <v>44235</v>
      </c>
      <c r="S83" s="160"/>
      <c r="T83" s="11" t="n">
        <v>1</v>
      </c>
      <c r="U83" s="112"/>
      <c r="V83" s="112"/>
      <c r="W83" s="112"/>
      <c r="X83" s="112"/>
      <c r="Y83" s="112"/>
      <c r="Z83" s="112"/>
      <c r="AA83" s="150" t="s">
        <v>150</v>
      </c>
      <c r="AB83" s="11" t="n">
        <v>1</v>
      </c>
      <c r="AC83" s="162" t="s">
        <v>852</v>
      </c>
      <c r="AD83" s="11" t="n">
        <v>24.355924</v>
      </c>
      <c r="AE83" s="11" t="n">
        <v>76.359962</v>
      </c>
    </row>
    <row r="84" customFormat="false" ht="15" hidden="false" customHeight="false" outlineLevel="0" collapsed="false">
      <c r="A84" s="160" t="s">
        <v>415</v>
      </c>
      <c r="B84" s="160" t="s">
        <v>1104</v>
      </c>
      <c r="C84" s="160" t="s">
        <v>1241</v>
      </c>
      <c r="D84" s="161" t="s">
        <v>1242</v>
      </c>
      <c r="E84" s="160" t="s">
        <v>1243</v>
      </c>
      <c r="F84" s="160" t="n">
        <v>202.95</v>
      </c>
      <c r="G84" s="160" t="n">
        <v>201</v>
      </c>
      <c r="H84" s="160" t="n">
        <v>1087</v>
      </c>
      <c r="I84" s="160" t="n">
        <v>559</v>
      </c>
      <c r="J84" s="160" t="n">
        <v>528</v>
      </c>
      <c r="K84" s="160" t="n">
        <v>124</v>
      </c>
      <c r="L84" s="112" t="n">
        <f aca="false">K84/H84*100</f>
        <v>11.4075436982521</v>
      </c>
      <c r="M84" s="160" t="n">
        <v>47</v>
      </c>
      <c r="N84" s="112" t="n">
        <f aca="false">M84/H84*100</f>
        <v>4.32382704691812</v>
      </c>
      <c r="O84" s="160" t="n">
        <v>19.56</v>
      </c>
      <c r="P84" s="160" t="n">
        <v>0</v>
      </c>
      <c r="Q84" s="12" t="s">
        <v>45</v>
      </c>
      <c r="R84" s="20" t="n">
        <v>44477</v>
      </c>
      <c r="S84" s="160"/>
      <c r="T84" s="12" t="n">
        <v>10</v>
      </c>
      <c r="U84" s="112"/>
      <c r="V84" s="112" t="s">
        <v>43</v>
      </c>
      <c r="W84" s="112"/>
      <c r="X84" s="112"/>
      <c r="Y84" s="112"/>
      <c r="Z84" s="112"/>
      <c r="AA84" s="150" t="s">
        <v>150</v>
      </c>
      <c r="AB84" s="12" t="n">
        <v>10</v>
      </c>
      <c r="AC84" s="162" t="s">
        <v>852</v>
      </c>
      <c r="AD84" s="12" t="n">
        <v>24.344519</v>
      </c>
      <c r="AE84" s="12" t="n">
        <v>76.233422</v>
      </c>
    </row>
    <row r="85" customFormat="false" ht="15" hidden="false" customHeight="false" outlineLevel="0" collapsed="false">
      <c r="A85" s="160"/>
      <c r="B85" s="160"/>
      <c r="C85" s="160"/>
      <c r="D85" s="161"/>
      <c r="E85" s="160"/>
      <c r="F85" s="160"/>
      <c r="G85" s="160"/>
      <c r="H85" s="160"/>
      <c r="I85" s="160"/>
      <c r="J85" s="160"/>
      <c r="K85" s="160"/>
      <c r="L85" s="112"/>
      <c r="M85" s="160"/>
      <c r="N85" s="112"/>
      <c r="O85" s="160"/>
      <c r="P85" s="160"/>
      <c r="Q85" s="12" t="s">
        <v>45</v>
      </c>
      <c r="R85" s="20" t="n">
        <v>44477</v>
      </c>
      <c r="S85" s="160"/>
      <c r="T85" s="12" t="n">
        <v>8</v>
      </c>
      <c r="U85" s="112"/>
      <c r="V85" s="112"/>
      <c r="W85" s="112"/>
      <c r="X85" s="112"/>
      <c r="Y85" s="112"/>
      <c r="Z85" s="112"/>
      <c r="AA85" s="11" t="s">
        <v>43</v>
      </c>
      <c r="AB85" s="12" t="n">
        <v>8</v>
      </c>
      <c r="AC85" s="162" t="s">
        <v>852</v>
      </c>
      <c r="AD85" s="12" t="n">
        <v>24.35066</v>
      </c>
      <c r="AE85" s="12" t="n">
        <v>76.23177</v>
      </c>
    </row>
    <row r="86" customFormat="false" ht="15" hidden="false" customHeight="false" outlineLevel="0" collapsed="false">
      <c r="A86" s="160" t="s">
        <v>415</v>
      </c>
      <c r="B86" s="160" t="s">
        <v>1104</v>
      </c>
      <c r="C86" s="160" t="s">
        <v>1241</v>
      </c>
      <c r="D86" s="160" t="s">
        <v>1244</v>
      </c>
      <c r="E86" s="160" t="s">
        <v>1245</v>
      </c>
      <c r="F86" s="160" t="n">
        <v>177.66</v>
      </c>
      <c r="G86" s="160" t="n">
        <v>80</v>
      </c>
      <c r="H86" s="160" t="n">
        <v>441</v>
      </c>
      <c r="I86" s="160" t="n">
        <v>218</v>
      </c>
      <c r="J86" s="160" t="n">
        <v>223</v>
      </c>
      <c r="K86" s="160" t="n">
        <v>0</v>
      </c>
      <c r="L86" s="112" t="n">
        <f aca="false">K86/H86*100</f>
        <v>0</v>
      </c>
      <c r="M86" s="160" t="n">
        <v>178</v>
      </c>
      <c r="N86" s="112" t="n">
        <f aca="false">M86/H86*100</f>
        <v>40.3628117913832</v>
      </c>
      <c r="O86" s="160" t="n">
        <v>12.68</v>
      </c>
      <c r="P86" s="160" t="n">
        <v>0</v>
      </c>
      <c r="Q86" s="168" t="s">
        <v>45</v>
      </c>
      <c r="R86" s="168" t="s">
        <v>1246</v>
      </c>
      <c r="S86" s="160"/>
      <c r="T86" s="41" t="n">
        <v>1</v>
      </c>
      <c r="U86" s="112"/>
      <c r="V86" s="112" t="s">
        <v>43</v>
      </c>
      <c r="W86" s="112"/>
      <c r="X86" s="112"/>
      <c r="Y86" s="112"/>
      <c r="Z86" s="112"/>
      <c r="AA86" s="41" t="s">
        <v>45</v>
      </c>
      <c r="AB86" s="41" t="n">
        <v>1</v>
      </c>
      <c r="AC86" s="162" t="s">
        <v>852</v>
      </c>
      <c r="AD86" s="170" t="n">
        <v>24.33101</v>
      </c>
      <c r="AE86" s="170" t="n">
        <v>76.230008</v>
      </c>
    </row>
    <row r="87" customFormat="false" ht="15" hidden="false" customHeight="false" outlineLevel="0" collapsed="false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12"/>
      <c r="M87" s="160"/>
      <c r="N87" s="112"/>
      <c r="O87" s="160"/>
      <c r="P87" s="160"/>
      <c r="Q87" s="168" t="s">
        <v>45</v>
      </c>
      <c r="R87" s="168" t="s">
        <v>1246</v>
      </c>
      <c r="S87" s="160"/>
      <c r="T87" s="153" t="n">
        <v>13</v>
      </c>
      <c r="U87" s="112"/>
      <c r="V87" s="112"/>
      <c r="W87" s="112"/>
      <c r="X87" s="112"/>
      <c r="Y87" s="112"/>
      <c r="Z87" s="112"/>
      <c r="AA87" s="153" t="s">
        <v>43</v>
      </c>
      <c r="AB87" s="153" t="n">
        <v>13</v>
      </c>
      <c r="AC87" s="162" t="s">
        <v>852</v>
      </c>
      <c r="AD87" s="170" t="n">
        <v>24.339698</v>
      </c>
      <c r="AE87" s="170" t="n">
        <v>76.235474</v>
      </c>
    </row>
    <row r="88" customFormat="false" ht="15" hidden="false" customHeight="false" outlineLevel="0" collapsed="false">
      <c r="A88" s="160" t="s">
        <v>415</v>
      </c>
      <c r="B88" s="160" t="s">
        <v>1104</v>
      </c>
      <c r="C88" s="160" t="s">
        <v>1241</v>
      </c>
      <c r="D88" s="160" t="s">
        <v>1247</v>
      </c>
      <c r="E88" s="160" t="s">
        <v>1248</v>
      </c>
      <c r="F88" s="160" t="n">
        <v>157.92</v>
      </c>
      <c r="G88" s="160" t="n">
        <v>111</v>
      </c>
      <c r="H88" s="160" t="n">
        <v>483</v>
      </c>
      <c r="I88" s="160" t="n">
        <v>250</v>
      </c>
      <c r="J88" s="160" t="n">
        <v>233</v>
      </c>
      <c r="K88" s="160" t="n">
        <v>47</v>
      </c>
      <c r="L88" s="112" t="n">
        <f aca="false">K88/H88*100</f>
        <v>9.73084886128364</v>
      </c>
      <c r="M88" s="160" t="n">
        <v>34</v>
      </c>
      <c r="N88" s="112" t="n">
        <f aca="false">M88/H88*100</f>
        <v>7.03933747412008</v>
      </c>
      <c r="O88" s="160" t="n">
        <v>20.12</v>
      </c>
      <c r="P88" s="160" t="n">
        <v>0</v>
      </c>
      <c r="Q88" s="168" t="s">
        <v>45</v>
      </c>
      <c r="R88" s="168" t="s">
        <v>1249</v>
      </c>
      <c r="S88" s="160"/>
      <c r="T88" s="41" t="n">
        <v>1</v>
      </c>
      <c r="U88" s="112"/>
      <c r="V88" s="112" t="s">
        <v>43</v>
      </c>
      <c r="W88" s="112"/>
      <c r="X88" s="112"/>
      <c r="Y88" s="112"/>
      <c r="Z88" s="112"/>
      <c r="AA88" s="41" t="s">
        <v>45</v>
      </c>
      <c r="AB88" s="41" t="n">
        <v>1</v>
      </c>
      <c r="AC88" s="162" t="s">
        <v>852</v>
      </c>
      <c r="AD88" s="170" t="n">
        <v>24.331013</v>
      </c>
      <c r="AE88" s="170" t="n">
        <v>76.230004</v>
      </c>
    </row>
    <row r="89" customFormat="false" ht="15" hidden="false" customHeight="false" outlineLevel="0" collapsed="false">
      <c r="A89" s="160" t="s">
        <v>415</v>
      </c>
      <c r="B89" s="160" t="s">
        <v>1104</v>
      </c>
      <c r="C89" s="160" t="s">
        <v>1241</v>
      </c>
      <c r="D89" s="160" t="s">
        <v>1250</v>
      </c>
      <c r="E89" s="160" t="s">
        <v>1251</v>
      </c>
      <c r="F89" s="160" t="n">
        <v>138.86</v>
      </c>
      <c r="G89" s="160" t="n">
        <v>125</v>
      </c>
      <c r="H89" s="160" t="n">
        <v>684</v>
      </c>
      <c r="I89" s="160" t="n">
        <v>349</v>
      </c>
      <c r="J89" s="160" t="n">
        <v>335</v>
      </c>
      <c r="K89" s="160" t="n">
        <v>30</v>
      </c>
      <c r="L89" s="112" t="n">
        <f aca="false">K89/H89*100</f>
        <v>4.3859649122807</v>
      </c>
      <c r="M89" s="160" t="n">
        <v>0</v>
      </c>
      <c r="N89" s="112" t="n">
        <f aca="false">M89/H89*100</f>
        <v>0</v>
      </c>
      <c r="O89" s="160" t="n">
        <v>8.6</v>
      </c>
      <c r="P89" s="160" t="n">
        <v>0</v>
      </c>
      <c r="Q89" s="168" t="s">
        <v>45</v>
      </c>
      <c r="R89" s="168" t="s">
        <v>1252</v>
      </c>
      <c r="S89" s="160"/>
      <c r="T89" s="41" t="n">
        <v>1</v>
      </c>
      <c r="U89" s="112"/>
      <c r="V89" s="112" t="s">
        <v>43</v>
      </c>
      <c r="W89" s="112"/>
      <c r="X89" s="112"/>
      <c r="Y89" s="112"/>
      <c r="Z89" s="112"/>
      <c r="AA89" s="41" t="s">
        <v>45</v>
      </c>
      <c r="AB89" s="41" t="n">
        <v>1</v>
      </c>
      <c r="AC89" s="162" t="s">
        <v>852</v>
      </c>
      <c r="AD89" s="170" t="n">
        <v>24.341966</v>
      </c>
      <c r="AE89" s="170" t="n">
        <v>76.235098</v>
      </c>
    </row>
    <row r="90" customFormat="false" ht="15" hidden="false" customHeight="false" outlineLevel="0" collapsed="false">
      <c r="A90" s="160" t="s">
        <v>415</v>
      </c>
      <c r="B90" s="160" t="s">
        <v>1104</v>
      </c>
      <c r="C90" s="160" t="s">
        <v>1241</v>
      </c>
      <c r="D90" s="160" t="s">
        <v>1129</v>
      </c>
      <c r="E90" s="160" t="s">
        <v>1253</v>
      </c>
      <c r="F90" s="160" t="n">
        <v>52.3</v>
      </c>
      <c r="G90" s="160" t="n">
        <v>0</v>
      </c>
      <c r="H90" s="160" t="n">
        <v>0</v>
      </c>
      <c r="I90" s="160" t="n">
        <v>0</v>
      </c>
      <c r="J90" s="160" t="n">
        <v>0</v>
      </c>
      <c r="K90" s="160" t="n">
        <v>0</v>
      </c>
      <c r="L90" s="112"/>
      <c r="M90" s="160" t="n">
        <v>0</v>
      </c>
      <c r="N90" s="112"/>
      <c r="O90" s="160" t="n">
        <v>2.66</v>
      </c>
      <c r="P90" s="160" t="n">
        <v>0</v>
      </c>
      <c r="Q90" s="11"/>
      <c r="R90" s="11"/>
      <c r="S90" s="160"/>
      <c r="T90" s="11"/>
      <c r="U90" s="112"/>
      <c r="V90" s="112" t="s">
        <v>43</v>
      </c>
      <c r="W90" s="112"/>
      <c r="X90" s="112"/>
      <c r="Y90" s="112"/>
      <c r="Z90" s="112"/>
      <c r="AA90" s="11"/>
      <c r="AB90" s="11"/>
      <c r="AC90" s="162" t="s">
        <v>852</v>
      </c>
      <c r="AD90" s="11"/>
      <c r="AE90" s="11"/>
    </row>
    <row r="91" customFormat="false" ht="15" hidden="false" customHeight="false" outlineLevel="0" collapsed="false">
      <c r="A91" s="160" t="s">
        <v>415</v>
      </c>
      <c r="B91" s="160" t="s">
        <v>1104</v>
      </c>
      <c r="C91" s="160" t="s">
        <v>1241</v>
      </c>
      <c r="D91" s="160" t="s">
        <v>376</v>
      </c>
      <c r="E91" s="160" t="s">
        <v>1254</v>
      </c>
      <c r="F91" s="160" t="n">
        <v>26.63</v>
      </c>
      <c r="G91" s="160" t="n">
        <v>54</v>
      </c>
      <c r="H91" s="160" t="n">
        <v>231</v>
      </c>
      <c r="I91" s="160" t="n">
        <v>125</v>
      </c>
      <c r="J91" s="160" t="n">
        <v>106</v>
      </c>
      <c r="K91" s="160" t="n">
        <v>8</v>
      </c>
      <c r="L91" s="112" t="n">
        <f aca="false">K91/H91*100</f>
        <v>3.46320346320346</v>
      </c>
      <c r="M91" s="160" t="n">
        <v>0</v>
      </c>
      <c r="N91" s="112" t="n">
        <f aca="false">M91/H91*100</f>
        <v>0</v>
      </c>
      <c r="O91" s="160" t="n">
        <v>0</v>
      </c>
      <c r="P91" s="160" t="n">
        <v>0</v>
      </c>
      <c r="Q91" s="168" t="s">
        <v>45</v>
      </c>
      <c r="R91" s="168" t="s">
        <v>334</v>
      </c>
      <c r="S91" s="160"/>
      <c r="T91" s="41" t="n">
        <v>1</v>
      </c>
      <c r="U91" s="112"/>
      <c r="V91" s="112" t="s">
        <v>43</v>
      </c>
      <c r="W91" s="112"/>
      <c r="X91" s="112"/>
      <c r="Y91" s="112"/>
      <c r="Z91" s="112"/>
      <c r="AA91" s="41" t="s">
        <v>45</v>
      </c>
      <c r="AB91" s="41" t="n">
        <v>1</v>
      </c>
      <c r="AC91" s="162" t="s">
        <v>852</v>
      </c>
      <c r="AD91" s="170" t="n">
        <v>24.2784</v>
      </c>
      <c r="AE91" s="170" t="n">
        <v>76.24782</v>
      </c>
    </row>
    <row r="92" customFormat="false" ht="15" hidden="false" customHeight="false" outlineLevel="0" collapsed="false">
      <c r="A92" s="160" t="s">
        <v>415</v>
      </c>
      <c r="B92" s="160" t="s">
        <v>1104</v>
      </c>
      <c r="C92" s="160" t="s">
        <v>1241</v>
      </c>
      <c r="D92" s="160" t="s">
        <v>1255</v>
      </c>
      <c r="E92" s="160" t="s">
        <v>1256</v>
      </c>
      <c r="F92" s="160" t="n">
        <v>128.65</v>
      </c>
      <c r="G92" s="160" t="n">
        <v>105</v>
      </c>
      <c r="H92" s="160" t="n">
        <v>528</v>
      </c>
      <c r="I92" s="160" t="n">
        <v>275</v>
      </c>
      <c r="J92" s="160" t="n">
        <v>253</v>
      </c>
      <c r="K92" s="160" t="n">
        <v>0</v>
      </c>
      <c r="L92" s="112" t="n">
        <f aca="false">K92/H92*100</f>
        <v>0</v>
      </c>
      <c r="M92" s="160" t="n">
        <v>0</v>
      </c>
      <c r="N92" s="112" t="n">
        <f aca="false">M92/H92*100</f>
        <v>0</v>
      </c>
      <c r="O92" s="160" t="n">
        <v>2.46</v>
      </c>
      <c r="P92" s="160" t="n">
        <v>0</v>
      </c>
      <c r="Q92" s="168" t="s">
        <v>45</v>
      </c>
      <c r="R92" s="168" t="s">
        <v>1257</v>
      </c>
      <c r="S92" s="160"/>
      <c r="T92" s="11" t="n">
        <v>1</v>
      </c>
      <c r="U92" s="112"/>
      <c r="V92" s="112" t="s">
        <v>43</v>
      </c>
      <c r="W92" s="112"/>
      <c r="X92" s="112"/>
      <c r="Y92" s="112"/>
      <c r="Z92" s="112"/>
      <c r="AA92" s="41" t="s">
        <v>45</v>
      </c>
      <c r="AB92" s="11" t="n">
        <v>1</v>
      </c>
      <c r="AC92" s="162" t="s">
        <v>852</v>
      </c>
      <c r="AD92" s="170" t="n">
        <v>24.357297</v>
      </c>
      <c r="AE92" s="170" t="n">
        <v>76.232851</v>
      </c>
    </row>
    <row r="93" customFormat="false" ht="15" hidden="false" customHeight="false" outlineLevel="0" collapsed="false">
      <c r="A93" s="160" t="s">
        <v>415</v>
      </c>
      <c r="B93" s="160" t="s">
        <v>1104</v>
      </c>
      <c r="C93" s="160" t="s">
        <v>1241</v>
      </c>
      <c r="D93" s="160" t="s">
        <v>1258</v>
      </c>
      <c r="E93" s="160" t="s">
        <v>1259</v>
      </c>
      <c r="F93" s="160" t="n">
        <v>229.28</v>
      </c>
      <c r="G93" s="160" t="n">
        <v>217</v>
      </c>
      <c r="H93" s="160" t="n">
        <v>1015</v>
      </c>
      <c r="I93" s="160" t="n">
        <v>502</v>
      </c>
      <c r="J93" s="160" t="n">
        <v>513</v>
      </c>
      <c r="K93" s="160" t="n">
        <v>130</v>
      </c>
      <c r="L93" s="112" t="n">
        <f aca="false">K93/H93*100</f>
        <v>12.807881773399</v>
      </c>
      <c r="M93" s="160" t="n">
        <v>43</v>
      </c>
      <c r="N93" s="112" t="n">
        <f aca="false">M93/H93*100</f>
        <v>4.23645320197044</v>
      </c>
      <c r="O93" s="160" t="n">
        <v>10.79</v>
      </c>
      <c r="P93" s="160" t="n">
        <v>4</v>
      </c>
      <c r="Q93" s="168" t="s">
        <v>45</v>
      </c>
      <c r="R93" s="168" t="s">
        <v>332</v>
      </c>
      <c r="S93" s="160"/>
      <c r="T93" s="41" t="n">
        <v>1</v>
      </c>
      <c r="U93" s="112"/>
      <c r="V93" s="112" t="s">
        <v>43</v>
      </c>
      <c r="W93" s="112"/>
      <c r="X93" s="112"/>
      <c r="Y93" s="112"/>
      <c r="Z93" s="112"/>
      <c r="AA93" s="41" t="s">
        <v>45</v>
      </c>
      <c r="AB93" s="41" t="n">
        <v>1</v>
      </c>
      <c r="AC93" s="162" t="s">
        <v>852</v>
      </c>
      <c r="AD93" s="170" t="n">
        <v>24.350702</v>
      </c>
      <c r="AE93" s="170" t="n">
        <v>76.259111</v>
      </c>
    </row>
    <row r="94" customFormat="false" ht="15" hidden="false" customHeight="false" outlineLevel="0" collapsed="false">
      <c r="A94" s="160" t="s">
        <v>415</v>
      </c>
      <c r="B94" s="160" t="s">
        <v>1104</v>
      </c>
      <c r="C94" s="160" t="s">
        <v>1260</v>
      </c>
      <c r="D94" s="161" t="s">
        <v>71</v>
      </c>
      <c r="E94" s="160" t="s">
        <v>1261</v>
      </c>
      <c r="F94" s="160" t="n">
        <v>361.19</v>
      </c>
      <c r="G94" s="160" t="n">
        <v>160</v>
      </c>
      <c r="H94" s="160" t="n">
        <v>754</v>
      </c>
      <c r="I94" s="160" t="n">
        <v>387</v>
      </c>
      <c r="J94" s="160" t="n">
        <v>367</v>
      </c>
      <c r="K94" s="160" t="n">
        <v>377</v>
      </c>
      <c r="L94" s="112" t="n">
        <f aca="false">K94/H94*100</f>
        <v>50</v>
      </c>
      <c r="M94" s="160" t="n">
        <v>91</v>
      </c>
      <c r="N94" s="112" t="n">
        <f aca="false">M94/H94*100</f>
        <v>12.0689655172414</v>
      </c>
      <c r="O94" s="160" t="n">
        <v>0</v>
      </c>
      <c r="P94" s="160" t="n">
        <v>249.79</v>
      </c>
      <c r="Q94" s="11"/>
      <c r="R94" s="11"/>
      <c r="S94" s="160"/>
      <c r="T94" s="11"/>
      <c r="U94" s="112"/>
      <c r="V94" s="112"/>
      <c r="W94" s="112"/>
      <c r="X94" s="112"/>
      <c r="Y94" s="112"/>
      <c r="Z94" s="112"/>
      <c r="AA94" s="11"/>
      <c r="AB94" s="11"/>
      <c r="AC94" s="162" t="s">
        <v>852</v>
      </c>
      <c r="AD94" s="11"/>
      <c r="AE94" s="11"/>
    </row>
    <row r="95" customFormat="false" ht="15" hidden="false" customHeight="false" outlineLevel="0" collapsed="false">
      <c r="A95" s="160" t="s">
        <v>415</v>
      </c>
      <c r="B95" s="160" t="s">
        <v>1104</v>
      </c>
      <c r="C95" s="160" t="s">
        <v>1260</v>
      </c>
      <c r="D95" s="160" t="s">
        <v>1262</v>
      </c>
      <c r="E95" s="160" t="s">
        <v>1263</v>
      </c>
      <c r="F95" s="160" t="n">
        <v>140.19</v>
      </c>
      <c r="G95" s="160" t="n">
        <v>0</v>
      </c>
      <c r="H95" s="160" t="n">
        <v>0</v>
      </c>
      <c r="I95" s="160" t="n">
        <v>0</v>
      </c>
      <c r="J95" s="160" t="n">
        <v>0</v>
      </c>
      <c r="K95" s="160" t="n">
        <v>0</v>
      </c>
      <c r="L95" s="112"/>
      <c r="M95" s="160" t="n">
        <v>0</v>
      </c>
      <c r="N95" s="112"/>
      <c r="O95" s="160" t="n">
        <v>0</v>
      </c>
      <c r="P95" s="160" t="n">
        <v>81.08</v>
      </c>
      <c r="Q95" s="11"/>
      <c r="R95" s="11"/>
      <c r="S95" s="160"/>
      <c r="T95" s="11"/>
      <c r="U95" s="112"/>
      <c r="V95" s="112"/>
      <c r="W95" s="112"/>
      <c r="X95" s="112"/>
      <c r="Y95" s="112"/>
      <c r="Z95" s="112"/>
      <c r="AA95" s="11"/>
      <c r="AB95" s="11"/>
      <c r="AC95" s="162" t="s">
        <v>852</v>
      </c>
      <c r="AD95" s="11"/>
      <c r="AE95" s="11"/>
    </row>
    <row r="96" customFormat="false" ht="15" hidden="false" customHeight="false" outlineLevel="0" collapsed="false">
      <c r="A96" s="160" t="s">
        <v>415</v>
      </c>
      <c r="B96" s="160" t="s">
        <v>1104</v>
      </c>
      <c r="C96" s="160" t="s">
        <v>1260</v>
      </c>
      <c r="D96" s="160" t="s">
        <v>1264</v>
      </c>
      <c r="E96" s="160" t="s">
        <v>1265</v>
      </c>
      <c r="F96" s="160" t="n">
        <v>200.41</v>
      </c>
      <c r="G96" s="160" t="n">
        <v>24</v>
      </c>
      <c r="H96" s="160" t="n">
        <v>115</v>
      </c>
      <c r="I96" s="160" t="n">
        <v>55</v>
      </c>
      <c r="J96" s="160" t="n">
        <v>60</v>
      </c>
      <c r="K96" s="160" t="n">
        <v>10</v>
      </c>
      <c r="L96" s="112" t="n">
        <f aca="false">K96/H96*100</f>
        <v>8.69565217391304</v>
      </c>
      <c r="M96" s="160" t="n">
        <v>0</v>
      </c>
      <c r="N96" s="112" t="n">
        <f aca="false">M96/H96*100</f>
        <v>0</v>
      </c>
      <c r="O96" s="160" t="n">
        <v>5.32</v>
      </c>
      <c r="P96" s="160" t="n">
        <v>130.85</v>
      </c>
      <c r="Q96" s="11" t="s">
        <v>150</v>
      </c>
      <c r="R96" s="11" t="s">
        <v>1108</v>
      </c>
      <c r="S96" s="160"/>
      <c r="T96" s="11" t="n">
        <v>2</v>
      </c>
      <c r="U96" s="112"/>
      <c r="V96" s="112"/>
      <c r="W96" s="112"/>
      <c r="X96" s="112"/>
      <c r="Y96" s="112"/>
      <c r="Z96" s="112"/>
      <c r="AA96" s="150" t="s">
        <v>150</v>
      </c>
      <c r="AB96" s="11" t="n">
        <v>2</v>
      </c>
      <c r="AC96" s="162" t="s">
        <v>852</v>
      </c>
      <c r="AD96" s="11" t="n">
        <v>24.3482</v>
      </c>
      <c r="AE96" s="11" t="n">
        <v>76.3732</v>
      </c>
    </row>
    <row r="97" customFormat="false" ht="15" hidden="false" customHeight="false" outlineLevel="0" collapsed="false">
      <c r="A97" s="160" t="s">
        <v>415</v>
      </c>
      <c r="B97" s="160" t="s">
        <v>1104</v>
      </c>
      <c r="C97" s="160" t="s">
        <v>1260</v>
      </c>
      <c r="D97" s="160" t="s">
        <v>1266</v>
      </c>
      <c r="E97" s="160" t="s">
        <v>1267</v>
      </c>
      <c r="F97" s="160" t="n">
        <v>42.25</v>
      </c>
      <c r="G97" s="160" t="n">
        <v>66</v>
      </c>
      <c r="H97" s="160" t="n">
        <v>301</v>
      </c>
      <c r="I97" s="160" t="n">
        <v>154</v>
      </c>
      <c r="J97" s="160" t="n">
        <v>147</v>
      </c>
      <c r="K97" s="160" t="n">
        <v>0</v>
      </c>
      <c r="L97" s="112" t="n">
        <f aca="false">K97/H97*100</f>
        <v>0</v>
      </c>
      <c r="M97" s="160" t="n">
        <v>0</v>
      </c>
      <c r="N97" s="112" t="n">
        <f aca="false">M97/H97*100</f>
        <v>0</v>
      </c>
      <c r="O97" s="160" t="n">
        <v>0</v>
      </c>
      <c r="P97" s="160" t="n">
        <v>3.04</v>
      </c>
      <c r="Q97" s="11"/>
      <c r="R97" s="11"/>
      <c r="S97" s="160"/>
      <c r="T97" s="11"/>
      <c r="U97" s="112"/>
      <c r="V97" s="112"/>
      <c r="W97" s="112"/>
      <c r="X97" s="112"/>
      <c r="Y97" s="112"/>
      <c r="Z97" s="112"/>
      <c r="AA97" s="11"/>
      <c r="AB97" s="11"/>
      <c r="AC97" s="162" t="s">
        <v>852</v>
      </c>
      <c r="AD97" s="11"/>
      <c r="AE97" s="11"/>
    </row>
    <row r="98" customFormat="false" ht="15" hidden="false" customHeight="false" outlineLevel="0" collapsed="false">
      <c r="A98" s="160" t="s">
        <v>415</v>
      </c>
      <c r="B98" s="160" t="s">
        <v>1104</v>
      </c>
      <c r="C98" s="160" t="s">
        <v>1260</v>
      </c>
      <c r="D98" s="160" t="s">
        <v>1268</v>
      </c>
      <c r="E98" s="160" t="s">
        <v>1269</v>
      </c>
      <c r="F98" s="160" t="n">
        <v>370.24</v>
      </c>
      <c r="G98" s="160" t="n">
        <v>142</v>
      </c>
      <c r="H98" s="160" t="n">
        <v>607</v>
      </c>
      <c r="I98" s="160" t="n">
        <v>306</v>
      </c>
      <c r="J98" s="160" t="n">
        <v>301</v>
      </c>
      <c r="K98" s="160" t="n">
        <v>69</v>
      </c>
      <c r="L98" s="112" t="n">
        <f aca="false">K98/H98*100</f>
        <v>11.3673805601318</v>
      </c>
      <c r="M98" s="160" t="n">
        <v>59</v>
      </c>
      <c r="N98" s="112" t="n">
        <f aca="false">M98/H98*100</f>
        <v>9.71993410214168</v>
      </c>
      <c r="O98" s="160" t="n">
        <v>20.45</v>
      </c>
      <c r="P98" s="160" t="n">
        <v>241.18</v>
      </c>
      <c r="Q98" s="11" t="s">
        <v>150</v>
      </c>
      <c r="R98" s="11" t="s">
        <v>1108</v>
      </c>
      <c r="S98" s="160"/>
      <c r="T98" s="11" t="n">
        <v>12</v>
      </c>
      <c r="U98" s="112"/>
      <c r="V98" s="112"/>
      <c r="W98" s="112"/>
      <c r="X98" s="112"/>
      <c r="Y98" s="112"/>
      <c r="Z98" s="112"/>
      <c r="AA98" s="150" t="s">
        <v>150</v>
      </c>
      <c r="AB98" s="11" t="n">
        <v>12</v>
      </c>
      <c r="AC98" s="162" t="s">
        <v>852</v>
      </c>
      <c r="AD98" s="11" t="n">
        <v>24.3609</v>
      </c>
      <c r="AE98" s="11" t="n">
        <v>76.3764</v>
      </c>
    </row>
    <row r="99" customFormat="false" ht="15" hidden="false" customHeight="false" outlineLevel="0" collapsed="false">
      <c r="A99" s="160" t="s">
        <v>415</v>
      </c>
      <c r="B99" s="160" t="s">
        <v>1104</v>
      </c>
      <c r="C99" s="160" t="s">
        <v>1260</v>
      </c>
      <c r="D99" s="160" t="s">
        <v>1270</v>
      </c>
      <c r="E99" s="160" t="s">
        <v>1271</v>
      </c>
      <c r="F99" s="160" t="n">
        <v>191.22</v>
      </c>
      <c r="G99" s="160" t="n">
        <v>51</v>
      </c>
      <c r="H99" s="160" t="n">
        <v>236</v>
      </c>
      <c r="I99" s="160" t="n">
        <v>119</v>
      </c>
      <c r="J99" s="160" t="n">
        <v>117</v>
      </c>
      <c r="K99" s="160" t="n">
        <v>42</v>
      </c>
      <c r="L99" s="112" t="n">
        <f aca="false">K99/H99*100</f>
        <v>17.7966101694915</v>
      </c>
      <c r="M99" s="160" t="n">
        <v>11</v>
      </c>
      <c r="N99" s="112" t="n">
        <f aca="false">M99/H99*100</f>
        <v>4.66101694915254</v>
      </c>
      <c r="O99" s="160" t="n">
        <v>17.62</v>
      </c>
      <c r="P99" s="160" t="n">
        <v>88.94</v>
      </c>
      <c r="Q99" s="11" t="s">
        <v>150</v>
      </c>
      <c r="R99" s="11" t="s">
        <v>1108</v>
      </c>
      <c r="S99" s="160"/>
      <c r="T99" s="11" t="n">
        <v>8</v>
      </c>
      <c r="U99" s="112"/>
      <c r="V99" s="112"/>
      <c r="W99" s="112"/>
      <c r="X99" s="112"/>
      <c r="Y99" s="112"/>
      <c r="Z99" s="112"/>
      <c r="AA99" s="150" t="s">
        <v>150</v>
      </c>
      <c r="AB99" s="11" t="n">
        <v>8</v>
      </c>
      <c r="AC99" s="162" t="s">
        <v>852</v>
      </c>
      <c r="AD99" s="11" t="n">
        <v>24.365196</v>
      </c>
      <c r="AE99" s="11" t="n">
        <v>76.334289</v>
      </c>
    </row>
    <row r="100" customFormat="false" ht="15" hidden="false" customHeight="false" outlineLevel="0" collapsed="false">
      <c r="A100" s="160" t="s">
        <v>415</v>
      </c>
      <c r="B100" s="160" t="s">
        <v>1104</v>
      </c>
      <c r="C100" s="160" t="s">
        <v>1260</v>
      </c>
      <c r="D100" s="160" t="s">
        <v>1272</v>
      </c>
      <c r="E100" s="160" t="s">
        <v>1273</v>
      </c>
      <c r="F100" s="160" t="n">
        <v>318.18</v>
      </c>
      <c r="G100" s="160" t="n">
        <v>0</v>
      </c>
      <c r="H100" s="160" t="n">
        <v>0</v>
      </c>
      <c r="I100" s="160" t="n">
        <v>0</v>
      </c>
      <c r="J100" s="160" t="n">
        <v>0</v>
      </c>
      <c r="K100" s="160" t="n">
        <v>0</v>
      </c>
      <c r="L100" s="112"/>
      <c r="M100" s="160" t="n">
        <v>0</v>
      </c>
      <c r="N100" s="112"/>
      <c r="O100" s="160" t="n">
        <v>0</v>
      </c>
      <c r="P100" s="160" t="n">
        <v>318.18</v>
      </c>
      <c r="Q100" s="153" t="s">
        <v>150</v>
      </c>
      <c r="R100" s="153" t="s">
        <v>1108</v>
      </c>
      <c r="S100" s="160"/>
      <c r="T100" s="153" t="n">
        <v>4</v>
      </c>
      <c r="U100" s="112"/>
      <c r="V100" s="112"/>
      <c r="W100" s="112"/>
      <c r="X100" s="112"/>
      <c r="Y100" s="112"/>
      <c r="Z100" s="112"/>
      <c r="AA100" s="153" t="s">
        <v>82</v>
      </c>
      <c r="AB100" s="153" t="n">
        <v>4</v>
      </c>
      <c r="AC100" s="162" t="s">
        <v>852</v>
      </c>
      <c r="AD100" s="153" t="n">
        <v>24.36388</v>
      </c>
      <c r="AE100" s="153" t="n">
        <v>76.33888</v>
      </c>
    </row>
    <row r="101" customFormat="false" ht="15" hidden="false" customHeight="false" outlineLevel="0" collapsed="false">
      <c r="A101" s="160" t="s">
        <v>415</v>
      </c>
      <c r="B101" s="160" t="s">
        <v>1104</v>
      </c>
      <c r="C101" s="160" t="s">
        <v>1260</v>
      </c>
      <c r="D101" s="160" t="s">
        <v>1274</v>
      </c>
      <c r="E101" s="160" t="s">
        <v>1275</v>
      </c>
      <c r="F101" s="160" t="n">
        <v>255.56</v>
      </c>
      <c r="G101" s="160" t="n">
        <v>91</v>
      </c>
      <c r="H101" s="160" t="n">
        <v>514</v>
      </c>
      <c r="I101" s="160" t="n">
        <v>258</v>
      </c>
      <c r="J101" s="160" t="n">
        <v>256</v>
      </c>
      <c r="K101" s="160" t="n">
        <v>0</v>
      </c>
      <c r="L101" s="112" t="n">
        <f aca="false">K101/H101*100</f>
        <v>0</v>
      </c>
      <c r="M101" s="160" t="n">
        <v>0</v>
      </c>
      <c r="N101" s="112" t="n">
        <f aca="false">M101/H101*100</f>
        <v>0</v>
      </c>
      <c r="O101" s="160" t="n">
        <v>4.63</v>
      </c>
      <c r="P101" s="160" t="n">
        <v>147.51</v>
      </c>
      <c r="Q101" s="11" t="s">
        <v>150</v>
      </c>
      <c r="R101" s="11" t="s">
        <v>1108</v>
      </c>
      <c r="S101" s="160"/>
      <c r="T101" s="11" t="n">
        <v>2</v>
      </c>
      <c r="U101" s="112"/>
      <c r="V101" s="112"/>
      <c r="W101" s="112"/>
      <c r="X101" s="112"/>
      <c r="Y101" s="112"/>
      <c r="Z101" s="112"/>
      <c r="AA101" s="150" t="s">
        <v>150</v>
      </c>
      <c r="AB101" s="11" t="n">
        <v>2</v>
      </c>
      <c r="AC101" s="162" t="s">
        <v>852</v>
      </c>
      <c r="AD101" s="11" t="n">
        <v>24.364003</v>
      </c>
      <c r="AE101" s="11" t="n">
        <v>76.3683</v>
      </c>
    </row>
    <row r="102" customFormat="false" ht="15" hidden="false" customHeight="false" outlineLevel="0" collapsed="false">
      <c r="A102" s="160" t="s">
        <v>415</v>
      </c>
      <c r="B102" s="160" t="s">
        <v>1104</v>
      </c>
      <c r="C102" s="160" t="s">
        <v>1260</v>
      </c>
      <c r="D102" s="160" t="s">
        <v>1276</v>
      </c>
      <c r="E102" s="160" t="s">
        <v>1277</v>
      </c>
      <c r="F102" s="160" t="n">
        <v>125.82</v>
      </c>
      <c r="G102" s="160" t="n">
        <v>121</v>
      </c>
      <c r="H102" s="160" t="n">
        <v>557</v>
      </c>
      <c r="I102" s="160" t="n">
        <v>281</v>
      </c>
      <c r="J102" s="160" t="n">
        <v>276</v>
      </c>
      <c r="K102" s="160" t="n">
        <v>21</v>
      </c>
      <c r="L102" s="112" t="n">
        <f aca="false">K102/H102*100</f>
        <v>3.77019748653501</v>
      </c>
      <c r="M102" s="160" t="n">
        <v>38</v>
      </c>
      <c r="N102" s="112" t="n">
        <f aca="false">M102/H102*100</f>
        <v>6.82226211849192</v>
      </c>
      <c r="O102" s="160" t="n">
        <v>32.34</v>
      </c>
      <c r="P102" s="160" t="n">
        <v>0</v>
      </c>
      <c r="Q102" s="150" t="s">
        <v>45</v>
      </c>
      <c r="R102" s="163" t="n">
        <v>44421</v>
      </c>
      <c r="S102" s="160"/>
      <c r="T102" s="150" t="n">
        <v>10</v>
      </c>
      <c r="U102" s="112"/>
      <c r="V102" s="112"/>
      <c r="W102" s="112"/>
      <c r="X102" s="112"/>
      <c r="Y102" s="112"/>
      <c r="Z102" s="112"/>
      <c r="AA102" s="150" t="s">
        <v>45</v>
      </c>
      <c r="AB102" s="150" t="n">
        <v>10</v>
      </c>
      <c r="AC102" s="162" t="s">
        <v>852</v>
      </c>
      <c r="AD102" s="150" t="n">
        <v>24.382188</v>
      </c>
      <c r="AE102" s="150" t="n">
        <v>76.333879</v>
      </c>
    </row>
    <row r="103" customFormat="false" ht="15" hidden="false" customHeight="false" outlineLevel="0" collapsed="false">
      <c r="A103" s="160" t="s">
        <v>415</v>
      </c>
      <c r="B103" s="160" t="s">
        <v>1104</v>
      </c>
      <c r="C103" s="160" t="s">
        <v>1260</v>
      </c>
      <c r="D103" s="160" t="s">
        <v>1093</v>
      </c>
      <c r="E103" s="160" t="s">
        <v>1278</v>
      </c>
      <c r="F103" s="160" t="n">
        <v>82.91</v>
      </c>
      <c r="G103" s="160" t="n">
        <v>28</v>
      </c>
      <c r="H103" s="160" t="n">
        <v>112</v>
      </c>
      <c r="I103" s="160" t="n">
        <v>59</v>
      </c>
      <c r="J103" s="160" t="n">
        <v>53</v>
      </c>
      <c r="K103" s="160" t="n">
        <v>68</v>
      </c>
      <c r="L103" s="112" t="n">
        <f aca="false">K103/H103*100</f>
        <v>60.7142857142857</v>
      </c>
      <c r="M103" s="160" t="n">
        <v>0</v>
      </c>
      <c r="N103" s="112" t="n">
        <f aca="false">M103/H103*100</f>
        <v>0</v>
      </c>
      <c r="O103" s="160" t="n">
        <v>0</v>
      </c>
      <c r="P103" s="160" t="n">
        <v>17.95</v>
      </c>
      <c r="Q103" s="11"/>
      <c r="R103" s="11"/>
      <c r="S103" s="160"/>
      <c r="T103" s="11"/>
      <c r="U103" s="112"/>
      <c r="V103" s="112"/>
      <c r="W103" s="112"/>
      <c r="X103" s="112"/>
      <c r="Y103" s="112"/>
      <c r="Z103" s="112"/>
      <c r="AA103" s="11"/>
      <c r="AB103" s="11"/>
      <c r="AC103" s="162" t="s">
        <v>852</v>
      </c>
      <c r="AD103" s="11"/>
      <c r="AE103" s="11"/>
    </row>
    <row r="104" customFormat="false" ht="15" hidden="false" customHeight="false" outlineLevel="0" collapsed="false">
      <c r="A104" s="160" t="s">
        <v>415</v>
      </c>
      <c r="B104" s="160" t="s">
        <v>1104</v>
      </c>
      <c r="C104" s="160" t="s">
        <v>1260</v>
      </c>
      <c r="D104" s="160" t="s">
        <v>1279</v>
      </c>
      <c r="E104" s="160" t="s">
        <v>1280</v>
      </c>
      <c r="F104" s="160" t="n">
        <v>87.96</v>
      </c>
      <c r="G104" s="160" t="n">
        <v>30</v>
      </c>
      <c r="H104" s="160" t="n">
        <v>119</v>
      </c>
      <c r="I104" s="160" t="n">
        <v>57</v>
      </c>
      <c r="J104" s="160" t="n">
        <v>62</v>
      </c>
      <c r="K104" s="160" t="n">
        <v>5</v>
      </c>
      <c r="L104" s="112" t="n">
        <f aca="false">K104/H104*100</f>
        <v>4.20168067226891</v>
      </c>
      <c r="M104" s="160" t="n">
        <v>19</v>
      </c>
      <c r="N104" s="112" t="n">
        <f aca="false">M104/H104*100</f>
        <v>15.9663865546218</v>
      </c>
      <c r="O104" s="160" t="n">
        <v>0</v>
      </c>
      <c r="P104" s="160" t="n">
        <v>0</v>
      </c>
      <c r="Q104" s="11"/>
      <c r="R104" s="11"/>
      <c r="S104" s="160"/>
      <c r="T104" s="11"/>
      <c r="U104" s="112"/>
      <c r="V104" s="112"/>
      <c r="W104" s="112"/>
      <c r="X104" s="112"/>
      <c r="Y104" s="112"/>
      <c r="Z104" s="112"/>
      <c r="AA104" s="11"/>
      <c r="AB104" s="11"/>
      <c r="AC104" s="162" t="s">
        <v>852</v>
      </c>
      <c r="AD104" s="11"/>
      <c r="AE104" s="11"/>
    </row>
    <row r="105" customFormat="false" ht="15" hidden="false" customHeight="false" outlineLevel="0" collapsed="false">
      <c r="A105" s="160" t="s">
        <v>415</v>
      </c>
      <c r="B105" s="160" t="s">
        <v>1104</v>
      </c>
      <c r="C105" s="160" t="s">
        <v>1260</v>
      </c>
      <c r="D105" s="160" t="s">
        <v>1281</v>
      </c>
      <c r="E105" s="160" t="s">
        <v>1282</v>
      </c>
      <c r="F105" s="160" t="n">
        <v>316.12</v>
      </c>
      <c r="G105" s="160" t="n">
        <v>92</v>
      </c>
      <c r="H105" s="160" t="n">
        <v>440</v>
      </c>
      <c r="I105" s="160" t="n">
        <v>221</v>
      </c>
      <c r="J105" s="160" t="n">
        <v>219</v>
      </c>
      <c r="K105" s="160" t="n">
        <v>83</v>
      </c>
      <c r="L105" s="112" t="n">
        <f aca="false">K105/H105*100</f>
        <v>18.8636363636364</v>
      </c>
      <c r="M105" s="160" t="n">
        <v>8</v>
      </c>
      <c r="N105" s="112" t="n">
        <f aca="false">M105/H105*100</f>
        <v>1.81818181818182</v>
      </c>
      <c r="O105" s="160" t="n">
        <v>0</v>
      </c>
      <c r="P105" s="160" t="n">
        <v>241.84</v>
      </c>
      <c r="Q105" s="11"/>
      <c r="R105" s="11"/>
      <c r="S105" s="160"/>
      <c r="T105" s="11"/>
      <c r="U105" s="112"/>
      <c r="V105" s="112"/>
      <c r="W105" s="112"/>
      <c r="X105" s="112"/>
      <c r="Y105" s="112"/>
      <c r="Z105" s="112"/>
      <c r="AA105" s="11"/>
      <c r="AB105" s="11"/>
      <c r="AC105" s="162" t="s">
        <v>852</v>
      </c>
      <c r="AD105" s="11"/>
      <c r="AE105" s="11"/>
    </row>
    <row r="106" customFormat="false" ht="15" hidden="false" customHeight="false" outlineLevel="0" collapsed="false">
      <c r="A106" s="160" t="s">
        <v>415</v>
      </c>
      <c r="B106" s="160" t="s">
        <v>1104</v>
      </c>
      <c r="C106" s="160" t="s">
        <v>1260</v>
      </c>
      <c r="D106" s="160" t="s">
        <v>1283</v>
      </c>
      <c r="E106" s="160" t="s">
        <v>1284</v>
      </c>
      <c r="F106" s="160" t="n">
        <v>371.37</v>
      </c>
      <c r="G106" s="160" t="n">
        <v>102</v>
      </c>
      <c r="H106" s="160" t="n">
        <v>543</v>
      </c>
      <c r="I106" s="160" t="n">
        <v>277</v>
      </c>
      <c r="J106" s="160" t="n">
        <v>266</v>
      </c>
      <c r="K106" s="160" t="n">
        <v>7</v>
      </c>
      <c r="L106" s="112" t="n">
        <f aca="false">K106/H106*100</f>
        <v>1.28913443830571</v>
      </c>
      <c r="M106" s="160" t="n">
        <v>5</v>
      </c>
      <c r="N106" s="112" t="n">
        <f aca="false">M106/H106*100</f>
        <v>0.920810313075507</v>
      </c>
      <c r="O106" s="160" t="n">
        <v>0</v>
      </c>
      <c r="P106" s="160" t="n">
        <v>237.93</v>
      </c>
      <c r="Q106" s="11"/>
      <c r="R106" s="11"/>
      <c r="S106" s="160"/>
      <c r="T106" s="11"/>
      <c r="U106" s="112"/>
      <c r="V106" s="112"/>
      <c r="W106" s="112"/>
      <c r="X106" s="112"/>
      <c r="Y106" s="112"/>
      <c r="Z106" s="112"/>
      <c r="AA106" s="11"/>
      <c r="AB106" s="11"/>
      <c r="AC106" s="162" t="s">
        <v>852</v>
      </c>
      <c r="AD106" s="11"/>
      <c r="AE106" s="11"/>
    </row>
    <row r="107" customFormat="false" ht="15" hidden="false" customHeight="false" outlineLevel="0" collapsed="false">
      <c r="A107" s="160" t="s">
        <v>415</v>
      </c>
      <c r="B107" s="160" t="s">
        <v>1104</v>
      </c>
      <c r="C107" s="160" t="s">
        <v>1285</v>
      </c>
      <c r="D107" s="161" t="s">
        <v>1286</v>
      </c>
      <c r="E107" s="160" t="s">
        <v>1287</v>
      </c>
      <c r="F107" s="160" t="n">
        <v>603.49</v>
      </c>
      <c r="G107" s="160" t="n">
        <v>360</v>
      </c>
      <c r="H107" s="160" t="n">
        <v>1843</v>
      </c>
      <c r="I107" s="160" t="n">
        <v>916</v>
      </c>
      <c r="J107" s="160" t="n">
        <v>927</v>
      </c>
      <c r="K107" s="160" t="n">
        <v>169</v>
      </c>
      <c r="L107" s="112" t="n">
        <f aca="false">K107/H107*100</f>
        <v>9.16983179598481</v>
      </c>
      <c r="M107" s="160" t="n">
        <v>308</v>
      </c>
      <c r="N107" s="112" t="n">
        <f aca="false">M107/H107*100</f>
        <v>16.711882799783</v>
      </c>
      <c r="O107" s="160" t="n">
        <v>80.7</v>
      </c>
      <c r="P107" s="160" t="n">
        <v>119.63</v>
      </c>
      <c r="Q107" s="149"/>
      <c r="R107" s="149"/>
      <c r="S107" s="160"/>
      <c r="T107" s="167" t="n">
        <v>7</v>
      </c>
      <c r="U107" s="112"/>
      <c r="V107" s="112" t="s">
        <v>43</v>
      </c>
      <c r="W107" s="112"/>
      <c r="X107" s="112"/>
      <c r="Y107" s="112"/>
      <c r="Z107" s="112"/>
      <c r="AA107" s="167" t="s">
        <v>45</v>
      </c>
      <c r="AB107" s="167" t="n">
        <v>7</v>
      </c>
      <c r="AC107" s="162" t="s">
        <v>852</v>
      </c>
      <c r="AD107" s="149" t="n">
        <v>24.309598</v>
      </c>
      <c r="AE107" s="149" t="n">
        <v>76.256421</v>
      </c>
    </row>
    <row r="108" customFormat="false" ht="15" hidden="false" customHeight="false" outlineLevel="0" collapsed="false">
      <c r="A108" s="160"/>
      <c r="B108" s="160"/>
      <c r="C108" s="160"/>
      <c r="D108" s="161"/>
      <c r="E108" s="160"/>
      <c r="F108" s="160"/>
      <c r="G108" s="160"/>
      <c r="H108" s="160"/>
      <c r="I108" s="160"/>
      <c r="J108" s="160"/>
      <c r="K108" s="160"/>
      <c r="L108" s="112"/>
      <c r="M108" s="160"/>
      <c r="N108" s="112"/>
      <c r="O108" s="160"/>
      <c r="P108" s="160"/>
      <c r="Q108" s="172" t="s">
        <v>45</v>
      </c>
      <c r="R108" s="172" t="s">
        <v>1288</v>
      </c>
      <c r="S108" s="160"/>
      <c r="T108" s="180" t="n">
        <v>30</v>
      </c>
      <c r="U108" s="112"/>
      <c r="V108" s="112"/>
      <c r="W108" s="112"/>
      <c r="X108" s="112"/>
      <c r="Y108" s="112"/>
      <c r="Z108" s="112"/>
      <c r="AA108" s="180" t="s">
        <v>45</v>
      </c>
      <c r="AB108" s="180" t="n">
        <v>30</v>
      </c>
      <c r="AC108" s="162" t="s">
        <v>852</v>
      </c>
      <c r="AD108" s="172" t="n">
        <v>24.312101</v>
      </c>
      <c r="AE108" s="172" t="n">
        <v>76.269885</v>
      </c>
    </row>
    <row r="109" customFormat="false" ht="15" hidden="false" customHeight="false" outlineLevel="0" collapsed="false">
      <c r="A109" s="160"/>
      <c r="B109" s="160"/>
      <c r="C109" s="160"/>
      <c r="D109" s="161"/>
      <c r="E109" s="160"/>
      <c r="F109" s="160"/>
      <c r="G109" s="160"/>
      <c r="H109" s="160"/>
      <c r="I109" s="160"/>
      <c r="J109" s="160"/>
      <c r="K109" s="160"/>
      <c r="L109" s="112"/>
      <c r="M109" s="160"/>
      <c r="N109" s="112"/>
      <c r="O109" s="160"/>
      <c r="P109" s="160"/>
      <c r="Q109" s="153" t="s">
        <v>45</v>
      </c>
      <c r="R109" s="181" t="s">
        <v>1288</v>
      </c>
      <c r="S109" s="160"/>
      <c r="T109" s="167" t="n">
        <v>5</v>
      </c>
      <c r="U109" s="112"/>
      <c r="V109" s="112"/>
      <c r="W109" s="112"/>
      <c r="X109" s="112"/>
      <c r="Y109" s="112"/>
      <c r="Z109" s="112"/>
      <c r="AA109" s="167" t="s">
        <v>43</v>
      </c>
      <c r="AB109" s="167" t="n">
        <v>5</v>
      </c>
      <c r="AC109" s="162" t="s">
        <v>852</v>
      </c>
      <c r="AD109" s="149" t="n">
        <v>24.309172</v>
      </c>
      <c r="AE109" s="149" t="n">
        <v>76.261847</v>
      </c>
    </row>
    <row r="110" customFormat="false" ht="15" hidden="false" customHeight="false" outlineLevel="0" collapsed="false">
      <c r="A110" s="160" t="s">
        <v>415</v>
      </c>
      <c r="B110" s="160" t="s">
        <v>1104</v>
      </c>
      <c r="C110" s="160" t="s">
        <v>1285</v>
      </c>
      <c r="D110" s="160" t="s">
        <v>1289</v>
      </c>
      <c r="E110" s="160" t="s">
        <v>1290</v>
      </c>
      <c r="F110" s="160" t="n">
        <v>258.59</v>
      </c>
      <c r="G110" s="160" t="n">
        <v>149</v>
      </c>
      <c r="H110" s="160" t="n">
        <v>777</v>
      </c>
      <c r="I110" s="160" t="n">
        <v>403</v>
      </c>
      <c r="J110" s="160" t="n">
        <v>374</v>
      </c>
      <c r="K110" s="160" t="n">
        <v>26</v>
      </c>
      <c r="L110" s="112" t="n">
        <f aca="false">K110/H110*100</f>
        <v>3.34620334620335</v>
      </c>
      <c r="M110" s="160" t="n">
        <v>355</v>
      </c>
      <c r="N110" s="112" t="n">
        <f aca="false">M110/H110*100</f>
        <v>45.6885456885457</v>
      </c>
      <c r="O110" s="160" t="n">
        <v>15.22</v>
      </c>
      <c r="P110" s="160" t="n">
        <v>24.01</v>
      </c>
      <c r="Q110" s="182" t="s">
        <v>45</v>
      </c>
      <c r="R110" s="181" t="n">
        <v>44622</v>
      </c>
      <c r="S110" s="160"/>
      <c r="T110" s="182" t="n">
        <v>8</v>
      </c>
      <c r="U110" s="112"/>
      <c r="V110" s="112"/>
      <c r="W110" s="112"/>
      <c r="X110" s="112"/>
      <c r="Y110" s="112"/>
      <c r="Z110" s="112"/>
      <c r="AA110" s="150" t="s">
        <v>150</v>
      </c>
      <c r="AB110" s="182" t="n">
        <v>8</v>
      </c>
      <c r="AC110" s="162" t="s">
        <v>852</v>
      </c>
      <c r="AD110" s="182" t="n">
        <v>24.323821</v>
      </c>
      <c r="AE110" s="182" t="n">
        <v>76.252312</v>
      </c>
    </row>
    <row r="111" customFormat="false" ht="15" hidden="false" customHeight="false" outlineLevel="0" collapsed="false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12"/>
      <c r="M111" s="160"/>
      <c r="N111" s="112"/>
      <c r="O111" s="160"/>
      <c r="P111" s="160"/>
      <c r="Q111" s="168" t="s">
        <v>45</v>
      </c>
      <c r="R111" s="168"/>
      <c r="S111" s="160"/>
      <c r="T111" s="11" t="n">
        <v>2</v>
      </c>
      <c r="U111" s="112"/>
      <c r="V111" s="112"/>
      <c r="W111" s="112"/>
      <c r="X111" s="112"/>
      <c r="Y111" s="112"/>
      <c r="Z111" s="112"/>
      <c r="AA111" s="41" t="s">
        <v>45</v>
      </c>
      <c r="AB111" s="11" t="n">
        <v>2</v>
      </c>
      <c r="AC111" s="162" t="s">
        <v>852</v>
      </c>
      <c r="AD111" s="170" t="n">
        <v>24.30184</v>
      </c>
      <c r="AE111" s="170" t="n">
        <v>76.24192</v>
      </c>
    </row>
    <row r="112" customFormat="false" ht="15" hidden="false" customHeight="false" outlineLevel="0" collapsed="false">
      <c r="A112" s="160" t="s">
        <v>415</v>
      </c>
      <c r="B112" s="160" t="s">
        <v>1104</v>
      </c>
      <c r="C112" s="160" t="s">
        <v>1285</v>
      </c>
      <c r="D112" s="160" t="s">
        <v>1291</v>
      </c>
      <c r="E112" s="160" t="s">
        <v>1292</v>
      </c>
      <c r="F112" s="160" t="n">
        <v>638.72</v>
      </c>
      <c r="G112" s="160" t="n">
        <v>285</v>
      </c>
      <c r="H112" s="160" t="n">
        <v>1477</v>
      </c>
      <c r="I112" s="160" t="n">
        <v>769</v>
      </c>
      <c r="J112" s="160" t="n">
        <v>708</v>
      </c>
      <c r="K112" s="160" t="n">
        <v>350</v>
      </c>
      <c r="L112" s="112" t="n">
        <f aca="false">K112/H112*100</f>
        <v>23.696682464455</v>
      </c>
      <c r="M112" s="160" t="n">
        <v>1</v>
      </c>
      <c r="N112" s="112" t="n">
        <f aca="false">M112/H112*100</f>
        <v>0.0677048070412999</v>
      </c>
      <c r="O112" s="160" t="n">
        <v>68.34</v>
      </c>
      <c r="P112" s="160" t="n">
        <v>177.86</v>
      </c>
      <c r="Q112" s="11"/>
      <c r="R112" s="11"/>
      <c r="S112" s="160"/>
      <c r="T112" s="11"/>
      <c r="U112" s="112"/>
      <c r="V112" s="112" t="s">
        <v>43</v>
      </c>
      <c r="W112" s="112"/>
      <c r="X112" s="112"/>
      <c r="Y112" s="112"/>
      <c r="Z112" s="112"/>
      <c r="AA112" s="11"/>
      <c r="AB112" s="11"/>
      <c r="AC112" s="162" t="s">
        <v>852</v>
      </c>
      <c r="AD112" s="11"/>
      <c r="AE112" s="11"/>
    </row>
    <row r="113" customFormat="false" ht="15" hidden="false" customHeight="false" outlineLevel="0" collapsed="false">
      <c r="A113" s="160" t="s">
        <v>415</v>
      </c>
      <c r="B113" s="160" t="s">
        <v>1104</v>
      </c>
      <c r="C113" s="160" t="s">
        <v>1293</v>
      </c>
      <c r="D113" s="161" t="s">
        <v>1294</v>
      </c>
      <c r="E113" s="160" t="s">
        <v>1295</v>
      </c>
      <c r="F113" s="160" t="n">
        <v>447.36</v>
      </c>
      <c r="G113" s="160" t="n">
        <v>456</v>
      </c>
      <c r="H113" s="160" t="n">
        <v>1810</v>
      </c>
      <c r="I113" s="160" t="n">
        <v>944</v>
      </c>
      <c r="J113" s="160" t="n">
        <v>866</v>
      </c>
      <c r="K113" s="160" t="n">
        <v>484</v>
      </c>
      <c r="L113" s="112" t="n">
        <f aca="false">K113/H113*100</f>
        <v>26.7403314917127</v>
      </c>
      <c r="M113" s="160" t="n">
        <v>90</v>
      </c>
      <c r="N113" s="112" t="n">
        <f aca="false">M113/H113*100</f>
        <v>4.97237569060774</v>
      </c>
      <c r="O113" s="160" t="n">
        <v>0</v>
      </c>
      <c r="P113" s="160" t="n">
        <v>97.07</v>
      </c>
      <c r="Q113" s="11"/>
      <c r="R113" s="11"/>
      <c r="S113" s="160"/>
      <c r="T113" s="11"/>
      <c r="U113" s="112"/>
      <c r="V113" s="112"/>
      <c r="W113" s="112"/>
      <c r="X113" s="112"/>
      <c r="Y113" s="112"/>
      <c r="Z113" s="112"/>
      <c r="AA113" s="11"/>
      <c r="AB113" s="11"/>
      <c r="AC113" s="162" t="s">
        <v>852</v>
      </c>
      <c r="AD113" s="11"/>
      <c r="AE113" s="11"/>
    </row>
    <row r="114" customFormat="false" ht="15" hidden="false" customHeight="false" outlineLevel="0" collapsed="false">
      <c r="A114" s="160" t="s">
        <v>415</v>
      </c>
      <c r="B114" s="160" t="s">
        <v>1104</v>
      </c>
      <c r="C114" s="160" t="s">
        <v>1293</v>
      </c>
      <c r="D114" s="160" t="s">
        <v>1296</v>
      </c>
      <c r="E114" s="160" t="s">
        <v>1297</v>
      </c>
      <c r="F114" s="160" t="n">
        <v>415.33</v>
      </c>
      <c r="G114" s="160" t="n">
        <v>376</v>
      </c>
      <c r="H114" s="160" t="n">
        <v>1511</v>
      </c>
      <c r="I114" s="160" t="n">
        <v>753</v>
      </c>
      <c r="J114" s="160" t="n">
        <v>758</v>
      </c>
      <c r="K114" s="160" t="n">
        <v>254</v>
      </c>
      <c r="L114" s="112" t="n">
        <f aca="false">K114/H114*100</f>
        <v>16.8100595632032</v>
      </c>
      <c r="M114" s="160" t="n">
        <v>17</v>
      </c>
      <c r="N114" s="112" t="n">
        <f aca="false">M114/H114*100</f>
        <v>1.12508272667108</v>
      </c>
      <c r="O114" s="160" t="n">
        <v>8.9</v>
      </c>
      <c r="P114" s="160" t="n">
        <v>191.56</v>
      </c>
      <c r="Q114" s="11"/>
      <c r="R114" s="11"/>
      <c r="S114" s="160"/>
      <c r="T114" s="11"/>
      <c r="U114" s="112"/>
      <c r="V114" s="112"/>
      <c r="W114" s="112"/>
      <c r="X114" s="112"/>
      <c r="Y114" s="112"/>
      <c r="Z114" s="112"/>
      <c r="AA114" s="11"/>
      <c r="AB114" s="11"/>
      <c r="AC114" s="162" t="s">
        <v>852</v>
      </c>
      <c r="AD114" s="11"/>
      <c r="AE114" s="11"/>
    </row>
    <row r="115" customFormat="false" ht="15" hidden="false" customHeight="false" outlineLevel="0" collapsed="false">
      <c r="A115" s="160" t="s">
        <v>415</v>
      </c>
      <c r="B115" s="160" t="s">
        <v>1104</v>
      </c>
      <c r="C115" s="160" t="s">
        <v>1293</v>
      </c>
      <c r="D115" s="160" t="s">
        <v>1180</v>
      </c>
      <c r="E115" s="160" t="s">
        <v>1298</v>
      </c>
      <c r="F115" s="160" t="n">
        <v>165.31</v>
      </c>
      <c r="G115" s="160" t="n">
        <v>33</v>
      </c>
      <c r="H115" s="160" t="n">
        <v>163</v>
      </c>
      <c r="I115" s="160" t="n">
        <v>81</v>
      </c>
      <c r="J115" s="160" t="n">
        <v>82</v>
      </c>
      <c r="K115" s="160" t="n">
        <v>0</v>
      </c>
      <c r="L115" s="112" t="n">
        <f aca="false">K115/H115*100</f>
        <v>0</v>
      </c>
      <c r="M115" s="160" t="n">
        <v>0</v>
      </c>
      <c r="N115" s="112" t="n">
        <f aca="false">M115/H115*100</f>
        <v>0</v>
      </c>
      <c r="O115" s="160" t="n">
        <v>0</v>
      </c>
      <c r="P115" s="160" t="n">
        <v>59.29</v>
      </c>
      <c r="Q115" s="153" t="s">
        <v>45</v>
      </c>
      <c r="R115" s="153" t="s">
        <v>1299</v>
      </c>
      <c r="S115" s="160"/>
      <c r="T115" s="153"/>
      <c r="U115" s="112"/>
      <c r="V115" s="112"/>
      <c r="W115" s="112"/>
      <c r="X115" s="112"/>
      <c r="Y115" s="112"/>
      <c r="Z115" s="112"/>
      <c r="AA115" s="153"/>
      <c r="AB115" s="153"/>
      <c r="AC115" s="162" t="s">
        <v>852</v>
      </c>
      <c r="AD115" s="153"/>
      <c r="AE115" s="153"/>
    </row>
    <row r="116" customFormat="false" ht="15" hidden="false" customHeight="false" outlineLevel="0" collapsed="false">
      <c r="A116" s="160" t="s">
        <v>415</v>
      </c>
      <c r="B116" s="160" t="s">
        <v>1104</v>
      </c>
      <c r="C116" s="160" t="s">
        <v>1293</v>
      </c>
      <c r="D116" s="160" t="s">
        <v>1300</v>
      </c>
      <c r="E116" s="160" t="s">
        <v>1301</v>
      </c>
      <c r="F116" s="160" t="n">
        <v>66.79</v>
      </c>
      <c r="G116" s="160" t="n">
        <v>90</v>
      </c>
      <c r="H116" s="160" t="n">
        <v>461</v>
      </c>
      <c r="I116" s="160" t="n">
        <v>231</v>
      </c>
      <c r="J116" s="160" t="n">
        <v>230</v>
      </c>
      <c r="K116" s="160" t="n">
        <v>288</v>
      </c>
      <c r="L116" s="112" t="n">
        <f aca="false">K116/H116*100</f>
        <v>62.472885032538</v>
      </c>
      <c r="M116" s="160" t="n">
        <v>0</v>
      </c>
      <c r="N116" s="112" t="n">
        <f aca="false">M116/H116*100</f>
        <v>0</v>
      </c>
      <c r="O116" s="160" t="n">
        <v>12.14</v>
      </c>
      <c r="P116" s="160" t="n">
        <v>0</v>
      </c>
      <c r="Q116" s="11"/>
      <c r="R116" s="11"/>
      <c r="S116" s="160"/>
      <c r="T116" s="11"/>
      <c r="U116" s="112"/>
      <c r="V116" s="112"/>
      <c r="W116" s="112"/>
      <c r="X116" s="112"/>
      <c r="Y116" s="112"/>
      <c r="Z116" s="112"/>
      <c r="AA116" s="11"/>
      <c r="AB116" s="11"/>
      <c r="AC116" s="162" t="s">
        <v>852</v>
      </c>
      <c r="AD116" s="11"/>
      <c r="AE116" s="11"/>
    </row>
    <row r="117" customFormat="false" ht="15" hidden="false" customHeight="false" outlineLevel="0" collapsed="false">
      <c r="A117" s="160" t="s">
        <v>415</v>
      </c>
      <c r="B117" s="160" t="s">
        <v>1104</v>
      </c>
      <c r="C117" s="160" t="s">
        <v>1293</v>
      </c>
      <c r="D117" s="160" t="s">
        <v>1302</v>
      </c>
      <c r="E117" s="160" t="s">
        <v>1303</v>
      </c>
      <c r="F117" s="160" t="n">
        <v>45.51</v>
      </c>
      <c r="G117" s="160" t="n">
        <v>11</v>
      </c>
      <c r="H117" s="160" t="n">
        <v>61</v>
      </c>
      <c r="I117" s="160" t="n">
        <v>34</v>
      </c>
      <c r="J117" s="160" t="n">
        <v>27</v>
      </c>
      <c r="K117" s="160" t="n">
        <v>0</v>
      </c>
      <c r="L117" s="112" t="n">
        <f aca="false">K117/H117*100</f>
        <v>0</v>
      </c>
      <c r="M117" s="160" t="n">
        <v>0</v>
      </c>
      <c r="N117" s="112" t="n">
        <f aca="false">M117/H117*100</f>
        <v>0</v>
      </c>
      <c r="O117" s="160" t="n">
        <v>5.88</v>
      </c>
      <c r="P117" s="160" t="n">
        <v>0</v>
      </c>
      <c r="Q117" s="11"/>
      <c r="R117" s="11"/>
      <c r="S117" s="160"/>
      <c r="T117" s="11"/>
      <c r="U117" s="112"/>
      <c r="V117" s="112"/>
      <c r="W117" s="112"/>
      <c r="X117" s="112"/>
      <c r="Y117" s="112"/>
      <c r="Z117" s="112"/>
      <c r="AA117" s="11"/>
      <c r="AB117" s="11"/>
      <c r="AC117" s="162" t="s">
        <v>852</v>
      </c>
      <c r="AD117" s="11"/>
      <c r="AE117" s="11"/>
    </row>
    <row r="118" customFormat="false" ht="15" hidden="false" customHeight="false" outlineLevel="0" collapsed="false">
      <c r="A118" s="160" t="s">
        <v>415</v>
      </c>
      <c r="B118" s="160" t="s">
        <v>1104</v>
      </c>
      <c r="C118" s="160" t="s">
        <v>1293</v>
      </c>
      <c r="D118" s="160" t="s">
        <v>1244</v>
      </c>
      <c r="E118" s="160" t="s">
        <v>1304</v>
      </c>
      <c r="F118" s="160" t="n">
        <v>201.81</v>
      </c>
      <c r="G118" s="160" t="n">
        <v>112</v>
      </c>
      <c r="H118" s="160" t="n">
        <v>543</v>
      </c>
      <c r="I118" s="160" t="n">
        <v>284</v>
      </c>
      <c r="J118" s="160" t="n">
        <v>259</v>
      </c>
      <c r="K118" s="160" t="n">
        <v>53</v>
      </c>
      <c r="L118" s="112" t="n">
        <f aca="false">K118/H118*100</f>
        <v>9.76058931860037</v>
      </c>
      <c r="M118" s="160" t="n">
        <v>0</v>
      </c>
      <c r="N118" s="112" t="n">
        <f aca="false">M118/H118*100</f>
        <v>0</v>
      </c>
      <c r="O118" s="160" t="n">
        <v>15.85</v>
      </c>
      <c r="P118" s="160" t="n">
        <v>65.56</v>
      </c>
      <c r="Q118" s="11"/>
      <c r="R118" s="11"/>
      <c r="S118" s="160"/>
      <c r="T118" s="11"/>
      <c r="U118" s="112"/>
      <c r="V118" s="112"/>
      <c r="W118" s="112"/>
      <c r="X118" s="112"/>
      <c r="Y118" s="112"/>
      <c r="Z118" s="112"/>
      <c r="AA118" s="11"/>
      <c r="AB118" s="11"/>
      <c r="AC118" s="162" t="s">
        <v>852</v>
      </c>
      <c r="AD118" s="11"/>
      <c r="AE118" s="11"/>
    </row>
    <row r="119" customFormat="false" ht="15" hidden="false" customHeight="false" outlineLevel="0" collapsed="false">
      <c r="A119" s="160" t="s">
        <v>415</v>
      </c>
      <c r="B119" s="160" t="s">
        <v>1104</v>
      </c>
      <c r="C119" s="160" t="s">
        <v>1305</v>
      </c>
      <c r="D119" s="161" t="s">
        <v>1306</v>
      </c>
      <c r="E119" s="160" t="s">
        <v>1307</v>
      </c>
      <c r="F119" s="160" t="n">
        <v>162.7</v>
      </c>
      <c r="G119" s="160" t="n">
        <v>101</v>
      </c>
      <c r="H119" s="160" t="n">
        <v>430</v>
      </c>
      <c r="I119" s="160" t="n">
        <v>230</v>
      </c>
      <c r="J119" s="160" t="n">
        <v>200</v>
      </c>
      <c r="K119" s="160" t="n">
        <v>56</v>
      </c>
      <c r="L119" s="112" t="n">
        <f aca="false">K119/H119*100</f>
        <v>13.0232558139535</v>
      </c>
      <c r="M119" s="160" t="n">
        <v>351</v>
      </c>
      <c r="N119" s="112" t="n">
        <f aca="false">M119/H119*100</f>
        <v>81.6279069767442</v>
      </c>
      <c r="O119" s="160" t="n">
        <v>16.12</v>
      </c>
      <c r="P119" s="160" t="n">
        <v>0</v>
      </c>
      <c r="Q119" s="12" t="s">
        <v>45</v>
      </c>
      <c r="R119" s="11" t="s">
        <v>1308</v>
      </c>
      <c r="S119" s="160"/>
      <c r="T119" s="11" t="n">
        <v>2</v>
      </c>
      <c r="U119" s="112"/>
      <c r="V119" s="112"/>
      <c r="W119" s="112"/>
      <c r="X119" s="112"/>
      <c r="Y119" s="112"/>
      <c r="Z119" s="112"/>
      <c r="AA119" s="150" t="s">
        <v>150</v>
      </c>
      <c r="AB119" s="11" t="n">
        <v>2</v>
      </c>
      <c r="AC119" s="162" t="s">
        <v>852</v>
      </c>
      <c r="AD119" s="12" t="n">
        <v>24.424812</v>
      </c>
      <c r="AE119" s="12" t="n">
        <v>76.246168</v>
      </c>
    </row>
    <row r="120" customFormat="false" ht="15" hidden="false" customHeight="false" outlineLevel="0" collapsed="false">
      <c r="A120" s="160" t="s">
        <v>415</v>
      </c>
      <c r="B120" s="160" t="s">
        <v>1104</v>
      </c>
      <c r="C120" s="160" t="s">
        <v>1305</v>
      </c>
      <c r="D120" s="160" t="s">
        <v>224</v>
      </c>
      <c r="E120" s="160" t="s">
        <v>1309</v>
      </c>
      <c r="F120" s="160" t="n">
        <v>269.85</v>
      </c>
      <c r="G120" s="160" t="n">
        <v>82</v>
      </c>
      <c r="H120" s="160" t="n">
        <v>418</v>
      </c>
      <c r="I120" s="160" t="n">
        <v>216</v>
      </c>
      <c r="J120" s="160" t="n">
        <v>202</v>
      </c>
      <c r="K120" s="160" t="n">
        <v>36</v>
      </c>
      <c r="L120" s="112" t="n">
        <f aca="false">K120/H120*100</f>
        <v>8.61244019138756</v>
      </c>
      <c r="M120" s="160" t="n">
        <v>174</v>
      </c>
      <c r="N120" s="112" t="n">
        <f aca="false">M120/H120*100</f>
        <v>41.6267942583732</v>
      </c>
      <c r="O120" s="160" t="n">
        <v>19.64</v>
      </c>
      <c r="P120" s="160" t="n">
        <v>0</v>
      </c>
      <c r="Q120" s="12" t="s">
        <v>45</v>
      </c>
      <c r="R120" s="11" t="s">
        <v>1308</v>
      </c>
      <c r="S120" s="160"/>
      <c r="T120" s="11" t="n">
        <v>15</v>
      </c>
      <c r="U120" s="112"/>
      <c r="V120" s="112"/>
      <c r="W120" s="112"/>
      <c r="X120" s="112"/>
      <c r="Y120" s="112"/>
      <c r="Z120" s="112"/>
      <c r="AA120" s="150" t="s">
        <v>150</v>
      </c>
      <c r="AB120" s="11" t="n">
        <v>15</v>
      </c>
      <c r="AC120" s="162" t="s">
        <v>852</v>
      </c>
      <c r="AD120" s="12" t="n">
        <v>24.389012</v>
      </c>
      <c r="AE120" s="12" t="n">
        <v>76.270166</v>
      </c>
    </row>
    <row r="121" customFormat="false" ht="15" hidden="false" customHeight="false" outlineLevel="0" collapsed="false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12"/>
      <c r="M121" s="160"/>
      <c r="N121" s="112"/>
      <c r="O121" s="160"/>
      <c r="P121" s="160"/>
      <c r="Q121" s="153" t="s">
        <v>45</v>
      </c>
      <c r="R121" s="153" t="s">
        <v>1308</v>
      </c>
      <c r="S121" s="160"/>
      <c r="T121" s="153" t="n">
        <v>10</v>
      </c>
      <c r="U121" s="112"/>
      <c r="V121" s="112"/>
      <c r="W121" s="112"/>
      <c r="X121" s="112"/>
      <c r="Y121" s="112"/>
      <c r="Z121" s="112"/>
      <c r="AA121" s="153" t="s">
        <v>82</v>
      </c>
      <c r="AB121" s="153" t="n">
        <v>10</v>
      </c>
      <c r="AC121" s="162" t="s">
        <v>852</v>
      </c>
      <c r="AD121" s="153" t="n">
        <v>24.388572</v>
      </c>
      <c r="AE121" s="153" t="n">
        <v>76.272668</v>
      </c>
    </row>
    <row r="122" customFormat="false" ht="15" hidden="false" customHeight="false" outlineLevel="0" collapsed="false">
      <c r="A122" s="160" t="s">
        <v>415</v>
      </c>
      <c r="B122" s="160" t="s">
        <v>1104</v>
      </c>
      <c r="C122" s="160" t="s">
        <v>1305</v>
      </c>
      <c r="D122" s="160" t="s">
        <v>1310</v>
      </c>
      <c r="E122" s="160" t="s">
        <v>1311</v>
      </c>
      <c r="F122" s="160" t="n">
        <v>104.8</v>
      </c>
      <c r="G122" s="160" t="n">
        <v>14</v>
      </c>
      <c r="H122" s="160" t="n">
        <v>73</v>
      </c>
      <c r="I122" s="160" t="n">
        <v>35</v>
      </c>
      <c r="J122" s="160" t="n">
        <v>38</v>
      </c>
      <c r="K122" s="160" t="n">
        <v>0</v>
      </c>
      <c r="L122" s="112" t="n">
        <f aca="false">K122/H122*100</f>
        <v>0</v>
      </c>
      <c r="M122" s="160" t="n">
        <v>0</v>
      </c>
      <c r="N122" s="112" t="n">
        <f aca="false">M122/H122*100</f>
        <v>0</v>
      </c>
      <c r="O122" s="160" t="n">
        <v>10.59</v>
      </c>
      <c r="P122" s="160" t="n">
        <v>0</v>
      </c>
      <c r="Q122" s="12" t="s">
        <v>45</v>
      </c>
      <c r="R122" s="11" t="s">
        <v>1308</v>
      </c>
      <c r="S122" s="160"/>
      <c r="T122" s="11" t="n">
        <v>5</v>
      </c>
      <c r="U122" s="112"/>
      <c r="V122" s="112"/>
      <c r="W122" s="112"/>
      <c r="X122" s="112"/>
      <c r="Y122" s="112"/>
      <c r="Z122" s="112"/>
      <c r="AA122" s="150" t="s">
        <v>150</v>
      </c>
      <c r="AB122" s="11" t="n">
        <v>5</v>
      </c>
      <c r="AC122" s="162" t="s">
        <v>852</v>
      </c>
      <c r="AD122" s="12" t="n">
        <v>24.395069</v>
      </c>
      <c r="AE122" s="12" t="n">
        <v>76.27055</v>
      </c>
    </row>
    <row r="123" customFormat="false" ht="15" hidden="false" customHeight="false" outlineLevel="0" collapsed="false">
      <c r="A123" s="160" t="s">
        <v>415</v>
      </c>
      <c r="B123" s="160" t="s">
        <v>1104</v>
      </c>
      <c r="C123" s="160" t="s">
        <v>1305</v>
      </c>
      <c r="D123" s="160" t="s">
        <v>498</v>
      </c>
      <c r="E123" s="160" t="s">
        <v>1312</v>
      </c>
      <c r="F123" s="160" t="n">
        <v>103.3</v>
      </c>
      <c r="G123" s="160" t="n">
        <v>118</v>
      </c>
      <c r="H123" s="160" t="n">
        <v>519</v>
      </c>
      <c r="I123" s="160" t="n">
        <v>272</v>
      </c>
      <c r="J123" s="160" t="n">
        <v>247</v>
      </c>
      <c r="K123" s="160" t="n">
        <v>0</v>
      </c>
      <c r="L123" s="112" t="n">
        <f aca="false">K123/H123*100</f>
        <v>0</v>
      </c>
      <c r="M123" s="160" t="n">
        <v>9</v>
      </c>
      <c r="N123" s="112" t="n">
        <f aca="false">M123/H123*100</f>
        <v>1.73410404624277</v>
      </c>
      <c r="O123" s="160" t="n">
        <v>11.62</v>
      </c>
      <c r="P123" s="160" t="n">
        <v>0</v>
      </c>
      <c r="Q123" s="150" t="s">
        <v>150</v>
      </c>
      <c r="R123" s="163" t="n">
        <v>44423</v>
      </c>
      <c r="S123" s="160"/>
      <c r="T123" s="150" t="n">
        <v>10</v>
      </c>
      <c r="U123" s="112"/>
      <c r="V123" s="112"/>
      <c r="W123" s="112"/>
      <c r="X123" s="112"/>
      <c r="Y123" s="112"/>
      <c r="Z123" s="112"/>
      <c r="AA123" s="150" t="s">
        <v>150</v>
      </c>
      <c r="AB123" s="150" t="n">
        <v>10</v>
      </c>
      <c r="AC123" s="162" t="s">
        <v>852</v>
      </c>
      <c r="AD123" s="150" t="n">
        <v>24.417326</v>
      </c>
      <c r="AE123" s="150" t="n">
        <v>76.26873</v>
      </c>
    </row>
    <row r="124" customFormat="false" ht="15" hidden="false" customHeight="false" outlineLevel="0" collapsed="false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12"/>
      <c r="M124" s="160"/>
      <c r="N124" s="112"/>
      <c r="O124" s="160"/>
      <c r="P124" s="160"/>
      <c r="Q124" s="153" t="s">
        <v>150</v>
      </c>
      <c r="R124" s="171" t="n">
        <v>44423</v>
      </c>
      <c r="S124" s="160"/>
      <c r="T124" s="153" t="n">
        <v>1.5</v>
      </c>
      <c r="U124" s="112"/>
      <c r="V124" s="112"/>
      <c r="W124" s="112"/>
      <c r="X124" s="112"/>
      <c r="Y124" s="112"/>
      <c r="Z124" s="112"/>
      <c r="AA124" s="153" t="s">
        <v>150</v>
      </c>
      <c r="AB124" s="153" t="n">
        <v>1.5</v>
      </c>
      <c r="AC124" s="162" t="s">
        <v>852</v>
      </c>
      <c r="AD124" s="153" t="n">
        <v>24.400895</v>
      </c>
      <c r="AE124" s="153" t="n">
        <v>76.278397</v>
      </c>
    </row>
    <row r="125" customFormat="false" ht="15" hidden="false" customHeight="false" outlineLevel="0" collapsed="false">
      <c r="A125" s="160" t="s">
        <v>415</v>
      </c>
      <c r="B125" s="160" t="s">
        <v>1104</v>
      </c>
      <c r="C125" s="160" t="s">
        <v>1305</v>
      </c>
      <c r="D125" s="160" t="s">
        <v>1313</v>
      </c>
      <c r="E125" s="160" t="s">
        <v>1314</v>
      </c>
      <c r="F125" s="160" t="n">
        <v>144.97</v>
      </c>
      <c r="G125" s="160" t="n">
        <v>71</v>
      </c>
      <c r="H125" s="160" t="n">
        <v>318</v>
      </c>
      <c r="I125" s="160" t="n">
        <v>171</v>
      </c>
      <c r="J125" s="160" t="n">
        <v>147</v>
      </c>
      <c r="K125" s="160" t="n">
        <v>23</v>
      </c>
      <c r="L125" s="112" t="n">
        <f aca="false">K125/H125*100</f>
        <v>7.23270440251572</v>
      </c>
      <c r="M125" s="160" t="n">
        <v>276</v>
      </c>
      <c r="N125" s="112" t="n">
        <f aca="false">M125/H125*100</f>
        <v>86.7924528301887</v>
      </c>
      <c r="O125" s="160" t="n">
        <v>17.2</v>
      </c>
      <c r="P125" s="160" t="n">
        <v>0</v>
      </c>
      <c r="Q125" s="12" t="s">
        <v>45</v>
      </c>
      <c r="R125" s="11" t="s">
        <v>1308</v>
      </c>
      <c r="S125" s="160"/>
      <c r="T125" s="11" t="n">
        <v>5</v>
      </c>
      <c r="U125" s="112"/>
      <c r="V125" s="112"/>
      <c r="W125" s="112"/>
      <c r="X125" s="112"/>
      <c r="Y125" s="112"/>
      <c r="Z125" s="112"/>
      <c r="AA125" s="150" t="s">
        <v>150</v>
      </c>
      <c r="AB125" s="11" t="n">
        <v>5</v>
      </c>
      <c r="AC125" s="162" t="s">
        <v>852</v>
      </c>
      <c r="AD125" s="12" t="n">
        <v>24.4108</v>
      </c>
      <c r="AE125" s="12" t="n">
        <v>76.265214</v>
      </c>
    </row>
    <row r="126" customFormat="false" ht="15" hidden="false" customHeight="false" outlineLevel="0" collapsed="false">
      <c r="A126" s="160" t="s">
        <v>415</v>
      </c>
      <c r="B126" s="160" t="s">
        <v>1104</v>
      </c>
      <c r="C126" s="160" t="s">
        <v>1305</v>
      </c>
      <c r="D126" s="160" t="s">
        <v>1315</v>
      </c>
      <c r="E126" s="160" t="s">
        <v>1316</v>
      </c>
      <c r="F126" s="160" t="n">
        <v>180.34</v>
      </c>
      <c r="G126" s="160" t="n">
        <v>102</v>
      </c>
      <c r="H126" s="160" t="n">
        <v>474</v>
      </c>
      <c r="I126" s="160" t="n">
        <v>249</v>
      </c>
      <c r="J126" s="160" t="n">
        <v>225</v>
      </c>
      <c r="K126" s="160" t="n">
        <v>32</v>
      </c>
      <c r="L126" s="112" t="n">
        <f aca="false">K126/H126*100</f>
        <v>6.75105485232067</v>
      </c>
      <c r="M126" s="160" t="n">
        <v>426</v>
      </c>
      <c r="N126" s="112" t="n">
        <f aca="false">M126/H126*100</f>
        <v>89.873417721519</v>
      </c>
      <c r="O126" s="160" t="n">
        <v>25.36</v>
      </c>
      <c r="P126" s="160" t="n">
        <v>0</v>
      </c>
      <c r="Q126" s="150" t="s">
        <v>150</v>
      </c>
      <c r="R126" s="163" t="n">
        <v>44423</v>
      </c>
      <c r="S126" s="160"/>
      <c r="T126" s="150" t="n">
        <v>10</v>
      </c>
      <c r="U126" s="112"/>
      <c r="V126" s="112"/>
      <c r="W126" s="112"/>
      <c r="X126" s="112"/>
      <c r="Y126" s="112"/>
      <c r="Z126" s="112"/>
      <c r="AA126" s="150" t="s">
        <v>45</v>
      </c>
      <c r="AB126" s="150" t="n">
        <v>10</v>
      </c>
      <c r="AC126" s="162" t="s">
        <v>852</v>
      </c>
      <c r="AD126" s="150" t="n">
        <v>24.399079</v>
      </c>
      <c r="AE126" s="150" t="n">
        <v>76.283934</v>
      </c>
    </row>
    <row r="127" customFormat="false" ht="15" hidden="false" customHeight="false" outlineLevel="0" collapsed="false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12"/>
      <c r="M127" s="160"/>
      <c r="N127" s="112"/>
      <c r="O127" s="160"/>
      <c r="P127" s="160"/>
      <c r="Q127" s="153" t="s">
        <v>150</v>
      </c>
      <c r="R127" s="171" t="n">
        <v>44423</v>
      </c>
      <c r="S127" s="160"/>
      <c r="T127" s="153" t="n">
        <v>14</v>
      </c>
      <c r="U127" s="112"/>
      <c r="V127" s="112"/>
      <c r="W127" s="112"/>
      <c r="X127" s="112"/>
      <c r="Y127" s="112"/>
      <c r="Z127" s="112"/>
      <c r="AA127" s="153" t="s">
        <v>45</v>
      </c>
      <c r="AB127" s="153" t="n">
        <v>14</v>
      </c>
      <c r="AC127" s="162" t="s">
        <v>852</v>
      </c>
      <c r="AD127" s="153" t="n">
        <v>24.400853</v>
      </c>
      <c r="AE127" s="153" t="n">
        <v>76.278612</v>
      </c>
    </row>
    <row r="128" customFormat="false" ht="15" hidden="false" customHeight="false" outlineLevel="0" collapsed="false">
      <c r="A128" s="160" t="s">
        <v>415</v>
      </c>
      <c r="B128" s="160" t="s">
        <v>1104</v>
      </c>
      <c r="C128" s="160" t="s">
        <v>1305</v>
      </c>
      <c r="D128" s="160" t="s">
        <v>1317</v>
      </c>
      <c r="E128" s="160" t="s">
        <v>1318</v>
      </c>
      <c r="F128" s="160" t="n">
        <v>144.55</v>
      </c>
      <c r="G128" s="160" t="n">
        <v>101</v>
      </c>
      <c r="H128" s="160" t="n">
        <v>491</v>
      </c>
      <c r="I128" s="160" t="n">
        <v>244</v>
      </c>
      <c r="J128" s="160" t="n">
        <v>247</v>
      </c>
      <c r="K128" s="160" t="n">
        <v>73</v>
      </c>
      <c r="L128" s="112" t="n">
        <f aca="false">K128/H128*100</f>
        <v>14.867617107943</v>
      </c>
      <c r="M128" s="160" t="n">
        <v>355</v>
      </c>
      <c r="N128" s="112" t="n">
        <f aca="false">M128/H128*100</f>
        <v>72.3014256619145</v>
      </c>
      <c r="O128" s="160" t="n">
        <v>31.18</v>
      </c>
      <c r="P128" s="160" t="n">
        <v>0</v>
      </c>
      <c r="Q128" s="12" t="s">
        <v>45</v>
      </c>
      <c r="R128" s="11" t="s">
        <v>1308</v>
      </c>
      <c r="S128" s="160"/>
      <c r="T128" s="11" t="n">
        <v>7</v>
      </c>
      <c r="U128" s="112"/>
      <c r="V128" s="112"/>
      <c r="W128" s="112"/>
      <c r="X128" s="112"/>
      <c r="Y128" s="112"/>
      <c r="Z128" s="112"/>
      <c r="AA128" s="150" t="s">
        <v>150</v>
      </c>
      <c r="AB128" s="11" t="n">
        <v>7</v>
      </c>
      <c r="AC128" s="162" t="s">
        <v>852</v>
      </c>
      <c r="AD128" s="11" t="n">
        <v>24.415404</v>
      </c>
      <c r="AE128" s="11" t="n">
        <v>76.246168</v>
      </c>
    </row>
    <row r="129" customFormat="false" ht="15" hidden="false" customHeight="false" outlineLevel="0" collapsed="false">
      <c r="A129" s="160" t="s">
        <v>415</v>
      </c>
      <c r="B129" s="160" t="s">
        <v>1104</v>
      </c>
      <c r="C129" s="160" t="s">
        <v>1305</v>
      </c>
      <c r="D129" s="160" t="s">
        <v>1083</v>
      </c>
      <c r="E129" s="160" t="s">
        <v>1319</v>
      </c>
      <c r="F129" s="160" t="n">
        <v>148.42</v>
      </c>
      <c r="G129" s="160" t="n">
        <v>138</v>
      </c>
      <c r="H129" s="160" t="n">
        <v>632</v>
      </c>
      <c r="I129" s="160" t="n">
        <v>340</v>
      </c>
      <c r="J129" s="160" t="n">
        <v>292</v>
      </c>
      <c r="K129" s="160" t="n">
        <v>40</v>
      </c>
      <c r="L129" s="112" t="n">
        <f aca="false">K129/H129*100</f>
        <v>6.32911392405063</v>
      </c>
      <c r="M129" s="160" t="n">
        <v>580</v>
      </c>
      <c r="N129" s="112" t="n">
        <f aca="false">M129/H129*100</f>
        <v>91.7721518987342</v>
      </c>
      <c r="O129" s="160" t="n">
        <v>14.92</v>
      </c>
      <c r="P129" s="160" t="n">
        <v>0</v>
      </c>
      <c r="Q129" s="12" t="s">
        <v>45</v>
      </c>
      <c r="R129" s="11" t="s">
        <v>1308</v>
      </c>
      <c r="S129" s="160"/>
      <c r="T129" s="11" t="n">
        <v>3</v>
      </c>
      <c r="U129" s="112"/>
      <c r="V129" s="112"/>
      <c r="W129" s="112"/>
      <c r="X129" s="112"/>
      <c r="Y129" s="112"/>
      <c r="Z129" s="112"/>
      <c r="AA129" s="150" t="s">
        <v>150</v>
      </c>
      <c r="AB129" s="11" t="n">
        <v>3</v>
      </c>
      <c r="AC129" s="162" t="s">
        <v>852</v>
      </c>
      <c r="AD129" s="12" t="n">
        <v>24.434819</v>
      </c>
      <c r="AE129" s="12" t="n">
        <v>76.264707</v>
      </c>
    </row>
    <row r="130" customFormat="false" ht="15" hidden="false" customHeight="false" outlineLevel="0" collapsed="false">
      <c r="A130" s="160" t="s">
        <v>415</v>
      </c>
      <c r="B130" s="160" t="s">
        <v>1104</v>
      </c>
      <c r="C130" s="160" t="s">
        <v>1305</v>
      </c>
      <c r="D130" s="160" t="s">
        <v>281</v>
      </c>
      <c r="E130" s="160" t="s">
        <v>1320</v>
      </c>
      <c r="F130" s="160" t="n">
        <v>512.69</v>
      </c>
      <c r="G130" s="160" t="n">
        <v>70</v>
      </c>
      <c r="H130" s="160" t="n">
        <v>319</v>
      </c>
      <c r="I130" s="160" t="n">
        <v>168</v>
      </c>
      <c r="J130" s="160" t="n">
        <v>151</v>
      </c>
      <c r="K130" s="160" t="n">
        <v>47</v>
      </c>
      <c r="L130" s="112" t="n">
        <f aca="false">K130/H130*100</f>
        <v>14.7335423197492</v>
      </c>
      <c r="M130" s="160" t="n">
        <v>10</v>
      </c>
      <c r="N130" s="112" t="n">
        <f aca="false">M130/H130*100</f>
        <v>3.13479623824451</v>
      </c>
      <c r="O130" s="160" t="n">
        <v>31.2</v>
      </c>
      <c r="P130" s="160" t="n">
        <v>259.95</v>
      </c>
      <c r="Q130" s="12" t="s">
        <v>45</v>
      </c>
      <c r="R130" s="11" t="s">
        <v>1308</v>
      </c>
      <c r="S130" s="160"/>
      <c r="T130" s="11" t="n">
        <v>11</v>
      </c>
      <c r="U130" s="112"/>
      <c r="V130" s="112"/>
      <c r="W130" s="112"/>
      <c r="X130" s="112"/>
      <c r="Y130" s="112"/>
      <c r="Z130" s="112"/>
      <c r="AA130" s="150" t="s">
        <v>150</v>
      </c>
      <c r="AB130" s="11" t="n">
        <v>11</v>
      </c>
      <c r="AC130" s="162" t="s">
        <v>852</v>
      </c>
      <c r="AD130" s="12" t="n">
        <v>24.432004</v>
      </c>
      <c r="AE130" s="12" t="n">
        <v>76.278424</v>
      </c>
    </row>
    <row r="131" customFormat="false" ht="15" hidden="false" customHeight="false" outlineLevel="0" collapsed="false">
      <c r="A131" s="160" t="s">
        <v>415</v>
      </c>
      <c r="B131" s="160" t="s">
        <v>1104</v>
      </c>
      <c r="C131" s="160" t="s">
        <v>1305</v>
      </c>
      <c r="D131" s="160" t="s">
        <v>1321</v>
      </c>
      <c r="E131" s="160" t="s">
        <v>1322</v>
      </c>
      <c r="F131" s="160" t="n">
        <v>503.53</v>
      </c>
      <c r="G131" s="160" t="n">
        <v>0</v>
      </c>
      <c r="H131" s="160" t="n">
        <v>0</v>
      </c>
      <c r="I131" s="160" t="n">
        <v>0</v>
      </c>
      <c r="J131" s="160" t="n">
        <v>0</v>
      </c>
      <c r="K131" s="160" t="n">
        <v>0</v>
      </c>
      <c r="L131" s="112"/>
      <c r="M131" s="160" t="n">
        <v>0</v>
      </c>
      <c r="N131" s="112"/>
      <c r="O131" s="160" t="n">
        <v>0</v>
      </c>
      <c r="P131" s="160" t="n">
        <v>378.86</v>
      </c>
      <c r="Q131" s="11"/>
      <c r="R131" s="11"/>
      <c r="S131" s="160"/>
      <c r="T131" s="11"/>
      <c r="U131" s="112"/>
      <c r="V131" s="112"/>
      <c r="W131" s="112"/>
      <c r="X131" s="112"/>
      <c r="Y131" s="112"/>
      <c r="Z131" s="112"/>
      <c r="AA131" s="11"/>
      <c r="AB131" s="11"/>
      <c r="AC131" s="162" t="s">
        <v>852</v>
      </c>
      <c r="AD131" s="11"/>
      <c r="AE131" s="11"/>
    </row>
    <row r="132" customFormat="false" ht="15" hidden="false" customHeight="false" outlineLevel="0" collapsed="false">
      <c r="A132" s="160" t="s">
        <v>415</v>
      </c>
      <c r="B132" s="160" t="s">
        <v>1104</v>
      </c>
      <c r="C132" s="160" t="s">
        <v>1323</v>
      </c>
      <c r="D132" s="161" t="s">
        <v>1324</v>
      </c>
      <c r="E132" s="160" t="s">
        <v>1325</v>
      </c>
      <c r="F132" s="160" t="n">
        <v>858.32</v>
      </c>
      <c r="G132" s="160" t="n">
        <v>435</v>
      </c>
      <c r="H132" s="160" t="n">
        <v>1633</v>
      </c>
      <c r="I132" s="160" t="n">
        <v>825</v>
      </c>
      <c r="J132" s="160" t="n">
        <v>808</v>
      </c>
      <c r="K132" s="160" t="n">
        <v>232</v>
      </c>
      <c r="L132" s="112" t="n">
        <f aca="false">K132/H132*100</f>
        <v>14.206981016534</v>
      </c>
      <c r="M132" s="160" t="n">
        <v>0</v>
      </c>
      <c r="N132" s="112" t="n">
        <f aca="false">M132/H132*100</f>
        <v>0</v>
      </c>
      <c r="O132" s="160" t="n">
        <v>76.62</v>
      </c>
      <c r="P132" s="160" t="n">
        <v>0.94</v>
      </c>
      <c r="Q132" s="153" t="s">
        <v>45</v>
      </c>
      <c r="R132" s="171" t="n">
        <v>44411</v>
      </c>
      <c r="S132" s="160"/>
      <c r="T132" s="153" t="n">
        <v>5</v>
      </c>
      <c r="U132" s="112"/>
      <c r="V132" s="112"/>
      <c r="W132" s="112"/>
      <c r="X132" s="112"/>
      <c r="Y132" s="112"/>
      <c r="Z132" s="112"/>
      <c r="AA132" s="153" t="s">
        <v>45</v>
      </c>
      <c r="AB132" s="153" t="n">
        <v>5</v>
      </c>
      <c r="AC132" s="162" t="s">
        <v>852</v>
      </c>
      <c r="AD132" s="153" t="n">
        <v>24.290479</v>
      </c>
      <c r="AE132" s="153" t="n">
        <v>76.34184</v>
      </c>
    </row>
    <row r="133" customFormat="false" ht="15" hidden="false" customHeight="false" outlineLevel="0" collapsed="false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12"/>
      <c r="M133" s="160"/>
      <c r="N133" s="112"/>
      <c r="O133" s="160"/>
      <c r="P133" s="160"/>
      <c r="Q133" s="168" t="s">
        <v>45</v>
      </c>
      <c r="R133" s="169" t="n">
        <v>44684</v>
      </c>
      <c r="S133" s="160"/>
      <c r="T133" s="41" t="n">
        <v>10</v>
      </c>
      <c r="U133" s="112"/>
      <c r="V133" s="112"/>
      <c r="W133" s="112"/>
      <c r="X133" s="112"/>
      <c r="Y133" s="112"/>
      <c r="Z133" s="112"/>
      <c r="AA133" s="41" t="s">
        <v>45</v>
      </c>
      <c r="AB133" s="41" t="n">
        <v>10</v>
      </c>
      <c r="AC133" s="162" t="s">
        <v>852</v>
      </c>
      <c r="AD133" s="170" t="n">
        <v>24.298225</v>
      </c>
      <c r="AE133" s="170" t="n">
        <v>76.329352</v>
      </c>
    </row>
    <row r="134" customFormat="false" ht="15" hidden="false" customHeight="false" outlineLevel="0" collapsed="false">
      <c r="A134" s="160" t="s">
        <v>415</v>
      </c>
      <c r="B134" s="160" t="s">
        <v>1104</v>
      </c>
      <c r="C134" s="160" t="s">
        <v>1323</v>
      </c>
      <c r="D134" s="160" t="s">
        <v>1326</v>
      </c>
      <c r="E134" s="160" t="s">
        <v>1327</v>
      </c>
      <c r="F134" s="160" t="n">
        <v>100.97</v>
      </c>
      <c r="G134" s="160" t="n">
        <v>76</v>
      </c>
      <c r="H134" s="160" t="n">
        <v>293</v>
      </c>
      <c r="I134" s="160" t="n">
        <v>149</v>
      </c>
      <c r="J134" s="160" t="n">
        <v>144</v>
      </c>
      <c r="K134" s="160" t="n">
        <v>0</v>
      </c>
      <c r="L134" s="112" t="n">
        <f aca="false">K134/H134*100</f>
        <v>0</v>
      </c>
      <c r="M134" s="160" t="n">
        <v>0</v>
      </c>
      <c r="N134" s="112" t="n">
        <f aca="false">M134/H134*100</f>
        <v>0</v>
      </c>
      <c r="O134" s="160" t="n">
        <v>19.91</v>
      </c>
      <c r="P134" s="160" t="n">
        <v>0</v>
      </c>
      <c r="Q134" s="168" t="s">
        <v>45</v>
      </c>
      <c r="R134" s="169" t="n">
        <v>44684</v>
      </c>
      <c r="S134" s="160"/>
      <c r="T134" s="41" t="n">
        <v>4.0701</v>
      </c>
      <c r="U134" s="112"/>
      <c r="V134" s="112"/>
      <c r="W134" s="112"/>
      <c r="X134" s="112"/>
      <c r="Y134" s="112"/>
      <c r="Z134" s="112"/>
      <c r="AA134" s="41" t="s">
        <v>45</v>
      </c>
      <c r="AB134" s="41" t="n">
        <v>4.0701</v>
      </c>
      <c r="AC134" s="162" t="s">
        <v>852</v>
      </c>
      <c r="AD134" s="170" t="n">
        <v>24.368389</v>
      </c>
      <c r="AE134" s="170" t="n">
        <v>76.321051</v>
      </c>
    </row>
    <row r="135" customFormat="false" ht="15" hidden="false" customHeight="false" outlineLevel="0" collapsed="false">
      <c r="A135" s="160" t="s">
        <v>415</v>
      </c>
      <c r="B135" s="160" t="s">
        <v>1104</v>
      </c>
      <c r="C135" s="160" t="s">
        <v>1323</v>
      </c>
      <c r="D135" s="160" t="s">
        <v>87</v>
      </c>
      <c r="E135" s="160" t="s">
        <v>1328</v>
      </c>
      <c r="F135" s="160" t="n">
        <v>174.61</v>
      </c>
      <c r="G135" s="160" t="n">
        <v>80</v>
      </c>
      <c r="H135" s="160" t="n">
        <v>365</v>
      </c>
      <c r="I135" s="160" t="n">
        <v>184</v>
      </c>
      <c r="J135" s="160" t="n">
        <v>181</v>
      </c>
      <c r="K135" s="160" t="n">
        <v>64</v>
      </c>
      <c r="L135" s="112" t="n">
        <f aca="false">K135/H135*100</f>
        <v>17.5342465753425</v>
      </c>
      <c r="M135" s="160" t="n">
        <v>0</v>
      </c>
      <c r="N135" s="112" t="n">
        <f aca="false">M135/H135*100</f>
        <v>0</v>
      </c>
      <c r="O135" s="160" t="n">
        <v>46.03</v>
      </c>
      <c r="P135" s="160" t="n">
        <v>0</v>
      </c>
      <c r="Q135" s="11"/>
      <c r="R135" s="11"/>
      <c r="S135" s="160"/>
      <c r="T135" s="11"/>
      <c r="U135" s="112"/>
      <c r="V135" s="112"/>
      <c r="W135" s="112"/>
      <c r="X135" s="112"/>
      <c r="Y135" s="112"/>
      <c r="Z135" s="112"/>
      <c r="AA135" s="11"/>
      <c r="AB135" s="11"/>
      <c r="AC135" s="162" t="s">
        <v>852</v>
      </c>
      <c r="AD135" s="11"/>
      <c r="AE135" s="11"/>
    </row>
    <row r="136" customFormat="false" ht="15" hidden="false" customHeight="false" outlineLevel="0" collapsed="false">
      <c r="A136" s="160" t="s">
        <v>415</v>
      </c>
      <c r="B136" s="160" t="s">
        <v>1104</v>
      </c>
      <c r="C136" s="160" t="s">
        <v>1323</v>
      </c>
      <c r="D136" s="160" t="s">
        <v>281</v>
      </c>
      <c r="E136" s="160" t="s">
        <v>1329</v>
      </c>
      <c r="F136" s="160" t="n">
        <v>163.57</v>
      </c>
      <c r="G136" s="160" t="n">
        <v>73</v>
      </c>
      <c r="H136" s="160" t="n">
        <v>309</v>
      </c>
      <c r="I136" s="160" t="n">
        <v>148</v>
      </c>
      <c r="J136" s="160" t="n">
        <v>161</v>
      </c>
      <c r="K136" s="160" t="n">
        <v>0</v>
      </c>
      <c r="L136" s="112" t="n">
        <f aca="false">K136/H136*100</f>
        <v>0</v>
      </c>
      <c r="M136" s="160" t="n">
        <v>0</v>
      </c>
      <c r="N136" s="112" t="n">
        <f aca="false">M136/H136*100</f>
        <v>0</v>
      </c>
      <c r="O136" s="160" t="n">
        <v>11.57</v>
      </c>
      <c r="P136" s="160" t="n">
        <v>66.23</v>
      </c>
      <c r="Q136" s="11"/>
      <c r="R136" s="11"/>
      <c r="S136" s="160"/>
      <c r="T136" s="11"/>
      <c r="U136" s="112"/>
      <c r="V136" s="112"/>
      <c r="W136" s="112"/>
      <c r="X136" s="112"/>
      <c r="Y136" s="112"/>
      <c r="Z136" s="112"/>
      <c r="AA136" s="11"/>
      <c r="AB136" s="11"/>
      <c r="AC136" s="162" t="s">
        <v>852</v>
      </c>
      <c r="AD136" s="11"/>
      <c r="AE136" s="11"/>
    </row>
    <row r="137" customFormat="false" ht="15" hidden="false" customHeight="false" outlineLevel="0" collapsed="false">
      <c r="A137" s="160" t="s">
        <v>415</v>
      </c>
      <c r="B137" s="160" t="s">
        <v>1104</v>
      </c>
      <c r="C137" s="160" t="s">
        <v>1323</v>
      </c>
      <c r="D137" s="160" t="s">
        <v>1330</v>
      </c>
      <c r="E137" s="160" t="s">
        <v>1331</v>
      </c>
      <c r="F137" s="160" t="n">
        <v>135.51</v>
      </c>
      <c r="G137" s="160" t="n">
        <v>4</v>
      </c>
      <c r="H137" s="160" t="n">
        <v>13</v>
      </c>
      <c r="I137" s="160" t="n">
        <v>5</v>
      </c>
      <c r="J137" s="160" t="n">
        <v>8</v>
      </c>
      <c r="K137" s="160" t="n">
        <v>0</v>
      </c>
      <c r="L137" s="112" t="n">
        <f aca="false">K137/H137*100</f>
        <v>0</v>
      </c>
      <c r="M137" s="160" t="n">
        <v>0</v>
      </c>
      <c r="N137" s="112" t="n">
        <f aca="false">M137/H137*100</f>
        <v>0</v>
      </c>
      <c r="O137" s="160" t="n">
        <v>2.38</v>
      </c>
      <c r="P137" s="160" t="n">
        <v>5.71</v>
      </c>
      <c r="Q137" s="11"/>
      <c r="R137" s="11"/>
      <c r="S137" s="160"/>
      <c r="T137" s="11"/>
      <c r="U137" s="112"/>
      <c r="V137" s="112"/>
      <c r="W137" s="112"/>
      <c r="X137" s="112"/>
      <c r="Y137" s="112"/>
      <c r="Z137" s="112"/>
      <c r="AA137" s="11"/>
      <c r="AB137" s="11"/>
      <c r="AC137" s="162" t="s">
        <v>852</v>
      </c>
      <c r="AD137" s="11"/>
      <c r="AE137" s="11"/>
    </row>
    <row r="138" customFormat="false" ht="15" hidden="false" customHeight="false" outlineLevel="0" collapsed="false">
      <c r="A138" s="160" t="s">
        <v>415</v>
      </c>
      <c r="B138" s="160" t="s">
        <v>1104</v>
      </c>
      <c r="C138" s="160" t="s">
        <v>1323</v>
      </c>
      <c r="D138" s="160" t="s">
        <v>1332</v>
      </c>
      <c r="E138" s="160" t="s">
        <v>1333</v>
      </c>
      <c r="F138" s="160" t="n">
        <v>128.77</v>
      </c>
      <c r="G138" s="160" t="n">
        <v>7</v>
      </c>
      <c r="H138" s="160" t="n">
        <v>34</v>
      </c>
      <c r="I138" s="160" t="n">
        <v>16</v>
      </c>
      <c r="J138" s="160" t="n">
        <v>18</v>
      </c>
      <c r="K138" s="160" t="n">
        <v>0</v>
      </c>
      <c r="L138" s="112" t="n">
        <f aca="false">K138/H138*100</f>
        <v>0</v>
      </c>
      <c r="M138" s="160" t="n">
        <v>0</v>
      </c>
      <c r="N138" s="112" t="n">
        <f aca="false">M138/H138*100</f>
        <v>0</v>
      </c>
      <c r="O138" s="160" t="n">
        <v>13.75</v>
      </c>
      <c r="P138" s="160" t="n">
        <v>41.01</v>
      </c>
      <c r="Q138" s="11"/>
      <c r="R138" s="11"/>
      <c r="S138" s="160"/>
      <c r="T138" s="11"/>
      <c r="U138" s="112"/>
      <c r="V138" s="112"/>
      <c r="W138" s="112"/>
      <c r="X138" s="112"/>
      <c r="Y138" s="112"/>
      <c r="Z138" s="112"/>
      <c r="AA138" s="11"/>
      <c r="AB138" s="11"/>
      <c r="AC138" s="162" t="s">
        <v>852</v>
      </c>
      <c r="AD138" s="11"/>
      <c r="AE138" s="11"/>
    </row>
    <row r="139" customFormat="false" ht="15" hidden="false" customHeight="false" outlineLevel="0" collapsed="false">
      <c r="A139" s="160" t="s">
        <v>415</v>
      </c>
      <c r="B139" s="160" t="s">
        <v>1104</v>
      </c>
      <c r="C139" s="160" t="s">
        <v>1323</v>
      </c>
      <c r="D139" s="160" t="s">
        <v>1334</v>
      </c>
      <c r="E139" s="160" t="s">
        <v>1335</v>
      </c>
      <c r="F139" s="160" t="n">
        <v>100.44</v>
      </c>
      <c r="G139" s="160" t="n">
        <v>54</v>
      </c>
      <c r="H139" s="160" t="n">
        <v>189</v>
      </c>
      <c r="I139" s="160" t="n">
        <v>88</v>
      </c>
      <c r="J139" s="160" t="n">
        <v>101</v>
      </c>
      <c r="K139" s="160" t="n">
        <v>0</v>
      </c>
      <c r="L139" s="112" t="n">
        <f aca="false">K139/H139*100</f>
        <v>0</v>
      </c>
      <c r="M139" s="160" t="n">
        <v>0</v>
      </c>
      <c r="N139" s="112" t="n">
        <f aca="false">M139/H139*100</f>
        <v>0</v>
      </c>
      <c r="O139" s="160" t="n">
        <v>13.99</v>
      </c>
      <c r="P139" s="160" t="n">
        <v>0</v>
      </c>
      <c r="Q139" s="11"/>
      <c r="R139" s="11"/>
      <c r="S139" s="160"/>
      <c r="T139" s="11"/>
      <c r="U139" s="112"/>
      <c r="V139" s="112"/>
      <c r="W139" s="112"/>
      <c r="X139" s="112"/>
      <c r="Y139" s="112"/>
      <c r="Z139" s="112"/>
      <c r="AA139" s="11"/>
      <c r="AB139" s="11"/>
      <c r="AC139" s="162" t="s">
        <v>852</v>
      </c>
      <c r="AD139" s="11"/>
      <c r="AE139" s="11"/>
    </row>
    <row r="140" customFormat="false" ht="15" hidden="false" customHeight="false" outlineLevel="0" collapsed="false">
      <c r="A140" s="160" t="s">
        <v>415</v>
      </c>
      <c r="B140" s="160" t="s">
        <v>1104</v>
      </c>
      <c r="C140" s="160" t="s">
        <v>1323</v>
      </c>
      <c r="D140" s="160" t="s">
        <v>1336</v>
      </c>
      <c r="E140" s="160" t="s">
        <v>1337</v>
      </c>
      <c r="F140" s="160" t="n">
        <v>53.75</v>
      </c>
      <c r="G140" s="160" t="n">
        <v>31</v>
      </c>
      <c r="H140" s="160" t="n">
        <v>104</v>
      </c>
      <c r="I140" s="160" t="n">
        <v>51</v>
      </c>
      <c r="J140" s="160" t="n">
        <v>53</v>
      </c>
      <c r="K140" s="160" t="n">
        <v>0</v>
      </c>
      <c r="L140" s="112" t="n">
        <f aca="false">K140/H140*100</f>
        <v>0</v>
      </c>
      <c r="M140" s="160" t="n">
        <v>0</v>
      </c>
      <c r="N140" s="112" t="n">
        <f aca="false">M140/H140*100</f>
        <v>0</v>
      </c>
      <c r="O140" s="160" t="n">
        <v>7.51</v>
      </c>
      <c r="P140" s="160" t="n">
        <v>0</v>
      </c>
      <c r="Q140" s="168" t="s">
        <v>45</v>
      </c>
      <c r="R140" s="169" t="n">
        <v>44837</v>
      </c>
      <c r="S140" s="160"/>
      <c r="T140" s="41" t="n">
        <v>5.7</v>
      </c>
      <c r="U140" s="112"/>
      <c r="V140" s="112"/>
      <c r="W140" s="112"/>
      <c r="X140" s="112"/>
      <c r="Y140" s="112"/>
      <c r="Z140" s="112"/>
      <c r="AA140" s="41" t="s">
        <v>45</v>
      </c>
      <c r="AB140" s="41" t="n">
        <v>5.7</v>
      </c>
      <c r="AC140" s="162" t="s">
        <v>852</v>
      </c>
      <c r="AD140" s="170" t="n">
        <v>24.37452</v>
      </c>
      <c r="AE140" s="170" t="n">
        <v>76.37985</v>
      </c>
    </row>
    <row r="141" customFormat="false" ht="15" hidden="false" customHeight="false" outlineLevel="0" collapsed="false">
      <c r="A141" s="160" t="s">
        <v>415</v>
      </c>
      <c r="B141" s="160" t="s">
        <v>1104</v>
      </c>
      <c r="C141" s="160" t="s">
        <v>1323</v>
      </c>
      <c r="D141" s="160" t="s">
        <v>1338</v>
      </c>
      <c r="E141" s="160" t="s">
        <v>1339</v>
      </c>
      <c r="F141" s="160" t="n">
        <v>94.52</v>
      </c>
      <c r="G141" s="160" t="n">
        <v>10</v>
      </c>
      <c r="H141" s="160" t="n">
        <v>58</v>
      </c>
      <c r="I141" s="160" t="n">
        <v>26</v>
      </c>
      <c r="J141" s="160" t="n">
        <v>32</v>
      </c>
      <c r="K141" s="160" t="n">
        <v>15</v>
      </c>
      <c r="L141" s="112" t="n">
        <f aca="false">K141/H141*100</f>
        <v>25.8620689655172</v>
      </c>
      <c r="M141" s="160" t="n">
        <v>0</v>
      </c>
      <c r="N141" s="112" t="n">
        <f aca="false">M141/H141*100</f>
        <v>0</v>
      </c>
      <c r="O141" s="160" t="n">
        <v>14.14</v>
      </c>
      <c r="P141" s="160" t="n">
        <v>37.36</v>
      </c>
      <c r="Q141" s="11"/>
      <c r="R141" s="11"/>
      <c r="S141" s="160"/>
      <c r="T141" s="11"/>
      <c r="U141" s="112"/>
      <c r="V141" s="112"/>
      <c r="W141" s="112"/>
      <c r="X141" s="112"/>
      <c r="Y141" s="112"/>
      <c r="Z141" s="112"/>
      <c r="AA141" s="11"/>
      <c r="AB141" s="11"/>
      <c r="AC141" s="162" t="s">
        <v>852</v>
      </c>
      <c r="AD141" s="11"/>
      <c r="AE141" s="11"/>
    </row>
    <row r="142" customFormat="false" ht="15" hidden="false" customHeight="false" outlineLevel="0" collapsed="false">
      <c r="A142" s="160" t="s">
        <v>415</v>
      </c>
      <c r="B142" s="160" t="s">
        <v>1104</v>
      </c>
      <c r="C142" s="160" t="s">
        <v>1323</v>
      </c>
      <c r="D142" s="160" t="s">
        <v>143</v>
      </c>
      <c r="E142" s="160" t="s">
        <v>1340</v>
      </c>
      <c r="F142" s="160" t="n">
        <v>132.89</v>
      </c>
      <c r="G142" s="160" t="n">
        <v>75</v>
      </c>
      <c r="H142" s="160" t="n">
        <v>269</v>
      </c>
      <c r="I142" s="160" t="n">
        <v>130</v>
      </c>
      <c r="J142" s="160" t="n">
        <v>139</v>
      </c>
      <c r="K142" s="160" t="n">
        <v>0</v>
      </c>
      <c r="L142" s="112" t="n">
        <f aca="false">K142/H142*100</f>
        <v>0</v>
      </c>
      <c r="M142" s="160" t="n">
        <v>0</v>
      </c>
      <c r="N142" s="112" t="n">
        <f aca="false">M142/H142*100</f>
        <v>0</v>
      </c>
      <c r="O142" s="160" t="n">
        <v>16.24</v>
      </c>
      <c r="P142" s="160" t="n">
        <v>40.01</v>
      </c>
      <c r="Q142" s="11"/>
      <c r="R142" s="11"/>
      <c r="S142" s="160"/>
      <c r="T142" s="11"/>
      <c r="U142" s="112"/>
      <c r="V142" s="112"/>
      <c r="W142" s="112"/>
      <c r="X142" s="112"/>
      <c r="Y142" s="112"/>
      <c r="Z142" s="112"/>
      <c r="AA142" s="11"/>
      <c r="AB142" s="11"/>
      <c r="AC142" s="162" t="s">
        <v>852</v>
      </c>
      <c r="AD142" s="11"/>
      <c r="AE142" s="11"/>
    </row>
    <row r="143" customFormat="false" ht="15" hidden="false" customHeight="false" outlineLevel="0" collapsed="false">
      <c r="A143" s="160" t="s">
        <v>415</v>
      </c>
      <c r="B143" s="160" t="s">
        <v>1104</v>
      </c>
      <c r="C143" s="160" t="s">
        <v>1323</v>
      </c>
      <c r="D143" s="160" t="s">
        <v>137</v>
      </c>
      <c r="E143" s="160" t="s">
        <v>1341</v>
      </c>
      <c r="F143" s="160" t="n">
        <v>57.5</v>
      </c>
      <c r="G143" s="160" t="n">
        <v>0</v>
      </c>
      <c r="H143" s="160" t="n">
        <v>0</v>
      </c>
      <c r="I143" s="160" t="n">
        <v>0</v>
      </c>
      <c r="J143" s="160" t="n">
        <v>0</v>
      </c>
      <c r="K143" s="160" t="n">
        <v>0</v>
      </c>
      <c r="L143" s="112"/>
      <c r="M143" s="160" t="n">
        <v>0</v>
      </c>
      <c r="N143" s="112"/>
      <c r="O143" s="160" t="n">
        <v>0</v>
      </c>
      <c r="P143" s="160" t="n">
        <v>0</v>
      </c>
      <c r="Q143" s="11"/>
      <c r="R143" s="11"/>
      <c r="S143" s="160"/>
      <c r="T143" s="11"/>
      <c r="U143" s="112"/>
      <c r="V143" s="112"/>
      <c r="W143" s="112"/>
      <c r="X143" s="112"/>
      <c r="Y143" s="112"/>
      <c r="Z143" s="112"/>
      <c r="AA143" s="11"/>
      <c r="AB143" s="11"/>
      <c r="AC143" s="162" t="s">
        <v>852</v>
      </c>
      <c r="AD143" s="11"/>
      <c r="AE143" s="11"/>
    </row>
    <row r="144" customFormat="false" ht="15" hidden="false" customHeight="false" outlineLevel="0" collapsed="false">
      <c r="A144" s="160" t="s">
        <v>415</v>
      </c>
      <c r="B144" s="160" t="s">
        <v>1104</v>
      </c>
      <c r="C144" s="160" t="s">
        <v>1323</v>
      </c>
      <c r="D144" s="160" t="s">
        <v>1342</v>
      </c>
      <c r="E144" s="160" t="s">
        <v>1343</v>
      </c>
      <c r="F144" s="160" t="n">
        <v>155.66</v>
      </c>
      <c r="G144" s="160" t="n">
        <v>74</v>
      </c>
      <c r="H144" s="160" t="n">
        <v>274</v>
      </c>
      <c r="I144" s="160" t="n">
        <v>123</v>
      </c>
      <c r="J144" s="160" t="n">
        <v>151</v>
      </c>
      <c r="K144" s="160" t="n">
        <v>0</v>
      </c>
      <c r="L144" s="112" t="n">
        <f aca="false">K144/H144*100</f>
        <v>0</v>
      </c>
      <c r="M144" s="160" t="n">
        <v>0</v>
      </c>
      <c r="N144" s="112" t="n">
        <f aca="false">M144/H144*100</f>
        <v>0</v>
      </c>
      <c r="O144" s="160" t="n">
        <v>19.99</v>
      </c>
      <c r="P144" s="160" t="n">
        <v>42.34</v>
      </c>
      <c r="Q144" s="11"/>
      <c r="R144" s="11"/>
      <c r="S144" s="160"/>
      <c r="T144" s="11"/>
      <c r="U144" s="112"/>
      <c r="V144" s="112"/>
      <c r="W144" s="112"/>
      <c r="X144" s="112"/>
      <c r="Y144" s="112"/>
      <c r="Z144" s="112"/>
      <c r="AA144" s="11"/>
      <c r="AB144" s="11"/>
      <c r="AC144" s="162" t="s">
        <v>852</v>
      </c>
      <c r="AD144" s="11"/>
      <c r="AE144" s="11"/>
    </row>
    <row r="145" customFormat="false" ht="15" hidden="false" customHeight="false" outlineLevel="0" collapsed="false">
      <c r="A145" s="160" t="s">
        <v>415</v>
      </c>
      <c r="B145" s="160" t="s">
        <v>1104</v>
      </c>
      <c r="C145" s="160" t="s">
        <v>1323</v>
      </c>
      <c r="D145" s="160" t="s">
        <v>52</v>
      </c>
      <c r="E145" s="160" t="s">
        <v>1344</v>
      </c>
      <c r="F145" s="160" t="n">
        <v>386.92</v>
      </c>
      <c r="G145" s="160" t="n">
        <v>26</v>
      </c>
      <c r="H145" s="160" t="n">
        <v>106</v>
      </c>
      <c r="I145" s="160" t="n">
        <v>52</v>
      </c>
      <c r="J145" s="160" t="n">
        <v>54</v>
      </c>
      <c r="K145" s="160" t="n">
        <v>5</v>
      </c>
      <c r="L145" s="112" t="n">
        <f aca="false">K145/H145*100</f>
        <v>4.71698113207547</v>
      </c>
      <c r="M145" s="160" t="n">
        <v>0</v>
      </c>
      <c r="N145" s="112" t="n">
        <f aca="false">M145/H145*100</f>
        <v>0</v>
      </c>
      <c r="O145" s="160" t="n">
        <v>15.54</v>
      </c>
      <c r="P145" s="160" t="n">
        <v>278.94</v>
      </c>
      <c r="Q145" s="11"/>
      <c r="R145" s="11"/>
      <c r="S145" s="160"/>
      <c r="T145" s="11"/>
      <c r="U145" s="112"/>
      <c r="V145" s="112"/>
      <c r="W145" s="112"/>
      <c r="X145" s="112"/>
      <c r="Y145" s="112"/>
      <c r="Z145" s="112"/>
      <c r="AA145" s="11"/>
      <c r="AB145" s="11"/>
      <c r="AC145" s="162" t="s">
        <v>852</v>
      </c>
      <c r="AD145" s="11"/>
      <c r="AE145" s="11"/>
    </row>
    <row r="146" customFormat="false" ht="15" hidden="false" customHeight="false" outlineLevel="0" collapsed="false">
      <c r="A146" s="160" t="s">
        <v>415</v>
      </c>
      <c r="B146" s="160" t="s">
        <v>1104</v>
      </c>
      <c r="C146" s="160" t="s">
        <v>1323</v>
      </c>
      <c r="D146" s="160" t="s">
        <v>279</v>
      </c>
      <c r="E146" s="160" t="s">
        <v>1345</v>
      </c>
      <c r="F146" s="160" t="n">
        <v>92.62</v>
      </c>
      <c r="G146" s="160" t="n">
        <v>64</v>
      </c>
      <c r="H146" s="160" t="n">
        <v>253</v>
      </c>
      <c r="I146" s="160" t="n">
        <v>127</v>
      </c>
      <c r="J146" s="160" t="n">
        <v>126</v>
      </c>
      <c r="K146" s="160" t="n">
        <v>0</v>
      </c>
      <c r="L146" s="112" t="n">
        <f aca="false">K146/H146*100</f>
        <v>0</v>
      </c>
      <c r="M146" s="160" t="n">
        <v>0</v>
      </c>
      <c r="N146" s="112" t="n">
        <f aca="false">M146/H146*100</f>
        <v>0</v>
      </c>
      <c r="O146" s="160" t="n">
        <v>16.77</v>
      </c>
      <c r="P146" s="160" t="n">
        <v>2.54</v>
      </c>
      <c r="Q146" s="182" t="s">
        <v>1346</v>
      </c>
      <c r="R146" s="183" t="n">
        <v>44411</v>
      </c>
      <c r="S146" s="160"/>
      <c r="T146" s="182" t="n">
        <v>5</v>
      </c>
      <c r="U146" s="112"/>
      <c r="V146" s="112"/>
      <c r="W146" s="112"/>
      <c r="X146" s="112"/>
      <c r="Y146" s="112"/>
      <c r="Z146" s="112"/>
      <c r="AA146" s="182" t="s">
        <v>45</v>
      </c>
      <c r="AB146" s="182" t="n">
        <v>5</v>
      </c>
      <c r="AC146" s="162" t="s">
        <v>852</v>
      </c>
      <c r="AD146" s="182" t="n">
        <v>24.305409</v>
      </c>
      <c r="AE146" s="182" t="n">
        <v>76.364222</v>
      </c>
    </row>
    <row r="147" customFormat="false" ht="15" hidden="false" customHeight="false" outlineLevel="0" collapsed="false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12"/>
      <c r="M147" s="160"/>
      <c r="N147" s="112"/>
      <c r="O147" s="160"/>
      <c r="P147" s="160"/>
      <c r="Q147" s="168" t="s">
        <v>45</v>
      </c>
      <c r="R147" s="169" t="n">
        <v>44807</v>
      </c>
      <c r="S147" s="160"/>
      <c r="T147" s="41" t="n">
        <v>4.5</v>
      </c>
      <c r="U147" s="112"/>
      <c r="V147" s="112"/>
      <c r="W147" s="112"/>
      <c r="X147" s="112"/>
      <c r="Y147" s="112"/>
      <c r="Z147" s="112"/>
      <c r="AA147" s="41" t="s">
        <v>45</v>
      </c>
      <c r="AB147" s="41" t="n">
        <v>4.5</v>
      </c>
      <c r="AC147" s="162" t="s">
        <v>852</v>
      </c>
      <c r="AD147" s="170" t="n">
        <v>24.30251</v>
      </c>
      <c r="AE147" s="170" t="n">
        <v>76.334845</v>
      </c>
    </row>
    <row r="148" customFormat="false" ht="15" hidden="false" customHeight="false" outlineLevel="0" collapsed="false">
      <c r="A148" s="160" t="s">
        <v>415</v>
      </c>
      <c r="B148" s="160" t="s">
        <v>1104</v>
      </c>
      <c r="C148" s="160" t="s">
        <v>1323</v>
      </c>
      <c r="D148" s="160" t="s">
        <v>138</v>
      </c>
      <c r="E148" s="160" t="s">
        <v>1347</v>
      </c>
      <c r="F148" s="160" t="n">
        <v>251.03</v>
      </c>
      <c r="G148" s="160" t="n">
        <v>69</v>
      </c>
      <c r="H148" s="160" t="n">
        <v>264</v>
      </c>
      <c r="I148" s="160" t="n">
        <v>128</v>
      </c>
      <c r="J148" s="160" t="n">
        <v>136</v>
      </c>
      <c r="K148" s="160" t="n">
        <v>0</v>
      </c>
      <c r="L148" s="112" t="n">
        <f aca="false">K148/H148*100</f>
        <v>0</v>
      </c>
      <c r="M148" s="160" t="n">
        <v>0</v>
      </c>
      <c r="N148" s="112" t="n">
        <f aca="false">M148/H148*100</f>
        <v>0</v>
      </c>
      <c r="O148" s="160" t="n">
        <v>29.42</v>
      </c>
      <c r="P148" s="160" t="n">
        <v>174.65</v>
      </c>
      <c r="Q148" s="153" t="s">
        <v>45</v>
      </c>
      <c r="R148" s="171" t="n">
        <v>44411</v>
      </c>
      <c r="S148" s="160"/>
      <c r="T148" s="153" t="n">
        <v>5</v>
      </c>
      <c r="U148" s="112"/>
      <c r="V148" s="112"/>
      <c r="W148" s="112" t="s">
        <v>43</v>
      </c>
      <c r="X148" s="112" t="s">
        <v>43</v>
      </c>
      <c r="Y148" s="112" t="s">
        <v>43</v>
      </c>
      <c r="Z148" s="112" t="s">
        <v>43</v>
      </c>
      <c r="AA148" s="153" t="s">
        <v>45</v>
      </c>
      <c r="AB148" s="153" t="n">
        <v>5</v>
      </c>
      <c r="AC148" s="162" t="s">
        <v>852</v>
      </c>
      <c r="AD148" s="153" t="n">
        <v>24.305325</v>
      </c>
      <c r="AE148" s="153" t="n">
        <v>76.364264</v>
      </c>
    </row>
    <row r="149" customFormat="false" ht="15" hidden="false" customHeight="false" outlineLevel="0" collapsed="false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12"/>
      <c r="M149" s="160"/>
      <c r="N149" s="112"/>
      <c r="O149" s="160"/>
      <c r="P149" s="160"/>
      <c r="Q149" s="168" t="s">
        <v>45</v>
      </c>
      <c r="R149" s="169" t="n">
        <v>44868</v>
      </c>
      <c r="S149" s="160"/>
      <c r="T149" s="41" t="n">
        <v>6</v>
      </c>
      <c r="U149" s="112"/>
      <c r="V149" s="112"/>
      <c r="W149" s="112"/>
      <c r="X149" s="112"/>
      <c r="Y149" s="112"/>
      <c r="Z149" s="112"/>
      <c r="AA149" s="41" t="s">
        <v>45</v>
      </c>
      <c r="AB149" s="41" t="n">
        <v>6</v>
      </c>
      <c r="AC149" s="162" t="s">
        <v>852</v>
      </c>
      <c r="AD149" s="170" t="n">
        <v>24.311701</v>
      </c>
      <c r="AE149" s="170" t="n">
        <v>76.374702</v>
      </c>
    </row>
    <row r="150" customFormat="false" ht="15" hidden="false" customHeight="false" outlineLevel="0" collapsed="false">
      <c r="A150" s="160" t="s">
        <v>415</v>
      </c>
      <c r="B150" s="160" t="s">
        <v>1104</v>
      </c>
      <c r="C150" s="160" t="s">
        <v>1323</v>
      </c>
      <c r="D150" s="160" t="s">
        <v>1348</v>
      </c>
      <c r="E150" s="160" t="s">
        <v>1349</v>
      </c>
      <c r="F150" s="160" t="n">
        <v>180.79</v>
      </c>
      <c r="G150" s="160" t="n">
        <v>38</v>
      </c>
      <c r="H150" s="160" t="n">
        <v>148</v>
      </c>
      <c r="I150" s="160" t="n">
        <v>72</v>
      </c>
      <c r="J150" s="160" t="n">
        <v>76</v>
      </c>
      <c r="K150" s="160" t="n">
        <v>0</v>
      </c>
      <c r="L150" s="112" t="n">
        <f aca="false">K150/H150*100</f>
        <v>0</v>
      </c>
      <c r="M150" s="160" t="n">
        <v>0</v>
      </c>
      <c r="N150" s="112" t="n">
        <f aca="false">M150/H150*100</f>
        <v>0</v>
      </c>
      <c r="O150" s="160" t="n">
        <v>8.95</v>
      </c>
      <c r="P150" s="160" t="n">
        <v>14.44</v>
      </c>
      <c r="Q150" s="150" t="s">
        <v>45</v>
      </c>
      <c r="R150" s="163" t="n">
        <v>44411</v>
      </c>
      <c r="S150" s="160"/>
      <c r="T150" s="150" t="n">
        <v>4</v>
      </c>
      <c r="U150" s="112"/>
      <c r="V150" s="112"/>
      <c r="W150" s="112"/>
      <c r="X150" s="112"/>
      <c r="Y150" s="112"/>
      <c r="Z150" s="112"/>
      <c r="AA150" s="182" t="s">
        <v>45</v>
      </c>
      <c r="AB150" s="150" t="n">
        <v>4</v>
      </c>
      <c r="AC150" s="162" t="s">
        <v>852</v>
      </c>
      <c r="AD150" s="150" t="n">
        <v>24.311367</v>
      </c>
      <c r="AE150" s="150" t="n">
        <v>76.346802</v>
      </c>
    </row>
    <row r="151" customFormat="false" ht="15" hidden="false" customHeight="false" outlineLevel="0" collapsed="false">
      <c r="A151" s="160" t="s">
        <v>415</v>
      </c>
      <c r="B151" s="160" t="s">
        <v>1104</v>
      </c>
      <c r="C151" s="160" t="s">
        <v>976</v>
      </c>
      <c r="D151" s="161" t="s">
        <v>296</v>
      </c>
      <c r="E151" s="160" t="s">
        <v>1350</v>
      </c>
      <c r="F151" s="160" t="n">
        <v>1004.02</v>
      </c>
      <c r="G151" s="160" t="n">
        <v>383</v>
      </c>
      <c r="H151" s="160" t="n">
        <v>1881</v>
      </c>
      <c r="I151" s="160" t="n">
        <v>950</v>
      </c>
      <c r="J151" s="160" t="n">
        <v>931</v>
      </c>
      <c r="K151" s="160" t="n">
        <v>420</v>
      </c>
      <c r="L151" s="112" t="n">
        <f aca="false">K151/H151*100</f>
        <v>22.3285486443381</v>
      </c>
      <c r="M151" s="160" t="n">
        <v>0</v>
      </c>
      <c r="N151" s="112" t="n">
        <f aca="false">M151/H151*100</f>
        <v>0</v>
      </c>
      <c r="O151" s="160" t="n">
        <v>93.58</v>
      </c>
      <c r="P151" s="160" t="n">
        <v>371.77</v>
      </c>
      <c r="Q151" s="168" t="s">
        <v>45</v>
      </c>
      <c r="R151" s="168" t="s">
        <v>1252</v>
      </c>
      <c r="S151" s="160"/>
      <c r="T151" s="41" t="n">
        <v>1</v>
      </c>
      <c r="U151" s="112"/>
      <c r="V151" s="112"/>
      <c r="W151" s="112"/>
      <c r="X151" s="112"/>
      <c r="Y151" s="112"/>
      <c r="Z151" s="112"/>
      <c r="AA151" s="41" t="s">
        <v>45</v>
      </c>
      <c r="AB151" s="41" t="n">
        <v>1</v>
      </c>
      <c r="AC151" s="162" t="s">
        <v>852</v>
      </c>
      <c r="AD151" s="170" t="n">
        <v>24.267803</v>
      </c>
      <c r="AE151" s="170" t="n">
        <v>76.746236</v>
      </c>
    </row>
    <row r="152" customFormat="false" ht="15" hidden="false" customHeight="false" outlineLevel="0" collapsed="false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12"/>
      <c r="M152" s="160"/>
      <c r="N152" s="112"/>
      <c r="O152" s="160"/>
      <c r="P152" s="160"/>
      <c r="Q152" s="168" t="s">
        <v>45</v>
      </c>
      <c r="R152" s="168" t="s">
        <v>1252</v>
      </c>
      <c r="S152" s="160"/>
      <c r="T152" s="184" t="n">
        <v>20</v>
      </c>
      <c r="U152" s="112"/>
      <c r="V152" s="112"/>
      <c r="W152" s="112"/>
      <c r="X152" s="112"/>
      <c r="Y152" s="112"/>
      <c r="Z152" s="112"/>
      <c r="AA152" s="153" t="s">
        <v>43</v>
      </c>
      <c r="AB152" s="184" t="n">
        <v>20</v>
      </c>
      <c r="AC152" s="162" t="s">
        <v>852</v>
      </c>
      <c r="AD152" s="170" t="n">
        <v>24.257158</v>
      </c>
      <c r="AE152" s="170" t="n">
        <v>76.265081</v>
      </c>
    </row>
    <row r="153" customFormat="false" ht="15" hidden="false" customHeight="false" outlineLevel="0" collapsed="false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12"/>
      <c r="M153" s="160"/>
      <c r="N153" s="112"/>
      <c r="O153" s="160"/>
      <c r="P153" s="160"/>
      <c r="Q153" s="168" t="s">
        <v>45</v>
      </c>
      <c r="R153" s="168" t="s">
        <v>1252</v>
      </c>
      <c r="S153" s="160"/>
      <c r="T153" s="184" t="n">
        <v>12</v>
      </c>
      <c r="U153" s="112"/>
      <c r="V153" s="112"/>
      <c r="W153" s="112"/>
      <c r="X153" s="112"/>
      <c r="Y153" s="112"/>
      <c r="Z153" s="112"/>
      <c r="AA153" s="153" t="s">
        <v>43</v>
      </c>
      <c r="AB153" s="184" t="n">
        <v>12</v>
      </c>
      <c r="AC153" s="162" t="s">
        <v>852</v>
      </c>
      <c r="AD153" s="170" t="n">
        <v>24.253419</v>
      </c>
      <c r="AE153" s="170" t="n">
        <v>76.26445</v>
      </c>
    </row>
    <row r="154" customFormat="false" ht="15" hidden="false" customHeight="false" outlineLevel="0" collapsed="false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12"/>
      <c r="M154" s="160"/>
      <c r="N154" s="112"/>
      <c r="O154" s="160"/>
      <c r="P154" s="160"/>
      <c r="Q154" s="168" t="s">
        <v>45</v>
      </c>
      <c r="R154" s="168" t="s">
        <v>1252</v>
      </c>
      <c r="S154" s="160"/>
      <c r="T154" s="184" t="n">
        <v>25</v>
      </c>
      <c r="U154" s="112"/>
      <c r="V154" s="112"/>
      <c r="W154" s="112"/>
      <c r="X154" s="112"/>
      <c r="Y154" s="112"/>
      <c r="Z154" s="112"/>
      <c r="AA154" s="153" t="s">
        <v>43</v>
      </c>
      <c r="AB154" s="184" t="n">
        <v>25</v>
      </c>
      <c r="AC154" s="162" t="s">
        <v>852</v>
      </c>
      <c r="AD154" s="170" t="n">
        <v>24.25691</v>
      </c>
      <c r="AE154" s="170" t="n">
        <v>76.264564</v>
      </c>
    </row>
    <row r="155" customFormat="false" ht="15" hidden="false" customHeight="false" outlineLevel="0" collapsed="false">
      <c r="A155" s="160" t="s">
        <v>415</v>
      </c>
      <c r="B155" s="160" t="s">
        <v>1104</v>
      </c>
      <c r="C155" s="160" t="s">
        <v>976</v>
      </c>
      <c r="D155" s="160" t="s">
        <v>1351</v>
      </c>
      <c r="E155" s="160" t="s">
        <v>1352</v>
      </c>
      <c r="F155" s="160" t="n">
        <v>209.58</v>
      </c>
      <c r="G155" s="160" t="n">
        <v>167</v>
      </c>
      <c r="H155" s="160" t="n">
        <v>804</v>
      </c>
      <c r="I155" s="160" t="n">
        <v>400</v>
      </c>
      <c r="J155" s="160" t="n">
        <v>404</v>
      </c>
      <c r="K155" s="160" t="n">
        <v>348</v>
      </c>
      <c r="L155" s="112" t="n">
        <f aca="false">K155/H155*100</f>
        <v>43.2835820895522</v>
      </c>
      <c r="M155" s="160" t="n">
        <v>0</v>
      </c>
      <c r="N155" s="112" t="n">
        <f aca="false">M155/H155*100</f>
        <v>0</v>
      </c>
      <c r="O155" s="160" t="n">
        <v>38.29</v>
      </c>
      <c r="P155" s="160" t="n">
        <v>70.08</v>
      </c>
      <c r="Q155" s="168" t="s">
        <v>45</v>
      </c>
      <c r="R155" s="168" t="s">
        <v>1252</v>
      </c>
      <c r="S155" s="160"/>
      <c r="T155" s="41" t="n">
        <v>1</v>
      </c>
      <c r="U155" s="112"/>
      <c r="V155" s="112"/>
      <c r="W155" s="112"/>
      <c r="X155" s="112"/>
      <c r="Y155" s="112"/>
      <c r="Z155" s="112"/>
      <c r="AA155" s="41" t="s">
        <v>45</v>
      </c>
      <c r="AB155" s="41" t="n">
        <v>1</v>
      </c>
      <c r="AC155" s="162" t="s">
        <v>852</v>
      </c>
      <c r="AD155" s="170" t="n">
        <v>24.228927</v>
      </c>
      <c r="AE155" s="170" t="n">
        <v>76.252097</v>
      </c>
    </row>
    <row r="156" customFormat="false" ht="15" hidden="false" customHeight="false" outlineLevel="0" collapsed="false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12"/>
      <c r="M156" s="160"/>
      <c r="N156" s="112"/>
      <c r="O156" s="160"/>
      <c r="P156" s="160"/>
      <c r="Q156" s="172" t="s">
        <v>45</v>
      </c>
      <c r="R156" s="172" t="s">
        <v>1252</v>
      </c>
      <c r="S156" s="160"/>
      <c r="T156" s="153" t="n">
        <v>47.216</v>
      </c>
      <c r="U156" s="112"/>
      <c r="V156" s="112"/>
      <c r="W156" s="112"/>
      <c r="X156" s="112"/>
      <c r="Y156" s="112"/>
      <c r="Z156" s="112"/>
      <c r="AA156" s="153" t="s">
        <v>150</v>
      </c>
      <c r="AB156" s="153" t="n">
        <v>47.216</v>
      </c>
      <c r="AC156" s="162" t="s">
        <v>852</v>
      </c>
      <c r="AD156" s="153" t="n">
        <v>24.2464</v>
      </c>
      <c r="AE156" s="153" t="n">
        <v>76.28821</v>
      </c>
    </row>
    <row r="157" customFormat="false" ht="15" hidden="false" customHeight="false" outlineLevel="0" collapsed="false">
      <c r="A157" s="160" t="s">
        <v>415</v>
      </c>
      <c r="B157" s="160" t="s">
        <v>1104</v>
      </c>
      <c r="C157" s="160" t="s">
        <v>976</v>
      </c>
      <c r="D157" s="160" t="s">
        <v>345</v>
      </c>
      <c r="E157" s="160" t="s">
        <v>1353</v>
      </c>
      <c r="F157" s="160" t="n">
        <v>41.66</v>
      </c>
      <c r="G157" s="160" t="n">
        <v>56</v>
      </c>
      <c r="H157" s="160" t="n">
        <v>251</v>
      </c>
      <c r="I157" s="160" t="n">
        <v>115</v>
      </c>
      <c r="J157" s="160" t="n">
        <v>136</v>
      </c>
      <c r="K157" s="160" t="n">
        <v>0</v>
      </c>
      <c r="L157" s="112" t="n">
        <f aca="false">K157/H157*100</f>
        <v>0</v>
      </c>
      <c r="M157" s="160" t="n">
        <v>0</v>
      </c>
      <c r="N157" s="112" t="n">
        <f aca="false">M157/H157*100</f>
        <v>0</v>
      </c>
      <c r="O157" s="160" t="n">
        <v>14.7</v>
      </c>
      <c r="P157" s="160" t="n">
        <v>0</v>
      </c>
      <c r="Q157" s="168" t="s">
        <v>45</v>
      </c>
      <c r="R157" s="168" t="s">
        <v>330</v>
      </c>
      <c r="S157" s="160"/>
      <c r="T157" s="41" t="n">
        <v>1</v>
      </c>
      <c r="U157" s="112"/>
      <c r="V157" s="112"/>
      <c r="W157" s="112"/>
      <c r="X157" s="112"/>
      <c r="Y157" s="112"/>
      <c r="Z157" s="112"/>
      <c r="AA157" s="41" t="s">
        <v>45</v>
      </c>
      <c r="AB157" s="41" t="n">
        <v>1</v>
      </c>
      <c r="AC157" s="162" t="s">
        <v>852</v>
      </c>
      <c r="AD157" s="170" t="n">
        <v>24.225926</v>
      </c>
      <c r="AE157" s="170" t="n">
        <v>76.254097</v>
      </c>
    </row>
    <row r="158" customFormat="false" ht="15" hidden="false" customHeight="false" outlineLevel="0" collapsed="false">
      <c r="A158" s="160" t="s">
        <v>415</v>
      </c>
      <c r="B158" s="160" t="s">
        <v>1104</v>
      </c>
      <c r="C158" s="160" t="s">
        <v>976</v>
      </c>
      <c r="D158" s="160" t="s">
        <v>1354</v>
      </c>
      <c r="E158" s="160" t="s">
        <v>1355</v>
      </c>
      <c r="F158" s="160" t="n">
        <v>95.92</v>
      </c>
      <c r="G158" s="160" t="n">
        <v>48</v>
      </c>
      <c r="H158" s="160" t="n">
        <v>218</v>
      </c>
      <c r="I158" s="160" t="n">
        <v>110</v>
      </c>
      <c r="J158" s="160" t="n">
        <v>108</v>
      </c>
      <c r="K158" s="160" t="n">
        <v>0</v>
      </c>
      <c r="L158" s="112" t="n">
        <f aca="false">K158/H158*100</f>
        <v>0</v>
      </c>
      <c r="M158" s="160" t="n">
        <v>0</v>
      </c>
      <c r="N158" s="112" t="n">
        <f aca="false">M158/H158*100</f>
        <v>0</v>
      </c>
      <c r="O158" s="160" t="n">
        <v>4.24</v>
      </c>
      <c r="P158" s="160" t="n">
        <v>0</v>
      </c>
      <c r="Q158" s="12" t="s">
        <v>45</v>
      </c>
      <c r="R158" s="20" t="n">
        <v>44538</v>
      </c>
      <c r="S158" s="160"/>
      <c r="T158" s="12" t="n">
        <v>2</v>
      </c>
      <c r="U158" s="112"/>
      <c r="V158" s="112"/>
      <c r="W158" s="112"/>
      <c r="X158" s="112"/>
      <c r="Y158" s="112"/>
      <c r="Z158" s="112"/>
      <c r="AA158" s="150" t="s">
        <v>150</v>
      </c>
      <c r="AB158" s="12" t="n">
        <v>2</v>
      </c>
      <c r="AC158" s="162" t="s">
        <v>852</v>
      </c>
      <c r="AD158" s="12" t="n">
        <v>24.252823</v>
      </c>
      <c r="AE158" s="12" t="n">
        <v>76.249655</v>
      </c>
    </row>
    <row r="159" customFormat="false" ht="15" hidden="false" customHeight="false" outlineLevel="0" collapsed="false">
      <c r="A159" s="160" t="s">
        <v>415</v>
      </c>
      <c r="B159" s="160" t="s">
        <v>1104</v>
      </c>
      <c r="C159" s="160" t="s">
        <v>976</v>
      </c>
      <c r="D159" s="160" t="s">
        <v>1356</v>
      </c>
      <c r="E159" s="160" t="s">
        <v>1357</v>
      </c>
      <c r="F159" s="160" t="n">
        <v>140.81</v>
      </c>
      <c r="G159" s="160" t="n">
        <v>86</v>
      </c>
      <c r="H159" s="160" t="n">
        <v>338</v>
      </c>
      <c r="I159" s="160" t="n">
        <v>165</v>
      </c>
      <c r="J159" s="160" t="n">
        <v>173</v>
      </c>
      <c r="K159" s="160" t="n">
        <v>4</v>
      </c>
      <c r="L159" s="112" t="n">
        <f aca="false">K159/H159*100</f>
        <v>1.18343195266272</v>
      </c>
      <c r="M159" s="160" t="n">
        <v>0</v>
      </c>
      <c r="N159" s="112" t="n">
        <f aca="false">M159/H159*100</f>
        <v>0</v>
      </c>
      <c r="O159" s="160" t="n">
        <v>27.63</v>
      </c>
      <c r="P159" s="160" t="n">
        <v>24.69</v>
      </c>
      <c r="Q159" s="168" t="s">
        <v>45</v>
      </c>
      <c r="R159" s="168" t="s">
        <v>1249</v>
      </c>
      <c r="S159" s="160"/>
      <c r="T159" s="41" t="n">
        <v>1</v>
      </c>
      <c r="U159" s="112"/>
      <c r="V159" s="112"/>
      <c r="W159" s="112"/>
      <c r="X159" s="112"/>
      <c r="Y159" s="112"/>
      <c r="Z159" s="112"/>
      <c r="AA159" s="41" t="s">
        <v>45</v>
      </c>
      <c r="AB159" s="41" t="n">
        <v>1</v>
      </c>
      <c r="AC159" s="162" t="s">
        <v>852</v>
      </c>
      <c r="AD159" s="170" t="n">
        <v>24.274018</v>
      </c>
      <c r="AE159" s="170" t="n">
        <v>76.245268</v>
      </c>
    </row>
    <row r="160" customFormat="false" ht="15" hidden="false" customHeight="false" outlineLevel="0" collapsed="false">
      <c r="A160" s="160" t="s">
        <v>415</v>
      </c>
      <c r="B160" s="160" t="s">
        <v>1104</v>
      </c>
      <c r="C160" s="160" t="s">
        <v>1358</v>
      </c>
      <c r="D160" s="161" t="s">
        <v>1359</v>
      </c>
      <c r="E160" s="160" t="s">
        <v>1360</v>
      </c>
      <c r="F160" s="160" t="n">
        <v>846.6</v>
      </c>
      <c r="G160" s="160" t="n">
        <v>453</v>
      </c>
      <c r="H160" s="160" t="n">
        <v>2143</v>
      </c>
      <c r="I160" s="160" t="n">
        <v>1095</v>
      </c>
      <c r="J160" s="160" t="n">
        <v>1048</v>
      </c>
      <c r="K160" s="160" t="n">
        <v>291</v>
      </c>
      <c r="L160" s="112" t="n">
        <f aca="false">K160/H160*100</f>
        <v>13.5790947270182</v>
      </c>
      <c r="M160" s="160" t="n">
        <v>146</v>
      </c>
      <c r="N160" s="112" t="n">
        <f aca="false">M160/H160*100</f>
        <v>6.81287914139057</v>
      </c>
      <c r="O160" s="160" t="n">
        <v>79.43</v>
      </c>
      <c r="P160" s="160" t="n">
        <v>5.63</v>
      </c>
      <c r="Q160" s="178" t="s">
        <v>45</v>
      </c>
      <c r="R160" s="179" t="n">
        <v>44423</v>
      </c>
      <c r="S160" s="160"/>
      <c r="T160" s="150" t="n">
        <v>20</v>
      </c>
      <c r="U160" s="112"/>
      <c r="V160" s="112"/>
      <c r="W160" s="112"/>
      <c r="X160" s="112"/>
      <c r="Y160" s="112"/>
      <c r="Z160" s="112"/>
      <c r="AA160" s="150" t="s">
        <v>150</v>
      </c>
      <c r="AB160" s="150" t="n">
        <v>20</v>
      </c>
      <c r="AC160" s="162" t="s">
        <v>852</v>
      </c>
      <c r="AD160" s="150" t="n">
        <v>24.235045</v>
      </c>
      <c r="AE160" s="150" t="n">
        <v>76.225049</v>
      </c>
    </row>
    <row r="161" customFormat="false" ht="15" hidden="false" customHeight="false" outlineLevel="0" collapsed="false">
      <c r="A161" s="160" t="s">
        <v>415</v>
      </c>
      <c r="B161" s="160" t="s">
        <v>1104</v>
      </c>
      <c r="C161" s="160" t="s">
        <v>1358</v>
      </c>
      <c r="D161" s="160" t="s">
        <v>1361</v>
      </c>
      <c r="E161" s="160" t="s">
        <v>1362</v>
      </c>
      <c r="F161" s="160" t="n">
        <v>236.46</v>
      </c>
      <c r="G161" s="160" t="n">
        <v>116</v>
      </c>
      <c r="H161" s="160" t="n">
        <v>544</v>
      </c>
      <c r="I161" s="160" t="n">
        <v>281</v>
      </c>
      <c r="J161" s="160" t="n">
        <v>263</v>
      </c>
      <c r="K161" s="160" t="n">
        <v>187</v>
      </c>
      <c r="L161" s="112" t="n">
        <f aca="false">K161/H161*100</f>
        <v>34.375</v>
      </c>
      <c r="M161" s="160" t="n">
        <v>0</v>
      </c>
      <c r="N161" s="112" t="n">
        <f aca="false">M161/H161*100</f>
        <v>0</v>
      </c>
      <c r="O161" s="160" t="n">
        <v>28.64</v>
      </c>
      <c r="P161" s="160" t="n">
        <v>0</v>
      </c>
      <c r="Q161" s="150" t="s">
        <v>45</v>
      </c>
      <c r="R161" s="163" t="n">
        <v>44423</v>
      </c>
      <c r="S161" s="160"/>
      <c r="T161" s="150" t="n">
        <v>13</v>
      </c>
      <c r="U161" s="112"/>
      <c r="V161" s="112"/>
      <c r="W161" s="112"/>
      <c r="X161" s="112"/>
      <c r="Y161" s="112"/>
      <c r="Z161" s="112"/>
      <c r="AA161" s="150" t="s">
        <v>150</v>
      </c>
      <c r="AB161" s="150" t="n">
        <v>13</v>
      </c>
      <c r="AC161" s="162" t="s">
        <v>852</v>
      </c>
      <c r="AD161" s="150" t="n">
        <v>24.237595</v>
      </c>
      <c r="AE161" s="150" t="n">
        <v>76.242087</v>
      </c>
    </row>
    <row r="162" customFormat="false" ht="15" hidden="false" customHeight="false" outlineLevel="0" collapsed="false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12"/>
      <c r="M162" s="160"/>
      <c r="N162" s="112"/>
      <c r="O162" s="160"/>
      <c r="P162" s="160"/>
      <c r="Q162" s="153" t="s">
        <v>45</v>
      </c>
      <c r="R162" s="171" t="n">
        <v>44423</v>
      </c>
      <c r="S162" s="160"/>
      <c r="T162" s="153" t="n">
        <v>11</v>
      </c>
      <c r="U162" s="112"/>
      <c r="V162" s="112"/>
      <c r="W162" s="112"/>
      <c r="X162" s="112"/>
      <c r="Y162" s="112"/>
      <c r="Z162" s="112"/>
      <c r="AA162" s="153" t="s">
        <v>150</v>
      </c>
      <c r="AB162" s="153" t="n">
        <v>11</v>
      </c>
      <c r="AC162" s="162" t="s">
        <v>852</v>
      </c>
      <c r="AD162" s="153" t="n">
        <v>24.239897</v>
      </c>
      <c r="AE162" s="153" t="n">
        <v>76.242629</v>
      </c>
    </row>
    <row r="163" customFormat="false" ht="15" hidden="false" customHeight="false" outlineLevel="0" collapsed="false">
      <c r="A163" s="160" t="s">
        <v>415</v>
      </c>
      <c r="B163" s="160" t="s">
        <v>1104</v>
      </c>
      <c r="C163" s="160" t="s">
        <v>1358</v>
      </c>
      <c r="D163" s="160" t="s">
        <v>1363</v>
      </c>
      <c r="E163" s="160" t="s">
        <v>1364</v>
      </c>
      <c r="F163" s="160" t="n">
        <v>56.01</v>
      </c>
      <c r="G163" s="160" t="n">
        <v>0</v>
      </c>
      <c r="H163" s="160" t="n">
        <v>0</v>
      </c>
      <c r="I163" s="160" t="n">
        <v>0</v>
      </c>
      <c r="J163" s="160" t="n">
        <v>0</v>
      </c>
      <c r="K163" s="160" t="n">
        <v>0</v>
      </c>
      <c r="L163" s="112"/>
      <c r="M163" s="160" t="n">
        <v>0</v>
      </c>
      <c r="N163" s="112"/>
      <c r="O163" s="160" t="n">
        <v>10.5</v>
      </c>
      <c r="P163" s="160" t="n">
        <v>0</v>
      </c>
      <c r="Q163" s="11"/>
      <c r="R163" s="11"/>
      <c r="S163" s="160"/>
      <c r="T163" s="11"/>
      <c r="U163" s="112"/>
      <c r="V163" s="112"/>
      <c r="W163" s="112"/>
      <c r="X163" s="112"/>
      <c r="Y163" s="112"/>
      <c r="Z163" s="112"/>
      <c r="AA163" s="11"/>
      <c r="AB163" s="11"/>
      <c r="AC163" s="162" t="s">
        <v>852</v>
      </c>
      <c r="AD163" s="11"/>
      <c r="AE163" s="11"/>
    </row>
    <row r="164" customFormat="false" ht="15" hidden="false" customHeight="false" outlineLevel="0" collapsed="false">
      <c r="A164" s="160" t="s">
        <v>415</v>
      </c>
      <c r="B164" s="160" t="s">
        <v>1104</v>
      </c>
      <c r="C164" s="160" t="s">
        <v>1358</v>
      </c>
      <c r="D164" s="160" t="s">
        <v>703</v>
      </c>
      <c r="E164" s="160" t="s">
        <v>1365</v>
      </c>
      <c r="F164" s="160" t="n">
        <v>381.29</v>
      </c>
      <c r="G164" s="160" t="n">
        <v>220</v>
      </c>
      <c r="H164" s="160" t="n">
        <v>1204</v>
      </c>
      <c r="I164" s="160" t="n">
        <v>606</v>
      </c>
      <c r="J164" s="160" t="n">
        <v>598</v>
      </c>
      <c r="K164" s="160" t="n">
        <v>216</v>
      </c>
      <c r="L164" s="112" t="n">
        <f aca="false">K164/H164*100</f>
        <v>17.9401993355482</v>
      </c>
      <c r="M164" s="160" t="n">
        <v>11</v>
      </c>
      <c r="N164" s="112" t="n">
        <f aca="false">M164/H164*100</f>
        <v>0.913621262458472</v>
      </c>
      <c r="O164" s="160" t="n">
        <v>64.83</v>
      </c>
      <c r="P164" s="160" t="n">
        <v>70.34</v>
      </c>
      <c r="Q164" s="178" t="s">
        <v>45</v>
      </c>
      <c r="R164" s="179" t="n">
        <v>44423</v>
      </c>
      <c r="S164" s="160"/>
      <c r="T164" s="150" t="n">
        <v>15.25</v>
      </c>
      <c r="U164" s="112"/>
      <c r="V164" s="112"/>
      <c r="W164" s="112"/>
      <c r="X164" s="112"/>
      <c r="Y164" s="112"/>
      <c r="Z164" s="112"/>
      <c r="AA164" s="150" t="s">
        <v>150</v>
      </c>
      <c r="AB164" s="150" t="n">
        <v>15.25</v>
      </c>
      <c r="AC164" s="162" t="s">
        <v>852</v>
      </c>
      <c r="AD164" s="150" t="n">
        <v>24.267969</v>
      </c>
      <c r="AE164" s="150" t="n">
        <v>76.256276</v>
      </c>
    </row>
    <row r="165" customFormat="false" ht="15" hidden="false" customHeight="false" outlineLevel="0" collapsed="false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12"/>
      <c r="M165" s="160"/>
      <c r="N165" s="112"/>
      <c r="O165" s="160"/>
      <c r="P165" s="160"/>
      <c r="Q165" s="180" t="s">
        <v>45</v>
      </c>
      <c r="R165" s="185" t="n">
        <v>44423</v>
      </c>
      <c r="S165" s="160"/>
      <c r="T165" s="153" t="n">
        <v>29</v>
      </c>
      <c r="U165" s="112"/>
      <c r="V165" s="112"/>
      <c r="W165" s="112"/>
      <c r="X165" s="112"/>
      <c r="Y165" s="112"/>
      <c r="Z165" s="112"/>
      <c r="AA165" s="153" t="s">
        <v>150</v>
      </c>
      <c r="AB165" s="153" t="n">
        <v>29</v>
      </c>
      <c r="AC165" s="162" t="s">
        <v>852</v>
      </c>
      <c r="AD165" s="153" t="n">
        <v>24.26867</v>
      </c>
      <c r="AE165" s="153" t="n">
        <v>76.255304</v>
      </c>
    </row>
    <row r="166" customFormat="false" ht="15" hidden="false" customHeight="false" outlineLevel="0" collapsed="false">
      <c r="A166" s="160" t="s">
        <v>415</v>
      </c>
      <c r="B166" s="160" t="s">
        <v>1104</v>
      </c>
      <c r="C166" s="160" t="s">
        <v>1358</v>
      </c>
      <c r="D166" s="160" t="s">
        <v>1366</v>
      </c>
      <c r="E166" s="160" t="s">
        <v>1367</v>
      </c>
      <c r="F166" s="160" t="n">
        <v>74.16</v>
      </c>
      <c r="G166" s="160" t="n">
        <v>0</v>
      </c>
      <c r="H166" s="160" t="n">
        <v>0</v>
      </c>
      <c r="I166" s="160" t="n">
        <v>0</v>
      </c>
      <c r="J166" s="160" t="n">
        <v>0</v>
      </c>
      <c r="K166" s="160" t="n">
        <v>0</v>
      </c>
      <c r="L166" s="112"/>
      <c r="M166" s="160" t="n">
        <v>0</v>
      </c>
      <c r="N166" s="112"/>
      <c r="O166" s="160" t="n">
        <v>0</v>
      </c>
      <c r="P166" s="160" t="n">
        <v>0</v>
      </c>
      <c r="Q166" s="11"/>
      <c r="R166" s="11"/>
      <c r="S166" s="160"/>
      <c r="T166" s="11"/>
      <c r="U166" s="112"/>
      <c r="V166" s="112"/>
      <c r="W166" s="112"/>
      <c r="X166" s="112"/>
      <c r="Y166" s="112"/>
      <c r="Z166" s="112"/>
      <c r="AA166" s="11"/>
      <c r="AB166" s="11"/>
      <c r="AC166" s="162" t="s">
        <v>852</v>
      </c>
      <c r="AD166" s="11"/>
      <c r="AE166" s="11"/>
    </row>
    <row r="167" customFormat="false" ht="15" hidden="false" customHeight="false" outlineLevel="0" collapsed="false">
      <c r="A167" s="160" t="s">
        <v>415</v>
      </c>
      <c r="B167" s="160" t="s">
        <v>1104</v>
      </c>
      <c r="C167" s="160" t="s">
        <v>1368</v>
      </c>
      <c r="D167" s="161" t="s">
        <v>1369</v>
      </c>
      <c r="E167" s="160" t="s">
        <v>1370</v>
      </c>
      <c r="F167" s="160" t="n">
        <v>758.44</v>
      </c>
      <c r="G167" s="160" t="n">
        <v>414</v>
      </c>
      <c r="H167" s="160" t="n">
        <v>1884</v>
      </c>
      <c r="I167" s="160" t="n">
        <v>960</v>
      </c>
      <c r="J167" s="160" t="n">
        <v>924</v>
      </c>
      <c r="K167" s="160" t="n">
        <v>221</v>
      </c>
      <c r="L167" s="112" t="n">
        <f aca="false">K167/H167*100</f>
        <v>11.7303609341826</v>
      </c>
      <c r="M167" s="160" t="n">
        <v>717</v>
      </c>
      <c r="N167" s="112" t="n">
        <f aca="false">M167/H167*100</f>
        <v>38.0573248407643</v>
      </c>
      <c r="O167" s="160" t="n">
        <v>98.12</v>
      </c>
      <c r="P167" s="160" t="n">
        <v>0</v>
      </c>
      <c r="Q167" s="168" t="s">
        <v>45</v>
      </c>
      <c r="R167" s="169" t="n">
        <v>44623</v>
      </c>
      <c r="S167" s="160"/>
      <c r="T167" s="41" t="n">
        <v>16</v>
      </c>
      <c r="U167" s="112"/>
      <c r="V167" s="112"/>
      <c r="W167" s="112"/>
      <c r="X167" s="112"/>
      <c r="Y167" s="112"/>
      <c r="Z167" s="112"/>
      <c r="AA167" s="41" t="s">
        <v>45</v>
      </c>
      <c r="AB167" s="41" t="n">
        <v>16</v>
      </c>
      <c r="AC167" s="162" t="s">
        <v>852</v>
      </c>
      <c r="AD167" s="170" t="n">
        <v>24.417544</v>
      </c>
      <c r="AE167" s="170" t="n">
        <v>76.237515</v>
      </c>
    </row>
    <row r="168" customFormat="false" ht="15" hidden="false" customHeight="false" outlineLevel="0" collapsed="false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12"/>
      <c r="M168" s="160"/>
      <c r="N168" s="112"/>
      <c r="O168" s="160"/>
      <c r="P168" s="160"/>
      <c r="Q168" s="172" t="s">
        <v>45</v>
      </c>
      <c r="R168" s="173" t="n">
        <v>44623</v>
      </c>
      <c r="S168" s="160"/>
      <c r="T168" s="153" t="n">
        <v>20</v>
      </c>
      <c r="U168" s="112"/>
      <c r="V168" s="112"/>
      <c r="W168" s="112"/>
      <c r="X168" s="112"/>
      <c r="Y168" s="112"/>
      <c r="Z168" s="112"/>
      <c r="AA168" s="153" t="s">
        <v>82</v>
      </c>
      <c r="AB168" s="153" t="n">
        <v>20</v>
      </c>
      <c r="AC168" s="162" t="s">
        <v>852</v>
      </c>
      <c r="AD168" s="174" t="n">
        <v>24.42429</v>
      </c>
      <c r="AE168" s="174" t="n">
        <v>76.217584</v>
      </c>
    </row>
    <row r="169" customFormat="false" ht="15" hidden="false" customHeight="false" outlineLevel="0" collapsed="false">
      <c r="A169" s="160" t="s">
        <v>415</v>
      </c>
      <c r="B169" s="160" t="s">
        <v>1104</v>
      </c>
      <c r="C169" s="160" t="s">
        <v>1368</v>
      </c>
      <c r="D169" s="160" t="s">
        <v>1225</v>
      </c>
      <c r="E169" s="160" t="s">
        <v>1371</v>
      </c>
      <c r="F169" s="160" t="n">
        <v>167.17</v>
      </c>
      <c r="G169" s="160" t="n">
        <v>56</v>
      </c>
      <c r="H169" s="160" t="n">
        <v>282</v>
      </c>
      <c r="I169" s="160" t="n">
        <v>137</v>
      </c>
      <c r="J169" s="160" t="n">
        <v>145</v>
      </c>
      <c r="K169" s="160" t="n">
        <v>0</v>
      </c>
      <c r="L169" s="112" t="n">
        <f aca="false">K169/H169*100</f>
        <v>0</v>
      </c>
      <c r="M169" s="160" t="n">
        <v>107</v>
      </c>
      <c r="N169" s="112" t="n">
        <f aca="false">M169/H169*100</f>
        <v>37.9432624113475</v>
      </c>
      <c r="O169" s="160" t="n">
        <v>23.23</v>
      </c>
      <c r="P169" s="160" t="n">
        <v>0</v>
      </c>
      <c r="Q169" s="168" t="s">
        <v>45</v>
      </c>
      <c r="R169" s="169" t="n">
        <v>44654</v>
      </c>
      <c r="S169" s="160"/>
      <c r="T169" s="41" t="n">
        <v>1.5</v>
      </c>
      <c r="U169" s="112"/>
      <c r="V169" s="112"/>
      <c r="W169" s="112"/>
      <c r="X169" s="112"/>
      <c r="Y169" s="112"/>
      <c r="Z169" s="112"/>
      <c r="AA169" s="41" t="s">
        <v>45</v>
      </c>
      <c r="AB169" s="41" t="n">
        <v>1.5</v>
      </c>
      <c r="AC169" s="162" t="s">
        <v>852</v>
      </c>
      <c r="AD169" s="170" t="n">
        <v>24.423566</v>
      </c>
      <c r="AE169" s="170" t="n">
        <v>76.248039</v>
      </c>
    </row>
    <row r="170" customFormat="false" ht="15" hidden="false" customHeight="false" outlineLevel="0" collapsed="false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12"/>
      <c r="M170" s="160"/>
      <c r="N170" s="112"/>
      <c r="O170" s="160"/>
      <c r="P170" s="160"/>
      <c r="Q170" s="172" t="s">
        <v>45</v>
      </c>
      <c r="R170" s="173" t="n">
        <v>44654</v>
      </c>
      <c r="S170" s="160"/>
      <c r="T170" s="180" t="n">
        <v>1.5</v>
      </c>
      <c r="U170" s="112"/>
      <c r="V170" s="112"/>
      <c r="W170" s="112"/>
      <c r="X170" s="112"/>
      <c r="Y170" s="112"/>
      <c r="Z170" s="112"/>
      <c r="AA170" s="153" t="s">
        <v>82</v>
      </c>
      <c r="AB170" s="180" t="n">
        <v>1.5</v>
      </c>
      <c r="AC170" s="162" t="s">
        <v>852</v>
      </c>
      <c r="AD170" s="174" t="n">
        <v>24.423566</v>
      </c>
      <c r="AE170" s="174" t="n">
        <v>76.248039</v>
      </c>
    </row>
    <row r="171" customFormat="false" ht="15" hidden="false" customHeight="false" outlineLevel="0" collapsed="false">
      <c r="A171" s="160" t="s">
        <v>415</v>
      </c>
      <c r="B171" s="160" t="s">
        <v>1104</v>
      </c>
      <c r="C171" s="160" t="s">
        <v>1368</v>
      </c>
      <c r="D171" s="160" t="s">
        <v>1372</v>
      </c>
      <c r="E171" s="160" t="s">
        <v>1373</v>
      </c>
      <c r="F171" s="160" t="n">
        <v>79</v>
      </c>
      <c r="G171" s="160" t="n">
        <v>163</v>
      </c>
      <c r="H171" s="160" t="n">
        <v>765</v>
      </c>
      <c r="I171" s="160" t="n">
        <v>381</v>
      </c>
      <c r="J171" s="160" t="n">
        <v>384</v>
      </c>
      <c r="K171" s="160" t="n">
        <v>39</v>
      </c>
      <c r="L171" s="112" t="n">
        <f aca="false">K171/H171*100</f>
        <v>5.09803921568627</v>
      </c>
      <c r="M171" s="160" t="n">
        <v>0</v>
      </c>
      <c r="N171" s="112" t="n">
        <f aca="false">M171/H171*100</f>
        <v>0</v>
      </c>
      <c r="O171" s="160" t="n">
        <v>6.49</v>
      </c>
      <c r="P171" s="160" t="n">
        <v>0</v>
      </c>
      <c r="Q171" s="168" t="s">
        <v>45</v>
      </c>
      <c r="R171" s="168" t="s">
        <v>1374</v>
      </c>
      <c r="S171" s="160"/>
      <c r="T171" s="11" t="n">
        <v>1.5</v>
      </c>
      <c r="U171" s="112"/>
      <c r="V171" s="112"/>
      <c r="W171" s="112"/>
      <c r="X171" s="112"/>
      <c r="Y171" s="112"/>
      <c r="Z171" s="112"/>
      <c r="AA171" s="41" t="s">
        <v>45</v>
      </c>
      <c r="AB171" s="11" t="n">
        <v>1.5</v>
      </c>
      <c r="AC171" s="162" t="s">
        <v>852</v>
      </c>
      <c r="AD171" s="170" t="n">
        <v>24.439362</v>
      </c>
      <c r="AE171" s="170" t="n">
        <v>76.242923</v>
      </c>
    </row>
    <row r="172" customFormat="false" ht="15" hidden="false" customHeight="false" outlineLevel="0" collapsed="false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12"/>
      <c r="M172" s="160"/>
      <c r="N172" s="112"/>
      <c r="O172" s="160"/>
      <c r="P172" s="160"/>
      <c r="Q172" s="172" t="s">
        <v>45</v>
      </c>
      <c r="R172" s="172" t="s">
        <v>1374</v>
      </c>
      <c r="S172" s="160"/>
      <c r="T172" s="153" t="n">
        <v>0.5</v>
      </c>
      <c r="U172" s="112"/>
      <c r="V172" s="112"/>
      <c r="W172" s="112"/>
      <c r="X172" s="112"/>
      <c r="Y172" s="112"/>
      <c r="Z172" s="112"/>
      <c r="AA172" s="153" t="s">
        <v>82</v>
      </c>
      <c r="AB172" s="153" t="n">
        <v>0.5</v>
      </c>
      <c r="AC172" s="162" t="s">
        <v>852</v>
      </c>
      <c r="AD172" s="174" t="n">
        <v>24.439362</v>
      </c>
      <c r="AE172" s="174" t="n">
        <v>76.242923</v>
      </c>
    </row>
    <row r="173" customFormat="false" ht="15" hidden="false" customHeight="false" outlineLevel="0" collapsed="false">
      <c r="A173" s="160" t="s">
        <v>415</v>
      </c>
      <c r="B173" s="160" t="s">
        <v>1104</v>
      </c>
      <c r="C173" s="160" t="s">
        <v>1368</v>
      </c>
      <c r="D173" s="160" t="s">
        <v>1375</v>
      </c>
      <c r="E173" s="160" t="s">
        <v>1376</v>
      </c>
      <c r="F173" s="160" t="n">
        <v>200.45</v>
      </c>
      <c r="G173" s="160" t="n">
        <v>107</v>
      </c>
      <c r="H173" s="160" t="n">
        <v>560</v>
      </c>
      <c r="I173" s="160" t="n">
        <v>274</v>
      </c>
      <c r="J173" s="160" t="n">
        <v>286</v>
      </c>
      <c r="K173" s="160" t="n">
        <v>91</v>
      </c>
      <c r="L173" s="112" t="n">
        <f aca="false">K173/H173*100</f>
        <v>16.25</v>
      </c>
      <c r="M173" s="160" t="n">
        <v>0</v>
      </c>
      <c r="N173" s="112" t="n">
        <f aca="false">M173/H173*100</f>
        <v>0</v>
      </c>
      <c r="O173" s="160" t="n">
        <v>29.79</v>
      </c>
      <c r="P173" s="160" t="n">
        <v>0</v>
      </c>
      <c r="Q173" s="168" t="s">
        <v>45</v>
      </c>
      <c r="R173" s="169" t="n">
        <v>44837</v>
      </c>
      <c r="S173" s="160"/>
      <c r="T173" s="41" t="n">
        <v>1</v>
      </c>
      <c r="U173" s="112"/>
      <c r="V173" s="112"/>
      <c r="W173" s="112"/>
      <c r="X173" s="112"/>
      <c r="Y173" s="112"/>
      <c r="Z173" s="112"/>
      <c r="AA173" s="41" t="s">
        <v>45</v>
      </c>
      <c r="AB173" s="41" t="n">
        <v>1</v>
      </c>
      <c r="AC173" s="162" t="s">
        <v>852</v>
      </c>
      <c r="AD173" s="170" t="n">
        <v>24.430935</v>
      </c>
      <c r="AE173" s="170" t="n">
        <v>76.236392</v>
      </c>
    </row>
    <row r="174" customFormat="false" ht="15" hidden="false" customHeight="false" outlineLevel="0" collapsed="false">
      <c r="A174" s="160" t="s">
        <v>415</v>
      </c>
      <c r="B174" s="160" t="s">
        <v>1104</v>
      </c>
      <c r="C174" s="160" t="s">
        <v>1377</v>
      </c>
      <c r="D174" s="161" t="s">
        <v>1378</v>
      </c>
      <c r="E174" s="160" t="s">
        <v>1379</v>
      </c>
      <c r="F174" s="160" t="n">
        <v>256.29</v>
      </c>
      <c r="G174" s="160" t="n">
        <v>333</v>
      </c>
      <c r="H174" s="160" t="n">
        <v>1447</v>
      </c>
      <c r="I174" s="160" t="n">
        <v>739</v>
      </c>
      <c r="J174" s="160" t="n">
        <v>708</v>
      </c>
      <c r="K174" s="160" t="n">
        <v>282</v>
      </c>
      <c r="L174" s="112" t="n">
        <f aca="false">K174/H174*100</f>
        <v>19.488597097443</v>
      </c>
      <c r="M174" s="160" t="n">
        <v>381</v>
      </c>
      <c r="N174" s="112" t="n">
        <f aca="false">M174/H174*100</f>
        <v>26.3303386316517</v>
      </c>
      <c r="O174" s="160" t="n">
        <v>20.17</v>
      </c>
      <c r="P174" s="160" t="n">
        <v>16.28</v>
      </c>
      <c r="Q174" s="150" t="s">
        <v>45</v>
      </c>
      <c r="R174" s="163" t="n">
        <v>44424</v>
      </c>
      <c r="S174" s="160"/>
      <c r="T174" s="150" t="n">
        <v>10</v>
      </c>
      <c r="U174" s="112"/>
      <c r="V174" s="112" t="s">
        <v>43</v>
      </c>
      <c r="W174" s="112"/>
      <c r="X174" s="112"/>
      <c r="Y174" s="112"/>
      <c r="Z174" s="112"/>
      <c r="AA174" s="150" t="s">
        <v>150</v>
      </c>
      <c r="AB174" s="150" t="n">
        <v>10</v>
      </c>
      <c r="AC174" s="162" t="s">
        <v>852</v>
      </c>
      <c r="AD174" s="150" t="n">
        <v>24.39679</v>
      </c>
      <c r="AE174" s="150" t="n">
        <v>76.329061</v>
      </c>
    </row>
    <row r="175" customFormat="false" ht="15" hidden="false" customHeight="false" outlineLevel="0" collapsed="false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12"/>
      <c r="M175" s="160"/>
      <c r="N175" s="112"/>
      <c r="O175" s="160"/>
      <c r="P175" s="160"/>
      <c r="Q175" s="153" t="s">
        <v>45</v>
      </c>
      <c r="R175" s="171" t="n">
        <v>44424</v>
      </c>
      <c r="S175" s="160"/>
      <c r="T175" s="153" t="n">
        <v>9</v>
      </c>
      <c r="U175" s="112"/>
      <c r="V175" s="112"/>
      <c r="W175" s="112"/>
      <c r="X175" s="112"/>
      <c r="Y175" s="112"/>
      <c r="Z175" s="112"/>
      <c r="AA175" s="153" t="s">
        <v>150</v>
      </c>
      <c r="AB175" s="153" t="n">
        <v>9</v>
      </c>
      <c r="AC175" s="162" t="s">
        <v>852</v>
      </c>
      <c r="AD175" s="153" t="n">
        <v>24.395529</v>
      </c>
      <c r="AE175" s="153" t="n">
        <v>76.288276</v>
      </c>
    </row>
    <row r="176" customFormat="false" ht="15" hidden="false" customHeight="false" outlineLevel="0" collapsed="false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12"/>
      <c r="M176" s="160"/>
      <c r="N176" s="112"/>
      <c r="O176" s="160"/>
      <c r="P176" s="160"/>
      <c r="Q176" s="150" t="s">
        <v>45</v>
      </c>
      <c r="R176" s="163" t="n">
        <v>44424</v>
      </c>
      <c r="S176" s="160"/>
      <c r="T176" s="150" t="n">
        <v>4</v>
      </c>
      <c r="U176" s="112"/>
      <c r="V176" s="112"/>
      <c r="W176" s="112"/>
      <c r="X176" s="112"/>
      <c r="Y176" s="112"/>
      <c r="Z176" s="112"/>
      <c r="AA176" s="150" t="s">
        <v>43</v>
      </c>
      <c r="AB176" s="150" t="n">
        <v>4</v>
      </c>
      <c r="AC176" s="162" t="s">
        <v>852</v>
      </c>
      <c r="AD176" s="150" t="n">
        <v>24.39632</v>
      </c>
      <c r="AE176" s="150" t="n">
        <v>76.286528</v>
      </c>
    </row>
    <row r="177" customFormat="false" ht="15" hidden="false" customHeight="false" outlineLevel="0" collapsed="false">
      <c r="A177" s="160" t="s">
        <v>415</v>
      </c>
      <c r="B177" s="160" t="s">
        <v>1104</v>
      </c>
      <c r="C177" s="160" t="s">
        <v>1377</v>
      </c>
      <c r="D177" s="160" t="s">
        <v>1380</v>
      </c>
      <c r="E177" s="160" t="s">
        <v>1381</v>
      </c>
      <c r="F177" s="160" t="n">
        <v>286.34</v>
      </c>
      <c r="G177" s="160" t="n">
        <v>213</v>
      </c>
      <c r="H177" s="160" t="n">
        <v>902</v>
      </c>
      <c r="I177" s="160" t="n">
        <v>451</v>
      </c>
      <c r="J177" s="160" t="n">
        <v>451</v>
      </c>
      <c r="K177" s="160" t="n">
        <v>73</v>
      </c>
      <c r="L177" s="112" t="n">
        <f aca="false">K177/H177*100</f>
        <v>8.09312638580931</v>
      </c>
      <c r="M177" s="160" t="n">
        <v>150</v>
      </c>
      <c r="N177" s="112" t="n">
        <f aca="false">M177/H177*100</f>
        <v>16.629711751663</v>
      </c>
      <c r="O177" s="160" t="n">
        <v>14.47</v>
      </c>
      <c r="P177" s="160" t="n">
        <v>31.27</v>
      </c>
      <c r="Q177" s="150" t="s">
        <v>150</v>
      </c>
      <c r="R177" s="163" t="n">
        <v>44424</v>
      </c>
      <c r="S177" s="160"/>
      <c r="T177" s="150" t="n">
        <v>5</v>
      </c>
      <c r="U177" s="112"/>
      <c r="V177" s="112"/>
      <c r="W177" s="112"/>
      <c r="X177" s="112"/>
      <c r="Y177" s="112"/>
      <c r="Z177" s="112"/>
      <c r="AA177" s="150" t="s">
        <v>82</v>
      </c>
      <c r="AB177" s="150" t="n">
        <v>5</v>
      </c>
      <c r="AC177" s="162" t="s">
        <v>852</v>
      </c>
      <c r="AD177" s="150" t="n">
        <v>24.391118</v>
      </c>
      <c r="AE177" s="150" t="n">
        <v>76.295243</v>
      </c>
    </row>
    <row r="178" customFormat="false" ht="15" hidden="false" customHeight="false" outlineLevel="0" collapsed="false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12"/>
      <c r="M178" s="160"/>
      <c r="N178" s="112"/>
      <c r="O178" s="160"/>
      <c r="P178" s="160"/>
      <c r="Q178" s="153" t="s">
        <v>150</v>
      </c>
      <c r="R178" s="171" t="n">
        <v>44424</v>
      </c>
      <c r="S178" s="160"/>
      <c r="T178" s="153" t="n">
        <v>14</v>
      </c>
      <c r="U178" s="112"/>
      <c r="V178" s="112"/>
      <c r="W178" s="112"/>
      <c r="X178" s="112"/>
      <c r="Y178" s="112"/>
      <c r="Z178" s="112"/>
      <c r="AA178" s="153" t="s">
        <v>82</v>
      </c>
      <c r="AB178" s="153" t="n">
        <v>14</v>
      </c>
      <c r="AC178" s="162" t="s">
        <v>852</v>
      </c>
      <c r="AD178" s="153" t="s">
        <v>1382</v>
      </c>
      <c r="AE178" s="153" t="s">
        <v>1383</v>
      </c>
    </row>
    <row r="179" customFormat="false" ht="15" hidden="false" customHeight="false" outlineLevel="0" collapsed="false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12"/>
      <c r="M179" s="160"/>
      <c r="N179" s="112"/>
      <c r="O179" s="160"/>
      <c r="P179" s="160"/>
      <c r="Q179" s="153" t="s">
        <v>150</v>
      </c>
      <c r="R179" s="171" t="n">
        <v>44424</v>
      </c>
      <c r="S179" s="160"/>
      <c r="T179" s="153" t="n">
        <v>15</v>
      </c>
      <c r="U179" s="112"/>
      <c r="V179" s="112"/>
      <c r="W179" s="112"/>
      <c r="X179" s="112"/>
      <c r="Y179" s="112"/>
      <c r="Z179" s="112"/>
      <c r="AA179" s="153" t="s">
        <v>82</v>
      </c>
      <c r="AB179" s="153" t="n">
        <v>15</v>
      </c>
      <c r="AC179" s="162" t="s">
        <v>852</v>
      </c>
      <c r="AD179" s="153" t="n">
        <v>24.395529</v>
      </c>
      <c r="AE179" s="153" t="n">
        <v>76.288276</v>
      </c>
    </row>
    <row r="180" customFormat="false" ht="15" hidden="false" customHeight="false" outlineLevel="0" collapsed="false">
      <c r="A180" s="160" t="s">
        <v>415</v>
      </c>
      <c r="B180" s="160" t="s">
        <v>1104</v>
      </c>
      <c r="C180" s="160" t="s">
        <v>1377</v>
      </c>
      <c r="D180" s="160" t="s">
        <v>345</v>
      </c>
      <c r="E180" s="160" t="s">
        <v>1384</v>
      </c>
      <c r="F180" s="160" t="n">
        <v>247.31</v>
      </c>
      <c r="G180" s="160" t="n">
        <v>14</v>
      </c>
      <c r="H180" s="160" t="n">
        <v>55</v>
      </c>
      <c r="I180" s="160" t="n">
        <v>30</v>
      </c>
      <c r="J180" s="160" t="n">
        <v>25</v>
      </c>
      <c r="K180" s="160" t="n">
        <v>0</v>
      </c>
      <c r="L180" s="112" t="n">
        <f aca="false">K180/H180*100</f>
        <v>0</v>
      </c>
      <c r="M180" s="160" t="n">
        <v>53</v>
      </c>
      <c r="N180" s="112" t="n">
        <f aca="false">M180/H180*100</f>
        <v>96.3636363636364</v>
      </c>
      <c r="O180" s="160" t="n">
        <v>0</v>
      </c>
      <c r="P180" s="160" t="n">
        <v>145.15</v>
      </c>
      <c r="Q180" s="153" t="s">
        <v>45</v>
      </c>
      <c r="R180" s="153" t="s">
        <v>1385</v>
      </c>
      <c r="S180" s="160"/>
      <c r="T180" s="153" t="n">
        <v>0</v>
      </c>
      <c r="U180" s="112"/>
      <c r="V180" s="112"/>
      <c r="W180" s="112"/>
      <c r="X180" s="112"/>
      <c r="Y180" s="112"/>
      <c r="Z180" s="112"/>
      <c r="AA180" s="153" t="s">
        <v>272</v>
      </c>
      <c r="AB180" s="153" t="n">
        <v>0</v>
      </c>
      <c r="AC180" s="162" t="s">
        <v>852</v>
      </c>
      <c r="AD180" s="153" t="n">
        <v>24.41736</v>
      </c>
      <c r="AE180" s="153" t="n">
        <v>76.32572</v>
      </c>
    </row>
    <row r="181" customFormat="false" ht="15" hidden="false" customHeight="false" outlineLevel="0" collapsed="false">
      <c r="A181" s="160" t="s">
        <v>415</v>
      </c>
      <c r="B181" s="160" t="s">
        <v>1104</v>
      </c>
      <c r="C181" s="160" t="s">
        <v>1377</v>
      </c>
      <c r="D181" s="160" t="s">
        <v>1386</v>
      </c>
      <c r="E181" s="160" t="s">
        <v>1387</v>
      </c>
      <c r="F181" s="160" t="n">
        <v>164.21</v>
      </c>
      <c r="G181" s="160" t="n">
        <v>54</v>
      </c>
      <c r="H181" s="160" t="n">
        <v>200</v>
      </c>
      <c r="I181" s="160" t="n">
        <v>107</v>
      </c>
      <c r="J181" s="160" t="n">
        <v>93</v>
      </c>
      <c r="K181" s="160" t="n">
        <v>0</v>
      </c>
      <c r="L181" s="112" t="n">
        <f aca="false">K181/H181*100</f>
        <v>0</v>
      </c>
      <c r="M181" s="160" t="n">
        <v>0</v>
      </c>
      <c r="N181" s="112" t="n">
        <f aca="false">M181/H181*100</f>
        <v>0</v>
      </c>
      <c r="O181" s="160" t="n">
        <v>0</v>
      </c>
      <c r="P181" s="160" t="n">
        <v>72.45</v>
      </c>
      <c r="Q181" s="12" t="s">
        <v>150</v>
      </c>
      <c r="R181" s="14" t="n">
        <v>44424</v>
      </c>
      <c r="S181" s="160"/>
      <c r="T181" s="12" t="n">
        <v>10</v>
      </c>
      <c r="U181" s="112"/>
      <c r="V181" s="112"/>
      <c r="W181" s="112"/>
      <c r="X181" s="112"/>
      <c r="Y181" s="112"/>
      <c r="Z181" s="112"/>
      <c r="AA181" s="12" t="s">
        <v>150</v>
      </c>
      <c r="AB181" s="12" t="n">
        <v>10</v>
      </c>
      <c r="AC181" s="162" t="s">
        <v>852</v>
      </c>
      <c r="AD181" s="12" t="n">
        <v>24.422326</v>
      </c>
      <c r="AE181" s="12" t="n">
        <v>76.291736</v>
      </c>
    </row>
    <row r="182" customFormat="false" ht="15" hidden="false" customHeight="false" outlineLevel="0" collapsed="false">
      <c r="A182" s="160" t="s">
        <v>415</v>
      </c>
      <c r="B182" s="160" t="s">
        <v>1104</v>
      </c>
      <c r="C182" s="160" t="s">
        <v>1377</v>
      </c>
      <c r="D182" s="160" t="s">
        <v>193</v>
      </c>
      <c r="E182" s="160" t="s">
        <v>1388</v>
      </c>
      <c r="F182" s="160" t="n">
        <v>457.93</v>
      </c>
      <c r="G182" s="160" t="n">
        <v>80</v>
      </c>
      <c r="H182" s="160" t="n">
        <v>321</v>
      </c>
      <c r="I182" s="160" t="n">
        <v>168</v>
      </c>
      <c r="J182" s="160" t="n">
        <v>153</v>
      </c>
      <c r="K182" s="160" t="n">
        <v>0</v>
      </c>
      <c r="L182" s="112" t="n">
        <f aca="false">K182/H182*100</f>
        <v>0</v>
      </c>
      <c r="M182" s="160" t="n">
        <v>174</v>
      </c>
      <c r="N182" s="112" t="n">
        <f aca="false">M182/H182*100</f>
        <v>54.2056074766355</v>
      </c>
      <c r="O182" s="160" t="n">
        <v>13.88</v>
      </c>
      <c r="P182" s="160" t="n">
        <v>170.11</v>
      </c>
      <c r="Q182" s="11"/>
      <c r="R182" s="11"/>
      <c r="S182" s="160"/>
      <c r="T182" s="11"/>
      <c r="U182" s="112"/>
      <c r="V182" s="112"/>
      <c r="W182" s="112"/>
      <c r="X182" s="112"/>
      <c r="Y182" s="112"/>
      <c r="Z182" s="112"/>
      <c r="AA182" s="11"/>
      <c r="AB182" s="11"/>
      <c r="AC182" s="162" t="s">
        <v>852</v>
      </c>
      <c r="AD182" s="11"/>
      <c r="AE182" s="11"/>
    </row>
    <row r="183" customFormat="false" ht="15" hidden="false" customHeight="false" outlineLevel="0" collapsed="false">
      <c r="A183" s="160" t="s">
        <v>415</v>
      </c>
      <c r="B183" s="160" t="s">
        <v>1104</v>
      </c>
      <c r="C183" s="160" t="s">
        <v>1377</v>
      </c>
      <c r="D183" s="160" t="s">
        <v>107</v>
      </c>
      <c r="E183" s="160" t="s">
        <v>1389</v>
      </c>
      <c r="F183" s="160" t="n">
        <v>370.27</v>
      </c>
      <c r="G183" s="160" t="n">
        <v>92</v>
      </c>
      <c r="H183" s="160" t="n">
        <v>429</v>
      </c>
      <c r="I183" s="160" t="n">
        <v>224</v>
      </c>
      <c r="J183" s="160" t="n">
        <v>205</v>
      </c>
      <c r="K183" s="160" t="n">
        <v>6</v>
      </c>
      <c r="L183" s="112" t="n">
        <f aca="false">K183/H183*100</f>
        <v>1.3986013986014</v>
      </c>
      <c r="M183" s="160" t="n">
        <v>0</v>
      </c>
      <c r="N183" s="112" t="n">
        <f aca="false">M183/H183*100</f>
        <v>0</v>
      </c>
      <c r="O183" s="160" t="n">
        <v>10.07</v>
      </c>
      <c r="P183" s="160" t="n">
        <v>267.37</v>
      </c>
      <c r="Q183" s="150" t="s">
        <v>45</v>
      </c>
      <c r="R183" s="163" t="n">
        <v>44424</v>
      </c>
      <c r="S183" s="160"/>
      <c r="T183" s="150" t="n">
        <v>5</v>
      </c>
      <c r="U183" s="112"/>
      <c r="V183" s="112"/>
      <c r="W183" s="112"/>
      <c r="X183" s="112"/>
      <c r="Y183" s="112"/>
      <c r="Z183" s="112"/>
      <c r="AA183" s="150" t="s">
        <v>45</v>
      </c>
      <c r="AB183" s="150" t="n">
        <v>5</v>
      </c>
      <c r="AC183" s="162" t="s">
        <v>852</v>
      </c>
      <c r="AD183" s="150" t="n">
        <v>24.422573</v>
      </c>
      <c r="AE183" s="150" t="n">
        <v>76.282368</v>
      </c>
    </row>
    <row r="184" customFormat="false" ht="15" hidden="false" customHeight="false" outlineLevel="0" collapsed="false">
      <c r="A184" s="160" t="s">
        <v>415</v>
      </c>
      <c r="B184" s="160" t="s">
        <v>1104</v>
      </c>
      <c r="C184" s="160" t="s">
        <v>1390</v>
      </c>
      <c r="D184" s="161" t="s">
        <v>1391</v>
      </c>
      <c r="E184" s="160" t="s">
        <v>1392</v>
      </c>
      <c r="F184" s="160" t="n">
        <v>909.39</v>
      </c>
      <c r="G184" s="160" t="n">
        <v>1537</v>
      </c>
      <c r="H184" s="160" t="n">
        <v>7743</v>
      </c>
      <c r="I184" s="160" t="n">
        <v>3954</v>
      </c>
      <c r="J184" s="160" t="n">
        <v>3789</v>
      </c>
      <c r="K184" s="160" t="n">
        <v>1320</v>
      </c>
      <c r="L184" s="112" t="n">
        <f aca="false">K184/H184*100</f>
        <v>17.0476559473072</v>
      </c>
      <c r="M184" s="160" t="n">
        <v>386</v>
      </c>
      <c r="N184" s="112" t="n">
        <f aca="false">M184/H184*100</f>
        <v>4.98514787550045</v>
      </c>
      <c r="O184" s="160" t="n">
        <v>35.76</v>
      </c>
      <c r="P184" s="160" t="n">
        <v>220.84</v>
      </c>
      <c r="Q184" s="168" t="s">
        <v>45</v>
      </c>
      <c r="R184" s="169" t="n">
        <v>44595</v>
      </c>
      <c r="S184" s="160"/>
      <c r="T184" s="11" t="n">
        <v>0</v>
      </c>
      <c r="U184" s="112"/>
      <c r="V184" s="112" t="s">
        <v>43</v>
      </c>
      <c r="W184" s="112"/>
      <c r="X184" s="112"/>
      <c r="Y184" s="112"/>
      <c r="Z184" s="112"/>
      <c r="AA184" s="41" t="s">
        <v>45</v>
      </c>
      <c r="AB184" s="11" t="n">
        <v>0</v>
      </c>
      <c r="AC184" s="162" t="s">
        <v>852</v>
      </c>
      <c r="AD184" s="170" t="n">
        <v>24.375901</v>
      </c>
      <c r="AE184" s="170" t="n">
        <v>76.308909</v>
      </c>
    </row>
    <row r="185" customFormat="false" ht="15" hidden="false" customHeight="false" outlineLevel="0" collapsed="false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12"/>
      <c r="M185" s="160"/>
      <c r="N185" s="112"/>
      <c r="O185" s="160"/>
      <c r="P185" s="160"/>
      <c r="Q185" s="153" t="s">
        <v>45</v>
      </c>
      <c r="R185" s="171" t="n">
        <v>44595</v>
      </c>
      <c r="S185" s="160"/>
      <c r="T185" s="153" t="n">
        <v>18</v>
      </c>
      <c r="U185" s="112"/>
      <c r="V185" s="112"/>
      <c r="W185" s="112"/>
      <c r="X185" s="112"/>
      <c r="Y185" s="112"/>
      <c r="Z185" s="112"/>
      <c r="AA185" s="153" t="s">
        <v>45</v>
      </c>
      <c r="AB185" s="153" t="n">
        <v>18</v>
      </c>
      <c r="AC185" s="162" t="s">
        <v>852</v>
      </c>
      <c r="AD185" s="153" t="n">
        <v>24.3759</v>
      </c>
      <c r="AE185" s="153" t="n">
        <v>76.30891</v>
      </c>
    </row>
    <row r="186" customFormat="false" ht="15" hidden="false" customHeight="false" outlineLevel="0" collapsed="false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12"/>
      <c r="M186" s="160"/>
      <c r="N186" s="112"/>
      <c r="O186" s="160"/>
      <c r="P186" s="160"/>
      <c r="Q186" s="168" t="s">
        <v>45</v>
      </c>
      <c r="R186" s="169" t="n">
        <v>44595</v>
      </c>
      <c r="S186" s="160"/>
      <c r="T186" s="162" t="n">
        <v>10</v>
      </c>
      <c r="U186" s="112"/>
      <c r="V186" s="112"/>
      <c r="W186" s="112"/>
      <c r="X186" s="112"/>
      <c r="Y186" s="112"/>
      <c r="Z186" s="112"/>
      <c r="AA186" s="162" t="s">
        <v>43</v>
      </c>
      <c r="AB186" s="162" t="n">
        <v>10</v>
      </c>
      <c r="AC186" s="162" t="s">
        <v>852</v>
      </c>
      <c r="AD186" s="170" t="n">
        <v>24.377209</v>
      </c>
      <c r="AE186" s="170" t="n">
        <v>76.294837</v>
      </c>
    </row>
    <row r="187" customFormat="false" ht="15" hidden="false" customHeight="false" outlineLevel="0" collapsed="false">
      <c r="A187" s="160" t="s">
        <v>415</v>
      </c>
      <c r="B187" s="160" t="s">
        <v>1104</v>
      </c>
      <c r="C187" s="160" t="s">
        <v>1390</v>
      </c>
      <c r="D187" s="160" t="s">
        <v>1393</v>
      </c>
      <c r="E187" s="160" t="s">
        <v>1394</v>
      </c>
      <c r="F187" s="160" t="n">
        <v>182.39</v>
      </c>
      <c r="G187" s="160" t="n">
        <v>58</v>
      </c>
      <c r="H187" s="160" t="n">
        <v>315</v>
      </c>
      <c r="I187" s="160" t="n">
        <v>161</v>
      </c>
      <c r="J187" s="160" t="n">
        <v>154</v>
      </c>
      <c r="K187" s="160" t="n">
        <v>114</v>
      </c>
      <c r="L187" s="112" t="n">
        <f aca="false">K187/H187*100</f>
        <v>36.1904761904762</v>
      </c>
      <c r="M187" s="160" t="n">
        <v>17</v>
      </c>
      <c r="N187" s="112" t="n">
        <f aca="false">M187/H187*100</f>
        <v>5.3968253968254</v>
      </c>
      <c r="O187" s="160" t="n">
        <v>14.28</v>
      </c>
      <c r="P187" s="160" t="n">
        <v>41.94</v>
      </c>
      <c r="Q187" s="168" t="s">
        <v>45</v>
      </c>
      <c r="R187" s="169" t="n">
        <v>44595</v>
      </c>
      <c r="S187" s="160"/>
      <c r="T187" s="11" t="n">
        <v>2</v>
      </c>
      <c r="U187" s="112"/>
      <c r="V187" s="112"/>
      <c r="W187" s="112"/>
      <c r="X187" s="112"/>
      <c r="Y187" s="112"/>
      <c r="Z187" s="112"/>
      <c r="AA187" s="41" t="s">
        <v>45</v>
      </c>
      <c r="AB187" s="11" t="n">
        <v>2</v>
      </c>
      <c r="AC187" s="162" t="s">
        <v>852</v>
      </c>
      <c r="AD187" s="170" t="n">
        <v>24.35994</v>
      </c>
      <c r="AE187" s="170" t="n">
        <v>76.30911</v>
      </c>
    </row>
    <row r="188" customFormat="false" ht="15" hidden="false" customHeight="false" outlineLevel="0" collapsed="false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12"/>
      <c r="M188" s="160"/>
      <c r="N188" s="112"/>
      <c r="O188" s="160"/>
      <c r="P188" s="160"/>
      <c r="Q188" s="172" t="s">
        <v>45</v>
      </c>
      <c r="R188" s="173" t="n">
        <v>44595</v>
      </c>
      <c r="S188" s="160"/>
      <c r="T188" s="153" t="n">
        <v>19</v>
      </c>
      <c r="U188" s="112"/>
      <c r="V188" s="112"/>
      <c r="W188" s="112"/>
      <c r="X188" s="112"/>
      <c r="Y188" s="112"/>
      <c r="Z188" s="112"/>
      <c r="AA188" s="153" t="s">
        <v>82</v>
      </c>
      <c r="AB188" s="153" t="n">
        <v>19</v>
      </c>
      <c r="AC188" s="162" t="s">
        <v>852</v>
      </c>
      <c r="AD188" s="174" t="n">
        <v>24.35994</v>
      </c>
      <c r="AE188" s="174" t="n">
        <v>76.30911</v>
      </c>
    </row>
    <row r="189" customFormat="false" ht="15" hidden="false" customHeight="false" outlineLevel="0" collapsed="false">
      <c r="A189" s="160" t="s">
        <v>415</v>
      </c>
      <c r="B189" s="160" t="s">
        <v>1104</v>
      </c>
      <c r="C189" s="160" t="s">
        <v>1390</v>
      </c>
      <c r="D189" s="160" t="s">
        <v>376</v>
      </c>
      <c r="E189" s="160" t="s">
        <v>1395</v>
      </c>
      <c r="F189" s="160" t="n">
        <v>152.78</v>
      </c>
      <c r="G189" s="160" t="n">
        <v>0</v>
      </c>
      <c r="H189" s="160" t="n">
        <v>0</v>
      </c>
      <c r="I189" s="160" t="n">
        <v>0</v>
      </c>
      <c r="J189" s="160" t="n">
        <v>0</v>
      </c>
      <c r="K189" s="160" t="n">
        <v>0</v>
      </c>
      <c r="L189" s="112"/>
      <c r="M189" s="160" t="n">
        <v>0</v>
      </c>
      <c r="N189" s="112"/>
      <c r="O189" s="160" t="n">
        <v>6.08</v>
      </c>
      <c r="P189" s="160" t="n">
        <v>0</v>
      </c>
      <c r="Q189" s="11"/>
      <c r="R189" s="11"/>
      <c r="S189" s="160"/>
      <c r="T189" s="11"/>
      <c r="U189" s="112"/>
      <c r="V189" s="112"/>
      <c r="W189" s="112"/>
      <c r="X189" s="112"/>
      <c r="Y189" s="112"/>
      <c r="Z189" s="112"/>
      <c r="AA189" s="11"/>
      <c r="AB189" s="11"/>
      <c r="AC189" s="162" t="s">
        <v>852</v>
      </c>
      <c r="AD189" s="11"/>
      <c r="AE189" s="11"/>
    </row>
    <row r="190" customFormat="false" ht="15" hidden="false" customHeight="false" outlineLevel="0" collapsed="false">
      <c r="A190" s="160" t="s">
        <v>415</v>
      </c>
      <c r="B190" s="160" t="s">
        <v>1104</v>
      </c>
      <c r="C190" s="160" t="s">
        <v>1396</v>
      </c>
      <c r="D190" s="161" t="s">
        <v>1397</v>
      </c>
      <c r="E190" s="160" t="s">
        <v>1398</v>
      </c>
      <c r="F190" s="160" t="n">
        <v>929.69</v>
      </c>
      <c r="G190" s="160" t="n">
        <v>737</v>
      </c>
      <c r="H190" s="160" t="n">
        <v>3786</v>
      </c>
      <c r="I190" s="160" t="n">
        <v>1920</v>
      </c>
      <c r="J190" s="160" t="n">
        <v>1866</v>
      </c>
      <c r="K190" s="160" t="n">
        <v>659</v>
      </c>
      <c r="L190" s="112" t="n">
        <f aca="false">K190/H190*100</f>
        <v>17.4062334918119</v>
      </c>
      <c r="M190" s="160" t="n">
        <v>107</v>
      </c>
      <c r="N190" s="112" t="n">
        <f aca="false">M190/H190*100</f>
        <v>2.82620179609086</v>
      </c>
      <c r="O190" s="160" t="n">
        <v>82.88</v>
      </c>
      <c r="P190" s="160" t="n">
        <v>319.57</v>
      </c>
      <c r="Q190" s="150" t="s">
        <v>45</v>
      </c>
      <c r="R190" s="163" t="n">
        <v>44419</v>
      </c>
      <c r="S190" s="160"/>
      <c r="T190" s="150" t="n">
        <v>7</v>
      </c>
      <c r="U190" s="112"/>
      <c r="V190" s="112" t="s">
        <v>43</v>
      </c>
      <c r="W190" s="112"/>
      <c r="X190" s="112"/>
      <c r="Y190" s="112"/>
      <c r="Z190" s="112"/>
      <c r="AA190" s="150" t="s">
        <v>150</v>
      </c>
      <c r="AB190" s="150" t="n">
        <v>7</v>
      </c>
      <c r="AC190" s="162" t="s">
        <v>852</v>
      </c>
      <c r="AD190" s="150" t="n">
        <v>24.457738</v>
      </c>
      <c r="AE190" s="150" t="n">
        <v>76.244827</v>
      </c>
    </row>
    <row r="191" customFormat="false" ht="15" hidden="false" customHeight="false" outlineLevel="0" collapsed="false">
      <c r="A191" s="160" t="s">
        <v>415</v>
      </c>
      <c r="B191" s="160" t="s">
        <v>1104</v>
      </c>
      <c r="C191" s="160" t="s">
        <v>1396</v>
      </c>
      <c r="D191" s="160" t="s">
        <v>498</v>
      </c>
      <c r="E191" s="160" t="s">
        <v>1399</v>
      </c>
      <c r="F191" s="160" t="n">
        <v>223.32</v>
      </c>
      <c r="G191" s="160" t="n">
        <v>44</v>
      </c>
      <c r="H191" s="160" t="n">
        <v>275</v>
      </c>
      <c r="I191" s="160" t="n">
        <v>146</v>
      </c>
      <c r="J191" s="160" t="n">
        <v>129</v>
      </c>
      <c r="K191" s="160" t="n">
        <v>0</v>
      </c>
      <c r="L191" s="112" t="n">
        <f aca="false">K191/H191*100</f>
        <v>0</v>
      </c>
      <c r="M191" s="160" t="n">
        <v>0</v>
      </c>
      <c r="N191" s="112" t="n">
        <f aca="false">M191/H191*100</f>
        <v>0</v>
      </c>
      <c r="O191" s="160" t="n">
        <v>11.55</v>
      </c>
      <c r="P191" s="160" t="n">
        <v>0</v>
      </c>
      <c r="Q191" s="11"/>
      <c r="R191" s="11"/>
      <c r="S191" s="160"/>
      <c r="T191" s="11"/>
      <c r="U191" s="112"/>
      <c r="V191" s="112"/>
      <c r="W191" s="112"/>
      <c r="X191" s="112"/>
      <c r="Y191" s="112"/>
      <c r="Z191" s="112"/>
      <c r="AA191" s="11"/>
      <c r="AB191" s="11"/>
      <c r="AC191" s="162" t="s">
        <v>852</v>
      </c>
      <c r="AD191" s="11"/>
      <c r="AE191" s="11"/>
    </row>
    <row r="192" customFormat="false" ht="15" hidden="false" customHeight="false" outlineLevel="0" collapsed="false">
      <c r="A192" s="160" t="s">
        <v>415</v>
      </c>
      <c r="B192" s="160" t="s">
        <v>1104</v>
      </c>
      <c r="C192" s="160" t="s">
        <v>1396</v>
      </c>
      <c r="D192" s="160" t="s">
        <v>1400</v>
      </c>
      <c r="E192" s="160" t="s">
        <v>1401</v>
      </c>
      <c r="F192" s="160" t="n">
        <v>431.61</v>
      </c>
      <c r="G192" s="160" t="n">
        <v>161</v>
      </c>
      <c r="H192" s="160" t="n">
        <v>777</v>
      </c>
      <c r="I192" s="160" t="n">
        <v>388</v>
      </c>
      <c r="J192" s="160" t="n">
        <v>389</v>
      </c>
      <c r="K192" s="160" t="n">
        <v>211</v>
      </c>
      <c r="L192" s="112" t="n">
        <f aca="false">K192/H192*100</f>
        <v>27.1557271557272</v>
      </c>
      <c r="M192" s="160" t="n">
        <v>361</v>
      </c>
      <c r="N192" s="112" t="n">
        <f aca="false">M192/H192*100</f>
        <v>46.4607464607465</v>
      </c>
      <c r="O192" s="160" t="n">
        <v>44.57</v>
      </c>
      <c r="P192" s="160" t="n">
        <v>102.23</v>
      </c>
      <c r="Q192" s="178" t="s">
        <v>45</v>
      </c>
      <c r="R192" s="163" t="n">
        <v>44419</v>
      </c>
      <c r="S192" s="160"/>
      <c r="T192" s="150" t="n">
        <v>5</v>
      </c>
      <c r="U192" s="112"/>
      <c r="V192" s="112"/>
      <c r="W192" s="112"/>
      <c r="X192" s="112"/>
      <c r="Y192" s="112"/>
      <c r="Z192" s="112"/>
      <c r="AA192" s="150" t="s">
        <v>150</v>
      </c>
      <c r="AB192" s="150" t="n">
        <v>5</v>
      </c>
      <c r="AC192" s="162" t="s">
        <v>852</v>
      </c>
      <c r="AD192" s="150" t="n">
        <v>24.457738</v>
      </c>
      <c r="AE192" s="150" t="n">
        <v>76.244827</v>
      </c>
    </row>
    <row r="193" customFormat="false" ht="15" hidden="false" customHeight="false" outlineLevel="0" collapsed="false">
      <c r="A193" s="160" t="s">
        <v>415</v>
      </c>
      <c r="B193" s="160" t="s">
        <v>1104</v>
      </c>
      <c r="C193" s="160" t="s">
        <v>1402</v>
      </c>
      <c r="D193" s="161" t="s">
        <v>1403</v>
      </c>
      <c r="E193" s="160" t="s">
        <v>1404</v>
      </c>
      <c r="F193" s="160" t="n">
        <v>366.96</v>
      </c>
      <c r="G193" s="160" t="n">
        <v>213</v>
      </c>
      <c r="H193" s="160" t="n">
        <v>1056</v>
      </c>
      <c r="I193" s="160" t="n">
        <v>539</v>
      </c>
      <c r="J193" s="160" t="n">
        <v>517</v>
      </c>
      <c r="K193" s="160" t="n">
        <v>294</v>
      </c>
      <c r="L193" s="112" t="n">
        <f aca="false">K193/H193*100</f>
        <v>27.8409090909091</v>
      </c>
      <c r="M193" s="160" t="n">
        <v>168</v>
      </c>
      <c r="N193" s="112" t="n">
        <f aca="false">M193/H193*100</f>
        <v>15.9090909090909</v>
      </c>
      <c r="O193" s="160" t="n">
        <v>0</v>
      </c>
      <c r="P193" s="160" t="n">
        <v>113.69</v>
      </c>
      <c r="Q193" s="149" t="s">
        <v>45</v>
      </c>
      <c r="R193" s="166" t="n">
        <v>44819</v>
      </c>
      <c r="S193" s="160"/>
      <c r="T193" s="167" t="n">
        <v>4</v>
      </c>
      <c r="U193" s="112"/>
      <c r="V193" s="112" t="s">
        <v>43</v>
      </c>
      <c r="W193" s="112"/>
      <c r="X193" s="112"/>
      <c r="Y193" s="112"/>
      <c r="Z193" s="112"/>
      <c r="AA193" s="167" t="s">
        <v>45</v>
      </c>
      <c r="AB193" s="167" t="n">
        <v>4</v>
      </c>
      <c r="AC193" s="162" t="s">
        <v>852</v>
      </c>
      <c r="AD193" s="149" t="n">
        <v>24.359713</v>
      </c>
      <c r="AE193" s="149" t="n">
        <v>76.27677</v>
      </c>
    </row>
    <row r="194" customFormat="false" ht="15" hidden="false" customHeight="false" outlineLevel="0" collapsed="false">
      <c r="A194" s="160" t="s">
        <v>415</v>
      </c>
      <c r="B194" s="160" t="s">
        <v>1104</v>
      </c>
      <c r="C194" s="160" t="s">
        <v>1402</v>
      </c>
      <c r="D194" s="160" t="s">
        <v>1405</v>
      </c>
      <c r="E194" s="160" t="s">
        <v>1406</v>
      </c>
      <c r="F194" s="160" t="n">
        <v>242.27</v>
      </c>
      <c r="G194" s="160" t="n">
        <v>102</v>
      </c>
      <c r="H194" s="160" t="n">
        <v>506</v>
      </c>
      <c r="I194" s="160" t="n">
        <v>242</v>
      </c>
      <c r="J194" s="160" t="n">
        <v>264</v>
      </c>
      <c r="K194" s="160" t="n">
        <v>32</v>
      </c>
      <c r="L194" s="112" t="n">
        <f aca="false">K194/H194*100</f>
        <v>6.32411067193676</v>
      </c>
      <c r="M194" s="160" t="n">
        <v>0</v>
      </c>
      <c r="N194" s="112" t="n">
        <f aca="false">M194/H194*100</f>
        <v>0</v>
      </c>
      <c r="O194" s="160" t="n">
        <v>6.27</v>
      </c>
      <c r="P194" s="160" t="n">
        <v>87.97</v>
      </c>
      <c r="Q194" s="149" t="s">
        <v>45</v>
      </c>
      <c r="R194" s="166" t="n">
        <v>44819</v>
      </c>
      <c r="S194" s="160"/>
      <c r="T194" s="167" t="n">
        <v>8</v>
      </c>
      <c r="U194" s="112"/>
      <c r="V194" s="112"/>
      <c r="W194" s="112"/>
      <c r="X194" s="112"/>
      <c r="Y194" s="112"/>
      <c r="Z194" s="112"/>
      <c r="AA194" s="167" t="s">
        <v>45</v>
      </c>
      <c r="AB194" s="167" t="n">
        <v>8</v>
      </c>
      <c r="AC194" s="162" t="s">
        <v>852</v>
      </c>
      <c r="AD194" s="149" t="n">
        <v>24.349342</v>
      </c>
      <c r="AE194" s="149" t="n">
        <v>76.268161</v>
      </c>
    </row>
    <row r="195" customFormat="false" ht="15" hidden="false" customHeight="false" outlineLevel="0" collapsed="false">
      <c r="A195" s="160" t="s">
        <v>415</v>
      </c>
      <c r="B195" s="160" t="s">
        <v>1104</v>
      </c>
      <c r="C195" s="160" t="s">
        <v>1402</v>
      </c>
      <c r="D195" s="160" t="s">
        <v>1180</v>
      </c>
      <c r="E195" s="160" t="s">
        <v>1407</v>
      </c>
      <c r="F195" s="160" t="n">
        <v>105.66</v>
      </c>
      <c r="G195" s="160" t="n">
        <v>120</v>
      </c>
      <c r="H195" s="160" t="n">
        <v>592</v>
      </c>
      <c r="I195" s="160" t="n">
        <v>294</v>
      </c>
      <c r="J195" s="160" t="n">
        <v>298</v>
      </c>
      <c r="K195" s="160" t="n">
        <v>40</v>
      </c>
      <c r="L195" s="112" t="n">
        <f aca="false">K195/H195*100</f>
        <v>6.75675675675676</v>
      </c>
      <c r="M195" s="160" t="n">
        <v>0</v>
      </c>
      <c r="N195" s="112" t="n">
        <f aca="false">M195/H195*100</f>
        <v>0</v>
      </c>
      <c r="O195" s="160" t="n">
        <v>4.21</v>
      </c>
      <c r="P195" s="160" t="n">
        <v>0</v>
      </c>
      <c r="Q195" s="168" t="s">
        <v>45</v>
      </c>
      <c r="R195" s="168" t="s">
        <v>325</v>
      </c>
      <c r="S195" s="160"/>
      <c r="T195" s="41" t="n">
        <v>0.33</v>
      </c>
      <c r="U195" s="112"/>
      <c r="V195" s="112"/>
      <c r="W195" s="112"/>
      <c r="X195" s="112"/>
      <c r="Y195" s="112"/>
      <c r="Z195" s="112"/>
      <c r="AA195" s="41" t="s">
        <v>45</v>
      </c>
      <c r="AB195" s="41" t="n">
        <v>0.33</v>
      </c>
      <c r="AC195" s="162" t="s">
        <v>852</v>
      </c>
      <c r="AD195" s="170" t="n">
        <v>24.363733</v>
      </c>
      <c r="AE195" s="170" t="n">
        <v>76.248155</v>
      </c>
    </row>
    <row r="196" customFormat="false" ht="15" hidden="false" customHeight="false" outlineLevel="0" collapsed="false">
      <c r="A196" s="160" t="s">
        <v>415</v>
      </c>
      <c r="B196" s="160" t="s">
        <v>1104</v>
      </c>
      <c r="C196" s="160" t="s">
        <v>1402</v>
      </c>
      <c r="D196" s="160" t="s">
        <v>1408</v>
      </c>
      <c r="E196" s="160" t="s">
        <v>1409</v>
      </c>
      <c r="F196" s="160" t="n">
        <v>86.47</v>
      </c>
      <c r="G196" s="160" t="n">
        <v>0</v>
      </c>
      <c r="H196" s="160" t="n">
        <v>0</v>
      </c>
      <c r="I196" s="160" t="n">
        <v>0</v>
      </c>
      <c r="J196" s="160" t="n">
        <v>0</v>
      </c>
      <c r="K196" s="160" t="n">
        <v>0</v>
      </c>
      <c r="L196" s="112"/>
      <c r="M196" s="160" t="n">
        <v>0</v>
      </c>
      <c r="N196" s="112"/>
      <c r="O196" s="160" t="n">
        <v>8.32</v>
      </c>
      <c r="P196" s="160" t="n">
        <v>0</v>
      </c>
      <c r="Q196" s="11"/>
      <c r="R196" s="11"/>
      <c r="S196" s="160"/>
      <c r="T196" s="11"/>
      <c r="U196" s="112"/>
      <c r="V196" s="112"/>
      <c r="W196" s="112"/>
      <c r="X196" s="112"/>
      <c r="Y196" s="112"/>
      <c r="Z196" s="112"/>
      <c r="AA196" s="11"/>
      <c r="AB196" s="11"/>
      <c r="AC196" s="162" t="s">
        <v>852</v>
      </c>
      <c r="AD196" s="11"/>
      <c r="AE196" s="11"/>
    </row>
    <row r="197" customFormat="false" ht="15" hidden="false" customHeight="false" outlineLevel="0" collapsed="false">
      <c r="A197" s="160" t="s">
        <v>415</v>
      </c>
      <c r="B197" s="160" t="s">
        <v>1104</v>
      </c>
      <c r="C197" s="160" t="s">
        <v>1402</v>
      </c>
      <c r="D197" s="160" t="s">
        <v>1410</v>
      </c>
      <c r="E197" s="160" t="s">
        <v>1411</v>
      </c>
      <c r="F197" s="160" t="n">
        <v>181.36</v>
      </c>
      <c r="G197" s="160" t="n">
        <v>40</v>
      </c>
      <c r="H197" s="160" t="n">
        <v>244</v>
      </c>
      <c r="I197" s="160" t="n">
        <v>114</v>
      </c>
      <c r="J197" s="160" t="n">
        <v>130</v>
      </c>
      <c r="K197" s="160" t="n">
        <v>16</v>
      </c>
      <c r="L197" s="112" t="n">
        <f aca="false">K197/H197*100</f>
        <v>6.55737704918033</v>
      </c>
      <c r="M197" s="160" t="n">
        <v>0</v>
      </c>
      <c r="N197" s="112" t="n">
        <f aca="false">M197/H197*100</f>
        <v>0</v>
      </c>
      <c r="O197" s="160" t="n">
        <v>0</v>
      </c>
      <c r="P197" s="160" t="n">
        <v>74.08</v>
      </c>
      <c r="Q197" s="11"/>
      <c r="R197" s="11"/>
      <c r="S197" s="160"/>
      <c r="T197" s="11"/>
      <c r="U197" s="112"/>
      <c r="V197" s="112"/>
      <c r="W197" s="112"/>
      <c r="X197" s="112"/>
      <c r="Y197" s="112"/>
      <c r="Z197" s="112"/>
      <c r="AA197" s="11"/>
      <c r="AB197" s="11"/>
      <c r="AC197" s="162" t="s">
        <v>852</v>
      </c>
      <c r="AD197" s="11"/>
      <c r="AE197" s="11"/>
    </row>
    <row r="198" customFormat="false" ht="15" hidden="false" customHeight="false" outlineLevel="0" collapsed="false">
      <c r="A198" s="160" t="s">
        <v>415</v>
      </c>
      <c r="B198" s="160" t="s">
        <v>1104</v>
      </c>
      <c r="C198" s="160" t="s">
        <v>1402</v>
      </c>
      <c r="D198" s="160" t="s">
        <v>302</v>
      </c>
      <c r="E198" s="160" t="s">
        <v>1412</v>
      </c>
      <c r="F198" s="160" t="n">
        <v>138.25</v>
      </c>
      <c r="G198" s="160" t="n">
        <v>132</v>
      </c>
      <c r="H198" s="160" t="n">
        <v>665</v>
      </c>
      <c r="I198" s="160" t="n">
        <v>343</v>
      </c>
      <c r="J198" s="160" t="n">
        <v>322</v>
      </c>
      <c r="K198" s="160" t="n">
        <v>46</v>
      </c>
      <c r="L198" s="112" t="n">
        <f aca="false">K198/H198*100</f>
        <v>6.91729323308271</v>
      </c>
      <c r="M198" s="160" t="n">
        <v>0</v>
      </c>
      <c r="N198" s="112" t="n">
        <f aca="false">M198/H198*100</f>
        <v>0</v>
      </c>
      <c r="O198" s="160" t="n">
        <v>8.89</v>
      </c>
      <c r="P198" s="160" t="n">
        <v>0</v>
      </c>
      <c r="Q198" s="168" t="s">
        <v>45</v>
      </c>
      <c r="R198" s="168" t="s">
        <v>332</v>
      </c>
      <c r="S198" s="160"/>
      <c r="T198" s="41" t="n">
        <v>3</v>
      </c>
      <c r="U198" s="112"/>
      <c r="V198" s="112"/>
      <c r="W198" s="112"/>
      <c r="X198" s="112"/>
      <c r="Y198" s="112"/>
      <c r="Z198" s="112"/>
      <c r="AA198" s="41" t="s">
        <v>45</v>
      </c>
      <c r="AB198" s="41" t="n">
        <v>3</v>
      </c>
      <c r="AC198" s="162" t="s">
        <v>852</v>
      </c>
      <c r="AD198" s="170" t="n">
        <v>24.371645</v>
      </c>
      <c r="AE198" s="170" t="n">
        <v>76.256967</v>
      </c>
    </row>
    <row r="199" customFormat="false" ht="15" hidden="false" customHeight="false" outlineLevel="0" collapsed="false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12"/>
      <c r="M199" s="160"/>
      <c r="N199" s="112"/>
      <c r="O199" s="160"/>
      <c r="P199" s="160"/>
      <c r="Q199" s="186" t="s">
        <v>45</v>
      </c>
      <c r="R199" s="187" t="n">
        <v>44617</v>
      </c>
      <c r="S199" s="160"/>
      <c r="T199" s="188" t="n">
        <v>2</v>
      </c>
      <c r="U199" s="112"/>
      <c r="V199" s="112"/>
      <c r="W199" s="112"/>
      <c r="X199" s="112"/>
      <c r="Y199" s="112"/>
      <c r="Z199" s="112"/>
      <c r="AA199" s="188" t="s">
        <v>45</v>
      </c>
      <c r="AB199" s="188" t="n">
        <v>2</v>
      </c>
      <c r="AC199" s="162" t="s">
        <v>852</v>
      </c>
      <c r="AD199" s="186" t="n">
        <v>24.371677</v>
      </c>
      <c r="AE199" s="186" t="n">
        <v>76.256866</v>
      </c>
    </row>
    <row r="200" customFormat="false" ht="15" hidden="false" customHeight="false" outlineLevel="0" collapsed="false">
      <c r="A200" s="160" t="s">
        <v>415</v>
      </c>
      <c r="B200" s="160" t="s">
        <v>1104</v>
      </c>
      <c r="C200" s="160" t="s">
        <v>1402</v>
      </c>
      <c r="D200" s="160" t="s">
        <v>1141</v>
      </c>
      <c r="E200" s="160" t="s">
        <v>1413</v>
      </c>
      <c r="F200" s="160" t="n">
        <v>114.4</v>
      </c>
      <c r="G200" s="160" t="n">
        <v>69</v>
      </c>
      <c r="H200" s="160" t="n">
        <v>370</v>
      </c>
      <c r="I200" s="160" t="n">
        <v>188</v>
      </c>
      <c r="J200" s="160" t="n">
        <v>182</v>
      </c>
      <c r="K200" s="160" t="n">
        <v>213</v>
      </c>
      <c r="L200" s="112" t="n">
        <f aca="false">K200/H200*100</f>
        <v>57.5675675675676</v>
      </c>
      <c r="M200" s="160" t="n">
        <v>0</v>
      </c>
      <c r="N200" s="112" t="n">
        <f aca="false">M200/H200*100</f>
        <v>0</v>
      </c>
      <c r="O200" s="160" t="n">
        <v>10.55</v>
      </c>
      <c r="P200" s="160" t="n">
        <v>0</v>
      </c>
      <c r="Q200" s="168" t="s">
        <v>45</v>
      </c>
      <c r="R200" s="168" t="s">
        <v>322</v>
      </c>
      <c r="S200" s="160"/>
      <c r="T200" s="41" t="n">
        <v>3</v>
      </c>
      <c r="U200" s="112"/>
      <c r="V200" s="112"/>
      <c r="W200" s="112"/>
      <c r="X200" s="112"/>
      <c r="Y200" s="112"/>
      <c r="Z200" s="112"/>
      <c r="AA200" s="41" t="s">
        <v>45</v>
      </c>
      <c r="AB200" s="41" t="n">
        <v>3</v>
      </c>
      <c r="AC200" s="162" t="s">
        <v>852</v>
      </c>
      <c r="AD200" s="170" t="n">
        <v>24.370947</v>
      </c>
      <c r="AE200" s="170" t="n">
        <v>76.263172</v>
      </c>
    </row>
    <row r="201" customFormat="false" ht="15" hidden="false" customHeight="false" outlineLevel="0" collapsed="false">
      <c r="A201" s="160" t="s">
        <v>415</v>
      </c>
      <c r="B201" s="160" t="s">
        <v>1104</v>
      </c>
      <c r="C201" s="160" t="s">
        <v>1402</v>
      </c>
      <c r="D201" s="160" t="s">
        <v>1414</v>
      </c>
      <c r="E201" s="160" t="s">
        <v>1415</v>
      </c>
      <c r="F201" s="160" t="n">
        <v>196.32</v>
      </c>
      <c r="G201" s="160" t="n">
        <v>182</v>
      </c>
      <c r="H201" s="160" t="n">
        <v>857</v>
      </c>
      <c r="I201" s="160" t="n">
        <v>430</v>
      </c>
      <c r="J201" s="160" t="n">
        <v>427</v>
      </c>
      <c r="K201" s="160" t="n">
        <v>118</v>
      </c>
      <c r="L201" s="112" t="n">
        <f aca="false">K201/H201*100</f>
        <v>13.7689614935823</v>
      </c>
      <c r="M201" s="160" t="n">
        <v>0</v>
      </c>
      <c r="N201" s="112" t="n">
        <f aca="false">M201/H201*100</f>
        <v>0</v>
      </c>
      <c r="O201" s="160" t="n">
        <v>11.58</v>
      </c>
      <c r="P201" s="160" t="n">
        <v>39.68</v>
      </c>
      <c r="Q201" s="168" t="s">
        <v>45</v>
      </c>
      <c r="R201" s="169" t="n">
        <v>44564</v>
      </c>
      <c r="S201" s="160"/>
      <c r="T201" s="41" t="n">
        <v>5</v>
      </c>
      <c r="U201" s="112"/>
      <c r="V201" s="112"/>
      <c r="W201" s="112"/>
      <c r="X201" s="112"/>
      <c r="Y201" s="112"/>
      <c r="Z201" s="112"/>
      <c r="AA201" s="41" t="s">
        <v>45</v>
      </c>
      <c r="AB201" s="41" t="n">
        <v>5</v>
      </c>
      <c r="AC201" s="162" t="s">
        <v>852</v>
      </c>
      <c r="AD201" s="170" t="n">
        <v>24.377113</v>
      </c>
      <c r="AE201" s="170" t="n">
        <v>76.282209</v>
      </c>
    </row>
    <row r="202" customFormat="false" ht="15" hidden="false" customHeight="false" outlineLevel="0" collapsed="false">
      <c r="A202" s="160" t="s">
        <v>415</v>
      </c>
      <c r="B202" s="160" t="s">
        <v>1104</v>
      </c>
      <c r="C202" s="160" t="s">
        <v>1416</v>
      </c>
      <c r="D202" s="161" t="s">
        <v>1417</v>
      </c>
      <c r="E202" s="160" t="s">
        <v>1418</v>
      </c>
      <c r="F202" s="160" t="n">
        <v>697.89</v>
      </c>
      <c r="G202" s="160" t="n">
        <v>446</v>
      </c>
      <c r="H202" s="160" t="n">
        <v>2021</v>
      </c>
      <c r="I202" s="160" t="n">
        <v>996</v>
      </c>
      <c r="J202" s="160" t="n">
        <v>1025</v>
      </c>
      <c r="K202" s="160" t="n">
        <v>170</v>
      </c>
      <c r="L202" s="112" t="n">
        <f aca="false">K202/H202*100</f>
        <v>8.41167738743197</v>
      </c>
      <c r="M202" s="160" t="n">
        <v>179</v>
      </c>
      <c r="N202" s="112" t="n">
        <f aca="false">M202/H202*100</f>
        <v>8.85700148441366</v>
      </c>
      <c r="O202" s="160" t="n">
        <v>34.92</v>
      </c>
      <c r="P202" s="160" t="n">
        <v>0</v>
      </c>
      <c r="Q202" s="150" t="s">
        <v>45</v>
      </c>
      <c r="R202" s="163" t="n">
        <v>44413</v>
      </c>
      <c r="S202" s="160"/>
      <c r="T202" s="150" t="n">
        <v>20</v>
      </c>
      <c r="U202" s="112"/>
      <c r="V202" s="112"/>
      <c r="W202" s="112"/>
      <c r="X202" s="112"/>
      <c r="Y202" s="112"/>
      <c r="Z202" s="112"/>
      <c r="AA202" s="150" t="s">
        <v>82</v>
      </c>
      <c r="AB202" s="150" t="n">
        <v>20</v>
      </c>
      <c r="AC202" s="162" t="s">
        <v>852</v>
      </c>
      <c r="AD202" s="150" t="n">
        <v>24.283687</v>
      </c>
      <c r="AE202" s="150" t="n">
        <v>76.23082</v>
      </c>
    </row>
    <row r="203" customFormat="false" ht="15" hidden="false" customHeight="false" outlineLevel="0" collapsed="false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12"/>
      <c r="M203" s="160"/>
      <c r="N203" s="112"/>
      <c r="O203" s="160"/>
      <c r="P203" s="160"/>
      <c r="Q203" s="153" t="s">
        <v>45</v>
      </c>
      <c r="R203" s="171" t="n">
        <v>44413</v>
      </c>
      <c r="S203" s="160"/>
      <c r="T203" s="153" t="n">
        <v>5</v>
      </c>
      <c r="U203" s="112"/>
      <c r="V203" s="112"/>
      <c r="W203" s="112"/>
      <c r="X203" s="112"/>
      <c r="Y203" s="112"/>
      <c r="Z203" s="112"/>
      <c r="AA203" s="153" t="s">
        <v>45</v>
      </c>
      <c r="AB203" s="153" t="n">
        <v>5</v>
      </c>
      <c r="AC203" s="162" t="s">
        <v>852</v>
      </c>
      <c r="AD203" s="153" t="n">
        <v>24.285817</v>
      </c>
      <c r="AE203" s="153" t="n">
        <v>76.198542</v>
      </c>
    </row>
    <row r="204" customFormat="false" ht="15" hidden="false" customHeight="false" outlineLevel="0" collapsed="false">
      <c r="A204" s="160" t="s">
        <v>415</v>
      </c>
      <c r="B204" s="160" t="s">
        <v>1104</v>
      </c>
      <c r="C204" s="160" t="s">
        <v>1416</v>
      </c>
      <c r="D204" s="160" t="s">
        <v>1419</v>
      </c>
      <c r="E204" s="160" t="s">
        <v>1420</v>
      </c>
      <c r="F204" s="160" t="n">
        <v>98.95</v>
      </c>
      <c r="G204" s="160" t="n">
        <v>0</v>
      </c>
      <c r="H204" s="160" t="n">
        <v>0</v>
      </c>
      <c r="I204" s="160" t="n">
        <v>0</v>
      </c>
      <c r="J204" s="160" t="n">
        <v>0</v>
      </c>
      <c r="K204" s="160" t="n">
        <v>0</v>
      </c>
      <c r="L204" s="112"/>
      <c r="M204" s="160" t="n">
        <v>0</v>
      </c>
      <c r="N204" s="112"/>
      <c r="O204" s="160" t="n">
        <v>0</v>
      </c>
      <c r="P204" s="160" t="n">
        <v>0</v>
      </c>
      <c r="Q204" s="11"/>
      <c r="R204" s="11"/>
      <c r="S204" s="160"/>
      <c r="T204" s="11"/>
      <c r="U204" s="112"/>
      <c r="V204" s="112"/>
      <c r="W204" s="112"/>
      <c r="X204" s="112"/>
      <c r="Y204" s="112"/>
      <c r="Z204" s="112"/>
      <c r="AA204" s="11"/>
      <c r="AB204" s="11"/>
      <c r="AC204" s="162" t="s">
        <v>852</v>
      </c>
      <c r="AD204" s="11"/>
      <c r="AE204" s="11"/>
    </row>
    <row r="205" customFormat="false" ht="15" hidden="false" customHeight="false" outlineLevel="0" collapsed="false">
      <c r="A205" s="160" t="s">
        <v>415</v>
      </c>
      <c r="B205" s="160" t="s">
        <v>1104</v>
      </c>
      <c r="C205" s="160" t="s">
        <v>1416</v>
      </c>
      <c r="D205" s="160" t="s">
        <v>1421</v>
      </c>
      <c r="E205" s="160" t="s">
        <v>1422</v>
      </c>
      <c r="F205" s="160" t="n">
        <v>344.29</v>
      </c>
      <c r="G205" s="160" t="n">
        <v>348</v>
      </c>
      <c r="H205" s="160" t="n">
        <v>1608</v>
      </c>
      <c r="I205" s="160" t="n">
        <v>814</v>
      </c>
      <c r="J205" s="160" t="n">
        <v>794</v>
      </c>
      <c r="K205" s="160" t="n">
        <v>511</v>
      </c>
      <c r="L205" s="112" t="n">
        <f aca="false">K205/H205*100</f>
        <v>31.7786069651741</v>
      </c>
      <c r="M205" s="160" t="n">
        <v>2</v>
      </c>
      <c r="N205" s="112" t="n">
        <f aca="false">M205/H205*100</f>
        <v>0.124378109452736</v>
      </c>
      <c r="O205" s="160" t="n">
        <v>38.28</v>
      </c>
      <c r="P205" s="160" t="n">
        <v>25.53</v>
      </c>
      <c r="Q205" s="150" t="s">
        <v>82</v>
      </c>
      <c r="R205" s="163" t="n">
        <v>44413</v>
      </c>
      <c r="S205" s="160"/>
      <c r="T205" s="150" t="n">
        <v>10</v>
      </c>
      <c r="U205" s="112"/>
      <c r="V205" s="112"/>
      <c r="W205" s="112"/>
      <c r="X205" s="112"/>
      <c r="Y205" s="112"/>
      <c r="Z205" s="112"/>
      <c r="AA205" s="150" t="s">
        <v>82</v>
      </c>
      <c r="AB205" s="150" t="n">
        <v>10</v>
      </c>
      <c r="AC205" s="162" t="s">
        <v>852</v>
      </c>
      <c r="AD205" s="150" t="n">
        <v>24.278722</v>
      </c>
      <c r="AE205" s="150" t="n">
        <v>76.236422</v>
      </c>
    </row>
    <row r="206" customFormat="false" ht="15" hidden="false" customHeight="false" outlineLevel="0" collapsed="false">
      <c r="A206" s="160" t="s">
        <v>415</v>
      </c>
      <c r="B206" s="160" t="s">
        <v>1104</v>
      </c>
      <c r="C206" s="160" t="s">
        <v>1416</v>
      </c>
      <c r="D206" s="160" t="s">
        <v>1423</v>
      </c>
      <c r="E206" s="160" t="s">
        <v>1424</v>
      </c>
      <c r="F206" s="160" t="n">
        <v>197.11</v>
      </c>
      <c r="G206" s="160" t="n">
        <v>31</v>
      </c>
      <c r="H206" s="160" t="n">
        <v>150</v>
      </c>
      <c r="I206" s="160" t="n">
        <v>80</v>
      </c>
      <c r="J206" s="160" t="n">
        <v>70</v>
      </c>
      <c r="K206" s="160" t="n">
        <v>42</v>
      </c>
      <c r="L206" s="112" t="n">
        <f aca="false">K206/H206*100</f>
        <v>28</v>
      </c>
      <c r="M206" s="160" t="n">
        <v>6</v>
      </c>
      <c r="N206" s="112" t="n">
        <f aca="false">M206/H206*100</f>
        <v>4</v>
      </c>
      <c r="O206" s="160" t="n">
        <v>19.09</v>
      </c>
      <c r="P206" s="160" t="n">
        <v>0</v>
      </c>
      <c r="Q206" s="11"/>
      <c r="R206" s="11"/>
      <c r="S206" s="160"/>
      <c r="T206" s="11"/>
      <c r="U206" s="112"/>
      <c r="V206" s="112"/>
      <c r="W206" s="112"/>
      <c r="X206" s="112"/>
      <c r="Y206" s="112"/>
      <c r="Z206" s="112"/>
      <c r="AA206" s="11"/>
      <c r="AB206" s="11"/>
      <c r="AC206" s="162" t="s">
        <v>852</v>
      </c>
      <c r="AD206" s="11"/>
      <c r="AE206" s="11"/>
    </row>
    <row r="207" customFormat="false" ht="15" hidden="false" customHeight="false" outlineLevel="0" collapsed="false">
      <c r="A207" s="160" t="s">
        <v>415</v>
      </c>
      <c r="B207" s="160" t="s">
        <v>1104</v>
      </c>
      <c r="C207" s="160" t="s">
        <v>1416</v>
      </c>
      <c r="D207" s="160" t="s">
        <v>1425</v>
      </c>
      <c r="E207" s="160" t="s">
        <v>1426</v>
      </c>
      <c r="F207" s="160" t="n">
        <v>239.32</v>
      </c>
      <c r="G207" s="160" t="n">
        <v>154</v>
      </c>
      <c r="H207" s="160" t="n">
        <v>735</v>
      </c>
      <c r="I207" s="160" t="n">
        <v>362</v>
      </c>
      <c r="J207" s="160" t="n">
        <v>373</v>
      </c>
      <c r="K207" s="160" t="n">
        <v>57</v>
      </c>
      <c r="L207" s="112" t="n">
        <f aca="false">K207/H207*100</f>
        <v>7.75510204081633</v>
      </c>
      <c r="M207" s="160" t="n">
        <v>299</v>
      </c>
      <c r="N207" s="112" t="n">
        <f aca="false">M207/H207*100</f>
        <v>40.6802721088435</v>
      </c>
      <c r="O207" s="160" t="n">
        <v>21.3</v>
      </c>
      <c r="P207" s="160" t="n">
        <v>0</v>
      </c>
      <c r="Q207" s="11"/>
      <c r="R207" s="11"/>
      <c r="S207" s="160"/>
      <c r="T207" s="11"/>
      <c r="U207" s="112"/>
      <c r="V207" s="112"/>
      <c r="W207" s="112"/>
      <c r="X207" s="112"/>
      <c r="Y207" s="112"/>
      <c r="Z207" s="112"/>
      <c r="AA207" s="11"/>
      <c r="AB207" s="11"/>
      <c r="AC207" s="162" t="s">
        <v>852</v>
      </c>
      <c r="AD207" s="11"/>
      <c r="AE207" s="11"/>
    </row>
    <row r="208" customFormat="false" ht="15" hidden="false" customHeight="false" outlineLevel="0" collapsed="false">
      <c r="A208" s="160" t="s">
        <v>415</v>
      </c>
      <c r="B208" s="160" t="s">
        <v>1104</v>
      </c>
      <c r="C208" s="160" t="s">
        <v>1427</v>
      </c>
      <c r="D208" s="161" t="s">
        <v>1428</v>
      </c>
      <c r="E208" s="160" t="s">
        <v>1429</v>
      </c>
      <c r="F208" s="160" t="n">
        <v>445.77</v>
      </c>
      <c r="G208" s="160" t="n">
        <v>348</v>
      </c>
      <c r="H208" s="160" t="n">
        <v>1659</v>
      </c>
      <c r="I208" s="160" t="n">
        <v>847</v>
      </c>
      <c r="J208" s="160" t="n">
        <v>812</v>
      </c>
      <c r="K208" s="160" t="n">
        <v>61</v>
      </c>
      <c r="L208" s="112" t="n">
        <f aca="false">K208/H208*100</f>
        <v>3.67691380349608</v>
      </c>
      <c r="M208" s="160" t="n">
        <v>51</v>
      </c>
      <c r="N208" s="112" t="n">
        <f aca="false">M208/H208*100</f>
        <v>3.07414104882459</v>
      </c>
      <c r="O208" s="160" t="n">
        <v>34.04</v>
      </c>
      <c r="P208" s="160" t="n">
        <v>0</v>
      </c>
      <c r="Q208" s="168" t="s">
        <v>45</v>
      </c>
      <c r="R208" s="168" t="s">
        <v>1430</v>
      </c>
      <c r="S208" s="160"/>
      <c r="T208" s="41" t="n">
        <v>10</v>
      </c>
      <c r="U208" s="112"/>
      <c r="V208" s="112" t="s">
        <v>43</v>
      </c>
      <c r="W208" s="112"/>
      <c r="X208" s="112"/>
      <c r="Y208" s="112"/>
      <c r="Z208" s="112"/>
      <c r="AA208" s="41" t="s">
        <v>45</v>
      </c>
      <c r="AB208" s="41" t="n">
        <v>10</v>
      </c>
      <c r="AC208" s="162" t="s">
        <v>852</v>
      </c>
      <c r="AD208" s="170" t="n">
        <v>24.375487</v>
      </c>
      <c r="AE208" s="170" t="n">
        <v>76.230813</v>
      </c>
    </row>
    <row r="209" customFormat="false" ht="15" hidden="false" customHeight="false" outlineLevel="0" collapsed="false">
      <c r="A209" s="160" t="s">
        <v>415</v>
      </c>
      <c r="B209" s="160" t="s">
        <v>1104</v>
      </c>
      <c r="C209" s="160" t="s">
        <v>1427</v>
      </c>
      <c r="D209" s="160" t="s">
        <v>74</v>
      </c>
      <c r="E209" s="160" t="s">
        <v>1431</v>
      </c>
      <c r="F209" s="160" t="n">
        <v>170.62</v>
      </c>
      <c r="G209" s="160" t="n">
        <v>131</v>
      </c>
      <c r="H209" s="160" t="n">
        <v>704</v>
      </c>
      <c r="I209" s="160" t="n">
        <v>360</v>
      </c>
      <c r="J209" s="160" t="n">
        <v>344</v>
      </c>
      <c r="K209" s="160" t="n">
        <v>136</v>
      </c>
      <c r="L209" s="112" t="n">
        <f aca="false">K209/H209*100</f>
        <v>19.3181818181818</v>
      </c>
      <c r="M209" s="160" t="n">
        <v>0</v>
      </c>
      <c r="N209" s="112" t="n">
        <f aca="false">M209/H209*100</f>
        <v>0</v>
      </c>
      <c r="O209" s="160" t="n">
        <v>0.37</v>
      </c>
      <c r="P209" s="160" t="n">
        <v>0</v>
      </c>
      <c r="Q209" s="168" t="s">
        <v>45</v>
      </c>
      <c r="R209" s="168" t="s">
        <v>1257</v>
      </c>
      <c r="S209" s="160"/>
      <c r="T209" s="11" t="n">
        <v>1.5</v>
      </c>
      <c r="U209" s="112"/>
      <c r="V209" s="112"/>
      <c r="W209" s="112"/>
      <c r="X209" s="112"/>
      <c r="Y209" s="112"/>
      <c r="Z209" s="112"/>
      <c r="AA209" s="41" t="s">
        <v>45</v>
      </c>
      <c r="AB209" s="11" t="n">
        <v>1.5</v>
      </c>
      <c r="AC209" s="162" t="s">
        <v>852</v>
      </c>
      <c r="AD209" s="170" t="n">
        <v>24.371888</v>
      </c>
      <c r="AE209" s="170" t="n">
        <v>76.230487</v>
      </c>
    </row>
    <row r="210" customFormat="false" ht="15" hidden="false" customHeight="false" outlineLevel="0" collapsed="false">
      <c r="A210" s="160" t="s">
        <v>415</v>
      </c>
      <c r="B210" s="160" t="s">
        <v>1104</v>
      </c>
      <c r="C210" s="160" t="s">
        <v>1427</v>
      </c>
      <c r="D210" s="160" t="s">
        <v>1432</v>
      </c>
      <c r="E210" s="160" t="s">
        <v>1433</v>
      </c>
      <c r="F210" s="160" t="n">
        <v>355.03</v>
      </c>
      <c r="G210" s="160" t="n">
        <v>238</v>
      </c>
      <c r="H210" s="160" t="n">
        <v>1029</v>
      </c>
      <c r="I210" s="160" t="n">
        <v>517</v>
      </c>
      <c r="J210" s="160" t="n">
        <v>512</v>
      </c>
      <c r="K210" s="160" t="n">
        <v>70</v>
      </c>
      <c r="L210" s="112" t="n">
        <f aca="false">K210/H210*100</f>
        <v>6.80272108843537</v>
      </c>
      <c r="M210" s="160" t="n">
        <v>134</v>
      </c>
      <c r="N210" s="112" t="n">
        <f aca="false">M210/H210*100</f>
        <v>13.022351797862</v>
      </c>
      <c r="O210" s="160" t="n">
        <v>36.99</v>
      </c>
      <c r="P210" s="160" t="n">
        <v>0</v>
      </c>
      <c r="Q210" s="168" t="s">
        <v>45</v>
      </c>
      <c r="R210" s="168" t="s">
        <v>1434</v>
      </c>
      <c r="S210" s="160"/>
      <c r="T210" s="41" t="n">
        <v>2</v>
      </c>
      <c r="U210" s="112"/>
      <c r="V210" s="112"/>
      <c r="W210" s="112"/>
      <c r="X210" s="112"/>
      <c r="Y210" s="112"/>
      <c r="Z210" s="112"/>
      <c r="AA210" s="41" t="s">
        <v>45</v>
      </c>
      <c r="AB210" s="41" t="n">
        <v>2</v>
      </c>
      <c r="AC210" s="162" t="s">
        <v>852</v>
      </c>
      <c r="AD210" s="170" t="n">
        <v>24.368876</v>
      </c>
      <c r="AE210" s="170" t="n">
        <v>76.226472</v>
      </c>
    </row>
    <row r="211" customFormat="false" ht="15" hidden="false" customHeight="false" outlineLevel="0" collapsed="false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12"/>
      <c r="M211" s="160"/>
      <c r="N211" s="112"/>
      <c r="O211" s="160"/>
      <c r="P211" s="160"/>
      <c r="Q211" s="172" t="s">
        <v>45</v>
      </c>
      <c r="R211" s="172" t="s">
        <v>1434</v>
      </c>
      <c r="S211" s="160"/>
      <c r="T211" s="153" t="n">
        <v>15</v>
      </c>
      <c r="U211" s="112"/>
      <c r="V211" s="112"/>
      <c r="W211" s="112"/>
      <c r="X211" s="112"/>
      <c r="Y211" s="112"/>
      <c r="Z211" s="112"/>
      <c r="AA211" s="153" t="s">
        <v>82</v>
      </c>
      <c r="AB211" s="153" t="n">
        <v>15</v>
      </c>
      <c r="AC211" s="162" t="s">
        <v>852</v>
      </c>
      <c r="AD211" s="174" t="n">
        <v>24.368293</v>
      </c>
      <c r="AE211" s="174" t="n">
        <v>76.228224</v>
      </c>
    </row>
    <row r="212" customFormat="false" ht="15" hidden="false" customHeight="false" outlineLevel="0" collapsed="false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12"/>
      <c r="M212" s="160"/>
      <c r="N212" s="112"/>
      <c r="O212" s="160"/>
      <c r="P212" s="160"/>
      <c r="Q212" s="153" t="s">
        <v>43</v>
      </c>
      <c r="R212" s="168" t="s">
        <v>1434</v>
      </c>
      <c r="S212" s="160"/>
      <c r="T212" s="153" t="n">
        <v>11</v>
      </c>
      <c r="U212" s="112"/>
      <c r="V212" s="112"/>
      <c r="W212" s="112"/>
      <c r="X212" s="112"/>
      <c r="Y212" s="112"/>
      <c r="Z212" s="112"/>
      <c r="AA212" s="153" t="s">
        <v>43</v>
      </c>
      <c r="AB212" s="153" t="n">
        <v>11</v>
      </c>
      <c r="AC212" s="162" t="s">
        <v>852</v>
      </c>
      <c r="AD212" s="170" t="n">
        <v>24.368572</v>
      </c>
      <c r="AE212" s="170" t="n">
        <v>76.22635</v>
      </c>
    </row>
    <row r="213" customFormat="false" ht="15" hidden="false" customHeight="false" outlineLevel="0" collapsed="false">
      <c r="A213" s="160" t="s">
        <v>415</v>
      </c>
      <c r="B213" s="160" t="s">
        <v>1104</v>
      </c>
      <c r="C213" s="160" t="s">
        <v>1427</v>
      </c>
      <c r="D213" s="160" t="s">
        <v>1435</v>
      </c>
      <c r="E213" s="160" t="s">
        <v>1436</v>
      </c>
      <c r="F213" s="160" t="n">
        <v>181.12</v>
      </c>
      <c r="G213" s="160" t="n">
        <v>107</v>
      </c>
      <c r="H213" s="160" t="n">
        <v>533</v>
      </c>
      <c r="I213" s="160" t="n">
        <v>269</v>
      </c>
      <c r="J213" s="160" t="n">
        <v>264</v>
      </c>
      <c r="K213" s="160" t="n">
        <v>14</v>
      </c>
      <c r="L213" s="112" t="n">
        <f aca="false">K213/H213*100</f>
        <v>2.6266416510319</v>
      </c>
      <c r="M213" s="160" t="n">
        <v>99</v>
      </c>
      <c r="N213" s="112" t="n">
        <f aca="false">M213/H213*100</f>
        <v>18.5741088180113</v>
      </c>
      <c r="O213" s="160" t="n">
        <v>27.59</v>
      </c>
      <c r="P213" s="160" t="n">
        <v>0</v>
      </c>
      <c r="Q213" s="168" t="s">
        <v>45</v>
      </c>
      <c r="R213" s="168" t="s">
        <v>1437</v>
      </c>
      <c r="S213" s="160"/>
      <c r="T213" s="11" t="n">
        <v>1</v>
      </c>
      <c r="U213" s="112"/>
      <c r="V213" s="112"/>
      <c r="W213" s="112"/>
      <c r="X213" s="112"/>
      <c r="Y213" s="112"/>
      <c r="Z213" s="112"/>
      <c r="AA213" s="41" t="s">
        <v>45</v>
      </c>
      <c r="AB213" s="11" t="n">
        <v>1</v>
      </c>
      <c r="AC213" s="162" t="s">
        <v>852</v>
      </c>
      <c r="AD213" s="170" t="n">
        <v>24.364328</v>
      </c>
      <c r="AE213" s="170" t="n">
        <v>76.210952</v>
      </c>
    </row>
    <row r="214" customFormat="false" ht="15" hidden="false" customHeight="false" outlineLevel="0" collapsed="false">
      <c r="A214" s="160" t="s">
        <v>415</v>
      </c>
      <c r="B214" s="160" t="s">
        <v>1104</v>
      </c>
      <c r="C214" s="160" t="s">
        <v>1427</v>
      </c>
      <c r="D214" s="160" t="s">
        <v>1438</v>
      </c>
      <c r="E214" s="160" t="s">
        <v>1439</v>
      </c>
      <c r="F214" s="160" t="n">
        <v>90.39</v>
      </c>
      <c r="G214" s="160" t="n">
        <v>55</v>
      </c>
      <c r="H214" s="160" t="n">
        <v>238</v>
      </c>
      <c r="I214" s="160" t="n">
        <v>116</v>
      </c>
      <c r="J214" s="160" t="n">
        <v>122</v>
      </c>
      <c r="K214" s="160" t="n">
        <v>0</v>
      </c>
      <c r="L214" s="112" t="n">
        <f aca="false">K214/H214*100</f>
        <v>0</v>
      </c>
      <c r="M214" s="160" t="n">
        <v>231</v>
      </c>
      <c r="N214" s="112" t="n">
        <f aca="false">M214/H214*100</f>
        <v>97.0588235294118</v>
      </c>
      <c r="O214" s="160" t="n">
        <v>10.49</v>
      </c>
      <c r="P214" s="160" t="n">
        <v>0</v>
      </c>
      <c r="Q214" s="168" t="s">
        <v>45</v>
      </c>
      <c r="R214" s="168" t="s">
        <v>1249</v>
      </c>
      <c r="S214" s="160"/>
      <c r="T214" s="41" t="n">
        <v>2.5</v>
      </c>
      <c r="U214" s="112"/>
      <c r="V214" s="112"/>
      <c r="W214" s="112"/>
      <c r="X214" s="112"/>
      <c r="Y214" s="112"/>
      <c r="Z214" s="112"/>
      <c r="AA214" s="41" t="s">
        <v>45</v>
      </c>
      <c r="AB214" s="41" t="n">
        <v>2.5</v>
      </c>
      <c r="AC214" s="162" t="s">
        <v>852</v>
      </c>
      <c r="AD214" s="170" t="n">
        <v>24.374989</v>
      </c>
      <c r="AE214" s="170" t="n">
        <v>76.206947</v>
      </c>
    </row>
    <row r="215" customFormat="false" ht="15" hidden="false" customHeight="false" outlineLevel="0" collapsed="false">
      <c r="A215" s="160" t="s">
        <v>415</v>
      </c>
      <c r="B215" s="160" t="s">
        <v>1104</v>
      </c>
      <c r="C215" s="160" t="s">
        <v>1440</v>
      </c>
      <c r="D215" s="161" t="s">
        <v>1441</v>
      </c>
      <c r="E215" s="160" t="s">
        <v>1442</v>
      </c>
      <c r="F215" s="160" t="n">
        <v>48.4</v>
      </c>
      <c r="G215" s="160" t="n">
        <v>171</v>
      </c>
      <c r="H215" s="160" t="n">
        <v>961</v>
      </c>
      <c r="I215" s="160" t="n">
        <v>492</v>
      </c>
      <c r="J215" s="160" t="n">
        <v>469</v>
      </c>
      <c r="K215" s="160" t="n">
        <v>28</v>
      </c>
      <c r="L215" s="112" t="n">
        <f aca="false">K215/H215*100</f>
        <v>2.91363163371488</v>
      </c>
      <c r="M215" s="160" t="n">
        <v>615</v>
      </c>
      <c r="N215" s="112" t="n">
        <f aca="false">M215/H215*100</f>
        <v>63.9958376690947</v>
      </c>
      <c r="O215" s="160" t="n">
        <v>0.62</v>
      </c>
      <c r="P215" s="160" t="n">
        <v>0</v>
      </c>
      <c r="Q215" s="168" t="s">
        <v>45</v>
      </c>
      <c r="R215" s="168"/>
      <c r="S215" s="160"/>
      <c r="T215" s="11" t="n">
        <v>0.68</v>
      </c>
      <c r="U215" s="112"/>
      <c r="V215" s="112"/>
      <c r="W215" s="112"/>
      <c r="X215" s="112"/>
      <c r="Y215" s="112"/>
      <c r="Z215" s="112"/>
      <c r="AA215" s="41" t="s">
        <v>45</v>
      </c>
      <c r="AB215" s="11" t="n">
        <v>0.68</v>
      </c>
      <c r="AC215" s="162" t="s">
        <v>852</v>
      </c>
      <c r="AD215" s="170" t="n">
        <v>24.28744</v>
      </c>
      <c r="AE215" s="170" t="n">
        <v>76.44935</v>
      </c>
    </row>
    <row r="216" customFormat="false" ht="15" hidden="false" customHeight="false" outlineLevel="0" collapsed="false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12"/>
      <c r="M216" s="160"/>
      <c r="N216" s="112"/>
      <c r="O216" s="160"/>
      <c r="P216" s="160"/>
      <c r="Q216" s="172" t="s">
        <v>45</v>
      </c>
      <c r="R216" s="153"/>
      <c r="S216" s="160"/>
      <c r="T216" s="153" t="n">
        <v>11.3299</v>
      </c>
      <c r="U216" s="112"/>
      <c r="V216" s="112"/>
      <c r="W216" s="112"/>
      <c r="X216" s="112"/>
      <c r="Y216" s="112"/>
      <c r="Z216" s="112"/>
      <c r="AA216" s="153" t="s">
        <v>82</v>
      </c>
      <c r="AB216" s="153" t="n">
        <v>11.3299</v>
      </c>
      <c r="AC216" s="162" t="s">
        <v>852</v>
      </c>
      <c r="AD216" s="174" t="n">
        <v>24.287601</v>
      </c>
      <c r="AE216" s="174" t="n">
        <v>76.266174</v>
      </c>
    </row>
    <row r="217" customFormat="false" ht="15" hidden="false" customHeight="false" outlineLevel="0" collapsed="false">
      <c r="A217" s="160" t="s">
        <v>415</v>
      </c>
      <c r="B217" s="160" t="s">
        <v>1104</v>
      </c>
      <c r="C217" s="160" t="s">
        <v>1440</v>
      </c>
      <c r="D217" s="160" t="s">
        <v>1443</v>
      </c>
      <c r="E217" s="160" t="s">
        <v>1444</v>
      </c>
      <c r="F217" s="160" t="n">
        <v>88.11</v>
      </c>
      <c r="G217" s="160" t="n">
        <v>77</v>
      </c>
      <c r="H217" s="160" t="n">
        <v>307</v>
      </c>
      <c r="I217" s="160" t="n">
        <v>146</v>
      </c>
      <c r="J217" s="160" t="n">
        <v>161</v>
      </c>
      <c r="K217" s="160" t="n">
        <v>46</v>
      </c>
      <c r="L217" s="112" t="n">
        <f aca="false">K217/H217*100</f>
        <v>14.9837133550489</v>
      </c>
      <c r="M217" s="160" t="n">
        <v>0</v>
      </c>
      <c r="N217" s="112" t="n">
        <f aca="false">M217/H217*100</f>
        <v>0</v>
      </c>
      <c r="O217" s="160" t="n">
        <v>25.25</v>
      </c>
      <c r="P217" s="160" t="n">
        <v>0</v>
      </c>
      <c r="Q217" s="168" t="s">
        <v>45</v>
      </c>
      <c r="R217" s="168"/>
      <c r="S217" s="160"/>
      <c r="T217" s="11" t="n">
        <v>2</v>
      </c>
      <c r="U217" s="112"/>
      <c r="V217" s="112"/>
      <c r="W217" s="112"/>
      <c r="X217" s="112"/>
      <c r="Y217" s="112"/>
      <c r="Z217" s="112"/>
      <c r="AA217" s="41" t="s">
        <v>45</v>
      </c>
      <c r="AB217" s="11" t="n">
        <v>2</v>
      </c>
      <c r="AC217" s="162" t="s">
        <v>852</v>
      </c>
      <c r="AD217" s="170" t="n">
        <v>24.27989</v>
      </c>
      <c r="AE217" s="170" t="n">
        <v>76.25878</v>
      </c>
    </row>
    <row r="218" customFormat="false" ht="15" hidden="false" customHeight="false" outlineLevel="0" collapsed="false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12"/>
      <c r="M218" s="160"/>
      <c r="N218" s="112"/>
      <c r="O218" s="160"/>
      <c r="P218" s="160"/>
      <c r="Q218" s="172" t="s">
        <v>45</v>
      </c>
      <c r="R218" s="172"/>
      <c r="S218" s="160"/>
      <c r="T218" s="153" t="n">
        <v>15</v>
      </c>
      <c r="U218" s="112"/>
      <c r="V218" s="112"/>
      <c r="W218" s="112"/>
      <c r="X218" s="112"/>
      <c r="Y218" s="112"/>
      <c r="Z218" s="112"/>
      <c r="AA218" s="180" t="s">
        <v>45</v>
      </c>
      <c r="AB218" s="153" t="n">
        <v>15</v>
      </c>
      <c r="AC218" s="162" t="s">
        <v>852</v>
      </c>
      <c r="AD218" s="174" t="n">
        <v>24.278521</v>
      </c>
      <c r="AE218" s="174" t="n">
        <v>76.267971</v>
      </c>
    </row>
    <row r="219" customFormat="false" ht="15" hidden="false" customHeight="false" outlineLevel="0" collapsed="false">
      <c r="A219" s="160" t="s">
        <v>415</v>
      </c>
      <c r="B219" s="160" t="s">
        <v>1104</v>
      </c>
      <c r="C219" s="160" t="s">
        <v>1440</v>
      </c>
      <c r="D219" s="160" t="s">
        <v>1445</v>
      </c>
      <c r="E219" s="160" t="s">
        <v>1446</v>
      </c>
      <c r="F219" s="160" t="n">
        <v>161.29</v>
      </c>
      <c r="G219" s="160" t="n">
        <v>162</v>
      </c>
      <c r="H219" s="160" t="n">
        <v>701</v>
      </c>
      <c r="I219" s="160" t="n">
        <v>374</v>
      </c>
      <c r="J219" s="160" t="n">
        <v>327</v>
      </c>
      <c r="K219" s="160" t="n">
        <v>0</v>
      </c>
      <c r="L219" s="112" t="n">
        <f aca="false">K219/H219*100</f>
        <v>0</v>
      </c>
      <c r="M219" s="160" t="n">
        <v>0</v>
      </c>
      <c r="N219" s="112" t="n">
        <f aca="false">M219/H219*100</f>
        <v>0</v>
      </c>
      <c r="O219" s="160" t="n">
        <v>27.2</v>
      </c>
      <c r="P219" s="160" t="n">
        <v>11.93</v>
      </c>
      <c r="Q219" s="168" t="s">
        <v>45</v>
      </c>
      <c r="R219" s="168"/>
      <c r="S219" s="160"/>
      <c r="T219" s="11" t="n">
        <v>1</v>
      </c>
      <c r="U219" s="112"/>
      <c r="V219" s="112"/>
      <c r="W219" s="112"/>
      <c r="X219" s="112"/>
      <c r="Y219" s="112"/>
      <c r="Z219" s="112"/>
      <c r="AA219" s="41" t="s">
        <v>45</v>
      </c>
      <c r="AB219" s="11" t="n">
        <v>1</v>
      </c>
      <c r="AC219" s="162" t="s">
        <v>852</v>
      </c>
      <c r="AD219" s="170" t="n">
        <v>24.27452</v>
      </c>
      <c r="AE219" s="170" t="n">
        <v>76.24688</v>
      </c>
    </row>
    <row r="220" customFormat="false" ht="15" hidden="false" customHeight="false" outlineLevel="0" collapsed="false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12"/>
      <c r="M220" s="160"/>
      <c r="N220" s="112"/>
      <c r="O220" s="160"/>
      <c r="P220" s="160"/>
      <c r="Q220" s="172" t="s">
        <v>45</v>
      </c>
      <c r="R220" s="172"/>
      <c r="S220" s="160"/>
      <c r="T220" s="153" t="n">
        <v>14</v>
      </c>
      <c r="U220" s="112"/>
      <c r="V220" s="112"/>
      <c r="W220" s="112"/>
      <c r="X220" s="112"/>
      <c r="Y220" s="112"/>
      <c r="Z220" s="112"/>
      <c r="AA220" s="153" t="s">
        <v>45</v>
      </c>
      <c r="AB220" s="153" t="n">
        <v>14</v>
      </c>
      <c r="AC220" s="162" t="s">
        <v>852</v>
      </c>
      <c r="AD220" s="174" t="n">
        <v>24.279455</v>
      </c>
      <c r="AE220" s="174" t="n">
        <v>76.256865</v>
      </c>
    </row>
    <row r="221" customFormat="false" ht="15" hidden="false" customHeight="false" outlineLevel="0" collapsed="false">
      <c r="A221" s="160" t="s">
        <v>415</v>
      </c>
      <c r="B221" s="160" t="s">
        <v>1104</v>
      </c>
      <c r="C221" s="160" t="s">
        <v>1440</v>
      </c>
      <c r="D221" s="160" t="s">
        <v>1447</v>
      </c>
      <c r="E221" s="160" t="s">
        <v>1448</v>
      </c>
      <c r="F221" s="160" t="n">
        <v>207.69</v>
      </c>
      <c r="G221" s="160" t="n">
        <v>19</v>
      </c>
      <c r="H221" s="160" t="n">
        <v>77</v>
      </c>
      <c r="I221" s="160" t="n">
        <v>41</v>
      </c>
      <c r="J221" s="160" t="n">
        <v>36</v>
      </c>
      <c r="K221" s="160" t="n">
        <v>0</v>
      </c>
      <c r="L221" s="112" t="n">
        <f aca="false">K221/H221*100</f>
        <v>0</v>
      </c>
      <c r="M221" s="160" t="n">
        <v>72</v>
      </c>
      <c r="N221" s="112" t="n">
        <f aca="false">M221/H221*100</f>
        <v>93.5064935064935</v>
      </c>
      <c r="O221" s="160" t="n">
        <v>36.45</v>
      </c>
      <c r="P221" s="160" t="n">
        <v>4.62</v>
      </c>
      <c r="Q221" s="11"/>
      <c r="R221" s="11"/>
      <c r="S221" s="160"/>
      <c r="T221" s="11"/>
      <c r="U221" s="112"/>
      <c r="V221" s="112"/>
      <c r="W221" s="112"/>
      <c r="X221" s="112"/>
      <c r="Y221" s="112"/>
      <c r="Z221" s="112"/>
      <c r="AA221" s="11"/>
      <c r="AB221" s="11"/>
      <c r="AC221" s="162" t="s">
        <v>852</v>
      </c>
      <c r="AD221" s="11"/>
      <c r="AE221" s="11"/>
    </row>
    <row r="222" customFormat="false" ht="15" hidden="false" customHeight="false" outlineLevel="0" collapsed="false">
      <c r="A222" s="160" t="s">
        <v>415</v>
      </c>
      <c r="B222" s="160" t="s">
        <v>1104</v>
      </c>
      <c r="C222" s="160" t="s">
        <v>1440</v>
      </c>
      <c r="D222" s="160" t="s">
        <v>1449</v>
      </c>
      <c r="E222" s="160" t="s">
        <v>1450</v>
      </c>
      <c r="F222" s="160" t="n">
        <v>294.34</v>
      </c>
      <c r="G222" s="160" t="n">
        <v>160</v>
      </c>
      <c r="H222" s="160" t="n">
        <v>896</v>
      </c>
      <c r="I222" s="160" t="n">
        <v>463</v>
      </c>
      <c r="J222" s="160" t="n">
        <v>433</v>
      </c>
      <c r="K222" s="160" t="n">
        <v>27</v>
      </c>
      <c r="L222" s="112" t="n">
        <f aca="false">K222/H222*100</f>
        <v>3.01339285714286</v>
      </c>
      <c r="M222" s="160" t="n">
        <v>184</v>
      </c>
      <c r="N222" s="112" t="n">
        <f aca="false">M222/H222*100</f>
        <v>20.5357142857143</v>
      </c>
      <c r="O222" s="160" t="n">
        <v>52.82</v>
      </c>
      <c r="P222" s="160" t="n">
        <v>37.45</v>
      </c>
      <c r="Q222" s="189" t="s">
        <v>45</v>
      </c>
      <c r="R222" s="189"/>
      <c r="S222" s="160"/>
      <c r="T222" s="190" t="n">
        <v>1</v>
      </c>
      <c r="U222" s="112"/>
      <c r="V222" s="112"/>
      <c r="W222" s="112"/>
      <c r="X222" s="112"/>
      <c r="Y222" s="112"/>
      <c r="Z222" s="112"/>
      <c r="AA222" s="162" t="s">
        <v>45</v>
      </c>
      <c r="AB222" s="190" t="n">
        <v>1</v>
      </c>
      <c r="AC222" s="162" t="s">
        <v>852</v>
      </c>
      <c r="AD222" s="191" t="n">
        <v>24.30165</v>
      </c>
      <c r="AE222" s="191" t="n">
        <v>76.24182</v>
      </c>
    </row>
    <row r="223" customFormat="false" ht="15" hidden="false" customHeight="false" outlineLevel="0" collapsed="false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12"/>
      <c r="M223" s="160"/>
      <c r="N223" s="112"/>
      <c r="O223" s="160"/>
      <c r="P223" s="160"/>
      <c r="Q223" s="192" t="s">
        <v>45</v>
      </c>
      <c r="R223" s="193" t="n">
        <v>44744</v>
      </c>
      <c r="S223" s="160"/>
      <c r="T223" s="194" t="n">
        <v>6.311</v>
      </c>
      <c r="U223" s="112"/>
      <c r="V223" s="112"/>
      <c r="W223" s="112"/>
      <c r="X223" s="112"/>
      <c r="Y223" s="112"/>
      <c r="Z223" s="112"/>
      <c r="AA223" s="194" t="s">
        <v>45</v>
      </c>
      <c r="AB223" s="194" t="n">
        <v>6.311</v>
      </c>
      <c r="AC223" s="162" t="s">
        <v>852</v>
      </c>
      <c r="AD223" s="195" t="n">
        <v>24.301841</v>
      </c>
      <c r="AE223" s="195" t="n">
        <v>76.241926</v>
      </c>
    </row>
    <row r="224" customFormat="false" ht="15" hidden="false" customHeight="false" outlineLevel="0" collapsed="false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12"/>
      <c r="M224" s="160"/>
      <c r="N224" s="112"/>
      <c r="O224" s="160"/>
      <c r="P224" s="160"/>
      <c r="Q224" s="172" t="s">
        <v>45</v>
      </c>
      <c r="R224" s="173" t="n">
        <v>44744</v>
      </c>
      <c r="S224" s="160"/>
      <c r="T224" s="153" t="n">
        <v>5.32</v>
      </c>
      <c r="U224" s="112"/>
      <c r="V224" s="112"/>
      <c r="W224" s="112"/>
      <c r="X224" s="112"/>
      <c r="Y224" s="112"/>
      <c r="Z224" s="112"/>
      <c r="AA224" s="153" t="s">
        <v>150</v>
      </c>
      <c r="AB224" s="153" t="n">
        <v>5.32</v>
      </c>
      <c r="AC224" s="162" t="s">
        <v>852</v>
      </c>
      <c r="AD224" s="153" t="n">
        <v>24.30106</v>
      </c>
      <c r="AE224" s="153" t="n">
        <v>76.26595</v>
      </c>
    </row>
    <row r="225" customFormat="false" ht="15" hidden="false" customHeight="false" outlineLevel="0" collapsed="false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12"/>
      <c r="M225" s="160"/>
      <c r="N225" s="112"/>
      <c r="O225" s="160"/>
      <c r="P225" s="160"/>
      <c r="Q225" s="172" t="s">
        <v>45</v>
      </c>
      <c r="R225" s="172"/>
      <c r="S225" s="160"/>
      <c r="T225" s="153" t="n">
        <v>18</v>
      </c>
      <c r="U225" s="112"/>
      <c r="V225" s="112"/>
      <c r="W225" s="112"/>
      <c r="X225" s="112"/>
      <c r="Y225" s="112"/>
      <c r="Z225" s="112"/>
      <c r="AA225" s="153" t="s">
        <v>45</v>
      </c>
      <c r="AB225" s="153" t="n">
        <v>18</v>
      </c>
      <c r="AC225" s="162" t="s">
        <v>852</v>
      </c>
      <c r="AD225" s="174" t="n">
        <v>24.301243</v>
      </c>
      <c r="AE225" s="174" t="n">
        <v>76.264027</v>
      </c>
    </row>
    <row r="226" customFormat="false" ht="15" hidden="false" customHeight="false" outlineLevel="0" collapsed="false">
      <c r="A226" s="160" t="s">
        <v>415</v>
      </c>
      <c r="B226" s="160" t="s">
        <v>1104</v>
      </c>
      <c r="C226" s="160" t="s">
        <v>1440</v>
      </c>
      <c r="D226" s="160" t="s">
        <v>222</v>
      </c>
      <c r="E226" s="160" t="s">
        <v>1451</v>
      </c>
      <c r="F226" s="160" t="n">
        <v>92.03</v>
      </c>
      <c r="G226" s="160" t="n">
        <v>89</v>
      </c>
      <c r="H226" s="160" t="n">
        <v>439</v>
      </c>
      <c r="I226" s="160" t="n">
        <v>220</v>
      </c>
      <c r="J226" s="160" t="n">
        <v>219</v>
      </c>
      <c r="K226" s="160" t="n">
        <v>0</v>
      </c>
      <c r="L226" s="112" t="n">
        <f aca="false">K226/H226*100</f>
        <v>0</v>
      </c>
      <c r="M226" s="160" t="n">
        <v>0</v>
      </c>
      <c r="N226" s="112" t="n">
        <f aca="false">M226/H226*100</f>
        <v>0</v>
      </c>
      <c r="O226" s="160" t="n">
        <v>17.5</v>
      </c>
      <c r="P226" s="160" t="n">
        <v>13.25</v>
      </c>
      <c r="Q226" s="168" t="s">
        <v>45</v>
      </c>
      <c r="R226" s="168" t="s">
        <v>1257</v>
      </c>
      <c r="S226" s="160"/>
      <c r="T226" s="41" t="n">
        <v>2</v>
      </c>
      <c r="U226" s="112"/>
      <c r="V226" s="112"/>
      <c r="W226" s="112"/>
      <c r="X226" s="112"/>
      <c r="Y226" s="112"/>
      <c r="Z226" s="112"/>
      <c r="AA226" s="41" t="s">
        <v>45</v>
      </c>
      <c r="AB226" s="41" t="n">
        <v>2</v>
      </c>
      <c r="AC226" s="162" t="s">
        <v>852</v>
      </c>
      <c r="AD226" s="170" t="n">
        <v>24.289914</v>
      </c>
      <c r="AE226" s="170" t="n">
        <v>76.246244</v>
      </c>
    </row>
    <row r="227" s="110" customFormat="true" ht="15" hidden="false" customHeight="false" outlineLevel="0" collapsed="false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53"/>
      <c r="R227" s="153"/>
      <c r="S227" s="153"/>
      <c r="T227" s="153"/>
      <c r="U227" s="112"/>
      <c r="V227" s="112"/>
      <c r="W227" s="112"/>
      <c r="X227" s="112"/>
      <c r="Y227" s="112"/>
      <c r="Z227" s="112"/>
      <c r="AA227" s="153"/>
      <c r="AB227" s="153"/>
      <c r="AC227" s="162" t="s">
        <v>852</v>
      </c>
      <c r="AD227" s="153"/>
      <c r="AE227" s="153"/>
    </row>
    <row r="228" s="110" customFormat="true" ht="15" hidden="false" customHeight="false" outlineLevel="0" collapsed="false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72"/>
      <c r="R228" s="172"/>
      <c r="S228" s="153"/>
      <c r="T228" s="153"/>
      <c r="U228" s="112"/>
      <c r="V228" s="112"/>
      <c r="W228" s="112"/>
      <c r="X228" s="112"/>
      <c r="Y228" s="112"/>
      <c r="Z228" s="112"/>
      <c r="AA228" s="153" t="s">
        <v>150</v>
      </c>
      <c r="AB228" s="153" t="n">
        <v>3.436</v>
      </c>
      <c r="AC228" s="162" t="s">
        <v>852</v>
      </c>
      <c r="AD228" s="153"/>
      <c r="AE228" s="153"/>
    </row>
    <row r="229" s="110" customFormat="true" ht="15" hidden="false" customHeight="false" outlineLevel="0" collapsed="false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72"/>
      <c r="R229" s="173"/>
      <c r="S229" s="153"/>
      <c r="T229" s="180"/>
      <c r="U229" s="112"/>
      <c r="V229" s="112"/>
      <c r="W229" s="112"/>
      <c r="X229" s="112"/>
      <c r="Y229" s="112"/>
      <c r="Z229" s="112"/>
      <c r="AA229" s="153" t="s">
        <v>82</v>
      </c>
      <c r="AB229" s="180" t="n">
        <v>0</v>
      </c>
      <c r="AC229" s="162" t="s">
        <v>852</v>
      </c>
      <c r="AD229" s="174"/>
      <c r="AE229" s="174"/>
    </row>
    <row r="230" s="110" customFormat="true" ht="15" hidden="false" customHeight="false" outlineLevel="0" collapsed="false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80"/>
      <c r="R230" s="171"/>
      <c r="S230" s="153"/>
      <c r="T230" s="153"/>
      <c r="U230" s="112"/>
      <c r="V230" s="112"/>
      <c r="W230" s="112"/>
      <c r="X230" s="112"/>
      <c r="Y230" s="112"/>
      <c r="Z230" s="112"/>
      <c r="AA230" s="153" t="s">
        <v>150</v>
      </c>
      <c r="AB230" s="153" t="n">
        <v>14</v>
      </c>
      <c r="AC230" s="162" t="s">
        <v>852</v>
      </c>
      <c r="AD230" s="153"/>
      <c r="AE230" s="153"/>
    </row>
    <row r="231" s="110" customFormat="true" ht="15" hidden="false" customHeight="false" outlineLevel="0" collapsed="false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72"/>
      <c r="R231" s="153"/>
      <c r="S231" s="153"/>
      <c r="T231" s="153"/>
      <c r="U231" s="112"/>
      <c r="V231" s="112"/>
      <c r="W231" s="112"/>
      <c r="X231" s="112"/>
      <c r="Y231" s="112"/>
      <c r="Z231" s="112"/>
      <c r="AA231" s="153" t="s">
        <v>82</v>
      </c>
      <c r="AB231" s="153" t="n">
        <v>10.5459</v>
      </c>
      <c r="AC231" s="162" t="s">
        <v>852</v>
      </c>
      <c r="AD231" s="174"/>
      <c r="AE231" s="174"/>
    </row>
    <row r="232" s="110" customFormat="true" ht="15" hidden="false" customHeight="false" outlineLevel="0" collapsed="false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72"/>
      <c r="R232" s="172"/>
      <c r="S232" s="153"/>
      <c r="T232" s="153"/>
      <c r="U232" s="112"/>
      <c r="V232" s="112"/>
      <c r="W232" s="112"/>
      <c r="X232" s="112"/>
      <c r="Y232" s="112"/>
      <c r="Z232" s="112"/>
      <c r="AA232" s="153" t="s">
        <v>150</v>
      </c>
      <c r="AB232" s="153" t="n">
        <v>10</v>
      </c>
      <c r="AC232" s="162" t="s">
        <v>852</v>
      </c>
      <c r="AD232" s="174"/>
      <c r="AE232" s="174"/>
    </row>
    <row r="233" s="110" customFormat="true" ht="15" hidden="false" customHeight="false" outlineLevel="0" collapsed="false"/>
    <row r="234" s="110" customFormat="true" ht="15" hidden="false" customHeight="false" outlineLevel="0" collapsed="false"/>
  </sheetData>
  <mergeCells count="3">
    <mergeCell ref="K2:L2"/>
    <mergeCell ref="M2:N2"/>
    <mergeCell ref="AD2:AE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S315" activePane="bottomRight" state="frozen"/>
      <selection pane="topLeft" activeCell="A1" activeCellId="0" sqref="A1"/>
      <selection pane="topRight" activeCell="S1" activeCellId="0" sqref="S1"/>
      <selection pane="bottomLeft" activeCell="A315" activeCellId="0" sqref="A315"/>
      <selection pane="bottomRight" activeCell="V328" activeCellId="0" sqref="V32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43"/>
    <col collapsed="false" customWidth="true" hidden="false" outlineLevel="0" max="3" min="3" style="0" width="15.57"/>
    <col collapsed="false" customWidth="true" hidden="false" outlineLevel="0" max="4" min="4" style="0" width="16.14"/>
    <col collapsed="false" customWidth="true" hidden="false" outlineLevel="0" max="5" min="5" style="0" width="21.15"/>
    <col collapsed="false" customWidth="true" hidden="false" outlineLevel="0" max="15" min="15" style="0" width="12.85"/>
    <col collapsed="false" customWidth="true" hidden="false" outlineLevel="0" max="16" min="16" style="0" width="11.14"/>
    <col collapsed="false" customWidth="true" hidden="false" outlineLevel="0" max="17" min="17" style="0" width="17"/>
    <col collapsed="false" customWidth="true" hidden="false" outlineLevel="0" max="18" min="18" style="0" width="16.57"/>
    <col collapsed="false" customWidth="true" hidden="false" outlineLevel="0" max="19" min="19" style="0" width="14.28"/>
    <col collapsed="false" customWidth="true" hidden="false" outlineLevel="0" max="20" min="20" style="0" width="15.14"/>
    <col collapsed="false" customWidth="true" hidden="false" outlineLevel="0" max="21" min="21" style="0" width="14.57"/>
    <col collapsed="false" customWidth="true" hidden="false" outlineLevel="0" max="22" min="22" style="0" width="15.14"/>
    <col collapsed="false" customWidth="true" hidden="false" outlineLevel="0" max="23" min="23" style="0" width="14"/>
    <col collapsed="false" customWidth="true" hidden="false" outlineLevel="0" max="24" min="24" style="0" width="16.43"/>
    <col collapsed="false" customWidth="true" hidden="false" outlineLevel="0" max="25" min="25" style="0" width="13.43"/>
    <col collapsed="false" customWidth="true" hidden="false" outlineLevel="0" max="26" min="26" style="0" width="14.28"/>
    <col collapsed="false" customWidth="true" hidden="false" outlineLevel="0" max="27" min="27" style="0" width="14.14"/>
    <col collapsed="false" customWidth="true" hidden="false" outlineLevel="0" max="28" min="28" style="0" width="13.71"/>
    <col collapsed="false" customWidth="true" hidden="false" outlineLevel="0" max="29" min="29" style="0" width="26.29"/>
  </cols>
  <sheetData>
    <row r="1" customFormat="false" ht="15" hidden="false" customHeight="false" outlineLevel="0" collapsed="false">
      <c r="A1" s="64"/>
      <c r="B1" s="64"/>
      <c r="C1" s="64"/>
      <c r="D1" s="2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 t="s">
        <v>0</v>
      </c>
      <c r="R1" s="65" t="s">
        <v>0</v>
      </c>
      <c r="S1" s="66" t="s">
        <v>0</v>
      </c>
      <c r="T1" s="66" t="s">
        <v>1</v>
      </c>
      <c r="U1" s="66" t="s">
        <v>1</v>
      </c>
      <c r="V1" s="66" t="s">
        <v>1</v>
      </c>
      <c r="W1" s="66" t="s">
        <v>1</v>
      </c>
      <c r="X1" s="66" t="s">
        <v>1</v>
      </c>
      <c r="Y1" s="66" t="s">
        <v>1</v>
      </c>
      <c r="Z1" s="64" t="s">
        <v>2</v>
      </c>
      <c r="AA1" s="64" t="s">
        <v>2</v>
      </c>
      <c r="AB1" s="64" t="s">
        <v>2</v>
      </c>
      <c r="AC1" s="64" t="s">
        <v>2</v>
      </c>
      <c r="AD1" s="64" t="s">
        <v>2</v>
      </c>
      <c r="AE1" s="64" t="s">
        <v>2</v>
      </c>
    </row>
    <row r="2" customFormat="false" ht="91.5" hidden="false" customHeight="true" outlineLevel="0" collapsed="false">
      <c r="A2" s="69" t="s">
        <v>3</v>
      </c>
      <c r="B2" s="69" t="s">
        <v>4</v>
      </c>
      <c r="C2" s="69" t="s">
        <v>5</v>
      </c>
      <c r="D2" s="33" t="s">
        <v>6</v>
      </c>
      <c r="E2" s="69" t="s">
        <v>7</v>
      </c>
      <c r="F2" s="69" t="s">
        <v>8</v>
      </c>
      <c r="G2" s="69" t="s">
        <v>9</v>
      </c>
      <c r="H2" s="69" t="s">
        <v>10</v>
      </c>
      <c r="I2" s="69" t="s">
        <v>11</v>
      </c>
      <c r="J2" s="69" t="s">
        <v>12</v>
      </c>
      <c r="K2" s="6" t="s">
        <v>13</v>
      </c>
      <c r="L2" s="6"/>
      <c r="M2" s="6" t="s">
        <v>14</v>
      </c>
      <c r="N2" s="6"/>
      <c r="O2" s="69" t="s">
        <v>15</v>
      </c>
      <c r="P2" s="69" t="s">
        <v>16</v>
      </c>
      <c r="Q2" s="6" t="s">
        <v>17</v>
      </c>
      <c r="R2" s="6" t="s">
        <v>18</v>
      </c>
      <c r="S2" s="69" t="s">
        <v>19</v>
      </c>
      <c r="T2" s="159" t="s">
        <v>20</v>
      </c>
      <c r="U2" s="69" t="s">
        <v>21</v>
      </c>
      <c r="V2" s="159" t="s">
        <v>22</v>
      </c>
      <c r="W2" s="69" t="s">
        <v>23</v>
      </c>
      <c r="X2" s="69" t="s">
        <v>24</v>
      </c>
      <c r="Y2" s="159" t="s">
        <v>25</v>
      </c>
      <c r="Z2" s="159" t="s">
        <v>26</v>
      </c>
      <c r="AA2" s="159" t="s">
        <v>27</v>
      </c>
      <c r="AB2" s="159" t="s">
        <v>28</v>
      </c>
      <c r="AC2" s="159" t="s">
        <v>29</v>
      </c>
      <c r="AD2" s="8" t="s">
        <v>30</v>
      </c>
      <c r="AE2" s="8"/>
    </row>
    <row r="3" customFormat="false" ht="30" hidden="false" customHeight="false" outlineLevel="0" collapsed="false">
      <c r="A3" s="7"/>
      <c r="B3" s="7"/>
      <c r="C3" s="7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 t="s">
        <v>33</v>
      </c>
      <c r="M3" s="7"/>
      <c r="N3" s="7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5" t="s">
        <v>31</v>
      </c>
      <c r="AC3" s="7" t="s">
        <v>36</v>
      </c>
      <c r="AD3" s="35" t="s">
        <v>37</v>
      </c>
      <c r="AE3" s="35" t="s">
        <v>38</v>
      </c>
    </row>
    <row r="4" customFormat="false" ht="15.75" hidden="false" customHeight="false" outlineLevel="0" collapsed="false">
      <c r="A4" s="196" t="s">
        <v>415</v>
      </c>
      <c r="B4" s="196" t="s">
        <v>1452</v>
      </c>
      <c r="C4" s="197" t="s">
        <v>1453</v>
      </c>
      <c r="D4" s="198" t="s">
        <v>1454</v>
      </c>
      <c r="E4" s="196" t="s">
        <v>1455</v>
      </c>
      <c r="F4" s="196" t="n">
        <v>984.37</v>
      </c>
      <c r="G4" s="196" t="n">
        <v>317</v>
      </c>
      <c r="H4" s="196" t="n">
        <v>1513</v>
      </c>
      <c r="I4" s="196" t="n">
        <v>779</v>
      </c>
      <c r="J4" s="196" t="n">
        <v>734</v>
      </c>
      <c r="K4" s="196" t="n">
        <v>384</v>
      </c>
      <c r="L4" s="112" t="n">
        <f aca="false">K4/H4*100</f>
        <v>25.380039656312</v>
      </c>
      <c r="M4" s="196" t="n">
        <v>0</v>
      </c>
      <c r="N4" s="112" t="n">
        <f aca="false">M4/H4*100</f>
        <v>0</v>
      </c>
      <c r="O4" s="196" t="n">
        <v>50.61</v>
      </c>
      <c r="P4" s="196" t="n">
        <v>240.06</v>
      </c>
      <c r="Q4" s="199" t="s">
        <v>45</v>
      </c>
      <c r="R4" s="200" t="s">
        <v>57</v>
      </c>
      <c r="S4" s="112"/>
      <c r="T4" s="200" t="n">
        <v>55.1129</v>
      </c>
      <c r="U4" s="112"/>
      <c r="V4" s="112"/>
      <c r="W4" s="112"/>
      <c r="X4" s="112"/>
      <c r="Y4" s="112"/>
      <c r="Z4" s="112"/>
      <c r="AA4" s="200" t="s">
        <v>47</v>
      </c>
      <c r="AB4" s="200" t="n">
        <v>0</v>
      </c>
      <c r="AC4" s="200" t="s">
        <v>859</v>
      </c>
      <c r="AD4" s="200" t="n">
        <v>23.873643</v>
      </c>
      <c r="AE4" s="200" t="n">
        <v>75.638423</v>
      </c>
    </row>
    <row r="5" customFormat="false" ht="15.75" hidden="false" customHeight="false" outlineLevel="0" collapsed="false">
      <c r="A5" s="196" t="s">
        <v>415</v>
      </c>
      <c r="B5" s="196" t="s">
        <v>1452</v>
      </c>
      <c r="C5" s="197" t="s">
        <v>1453</v>
      </c>
      <c r="D5" s="196" t="s">
        <v>1456</v>
      </c>
      <c r="E5" s="196" t="s">
        <v>1457</v>
      </c>
      <c r="F5" s="196" t="n">
        <v>434.81</v>
      </c>
      <c r="G5" s="196" t="n">
        <v>207</v>
      </c>
      <c r="H5" s="196" t="n">
        <v>1189</v>
      </c>
      <c r="I5" s="196" t="n">
        <v>608</v>
      </c>
      <c r="J5" s="196" t="n">
        <v>581</v>
      </c>
      <c r="K5" s="196" t="n">
        <v>186</v>
      </c>
      <c r="L5" s="112" t="n">
        <f aca="false">K5/H5*100</f>
        <v>15.6433978132885</v>
      </c>
      <c r="M5" s="196" t="n">
        <v>0</v>
      </c>
      <c r="N5" s="112" t="n">
        <f aca="false">M5/H5*100</f>
        <v>0</v>
      </c>
      <c r="O5" s="196" t="n">
        <v>51.93</v>
      </c>
      <c r="P5" s="196" t="n">
        <v>0</v>
      </c>
      <c r="Q5" s="199" t="s">
        <v>45</v>
      </c>
      <c r="R5" s="200" t="s">
        <v>57</v>
      </c>
      <c r="S5" s="112"/>
      <c r="T5" s="200" t="n">
        <v>62.878</v>
      </c>
      <c r="U5" s="112"/>
      <c r="V5" s="112"/>
      <c r="W5" s="112"/>
      <c r="X5" s="112"/>
      <c r="Y5" s="112"/>
      <c r="Z5" s="112"/>
      <c r="AA5" s="200" t="s">
        <v>47</v>
      </c>
      <c r="AB5" s="200" t="n">
        <v>0</v>
      </c>
      <c r="AC5" s="200" t="s">
        <v>859</v>
      </c>
      <c r="AD5" s="200" t="n">
        <v>23.853765</v>
      </c>
      <c r="AE5" s="200" t="n">
        <v>75.625517</v>
      </c>
    </row>
    <row r="6" customFormat="false" ht="15.75" hidden="false" customHeight="false" outlineLevel="0" collapsed="false">
      <c r="A6" s="196" t="s">
        <v>415</v>
      </c>
      <c r="B6" s="196" t="s">
        <v>1452</v>
      </c>
      <c r="C6" s="197" t="s">
        <v>1453</v>
      </c>
      <c r="D6" s="196" t="s">
        <v>1458</v>
      </c>
      <c r="E6" s="196" t="s">
        <v>1459</v>
      </c>
      <c r="F6" s="196" t="n">
        <v>1054.46</v>
      </c>
      <c r="G6" s="196" t="n">
        <v>427</v>
      </c>
      <c r="H6" s="196" t="n">
        <v>2106</v>
      </c>
      <c r="I6" s="196" t="n">
        <v>1058</v>
      </c>
      <c r="J6" s="196" t="n">
        <v>1048</v>
      </c>
      <c r="K6" s="196" t="n">
        <v>581</v>
      </c>
      <c r="L6" s="112" t="n">
        <f aca="false">K6/H6*100</f>
        <v>27.5878442545109</v>
      </c>
      <c r="M6" s="196" t="n">
        <v>1</v>
      </c>
      <c r="N6" s="112" t="n">
        <f aca="false">M6/H6*100</f>
        <v>0.0474833808167142</v>
      </c>
      <c r="O6" s="196" t="n">
        <v>86.74</v>
      </c>
      <c r="P6" s="196" t="n">
        <v>0</v>
      </c>
      <c r="Q6" s="199" t="s">
        <v>45</v>
      </c>
      <c r="R6" s="200" t="s">
        <v>57</v>
      </c>
      <c r="S6" s="112"/>
      <c r="T6" s="200" t="n">
        <v>97.8129</v>
      </c>
      <c r="U6" s="112"/>
      <c r="V6" s="112"/>
      <c r="W6" s="112"/>
      <c r="X6" s="112"/>
      <c r="Y6" s="112"/>
      <c r="Z6" s="112"/>
      <c r="AA6" s="200" t="s">
        <v>47</v>
      </c>
      <c r="AB6" s="200" t="n">
        <v>0</v>
      </c>
      <c r="AC6" s="200" t="s">
        <v>859</v>
      </c>
      <c r="AD6" s="200" t="n">
        <v>23.874368</v>
      </c>
      <c r="AE6" s="200" t="n">
        <v>75.63894</v>
      </c>
    </row>
    <row r="7" customFormat="false" ht="15.75" hidden="false" customHeight="false" outlineLevel="0" collapsed="false">
      <c r="A7" s="196" t="s">
        <v>415</v>
      </c>
      <c r="B7" s="196" t="s">
        <v>1452</v>
      </c>
      <c r="C7" s="197" t="s">
        <v>1460</v>
      </c>
      <c r="D7" s="198" t="s">
        <v>1461</v>
      </c>
      <c r="E7" s="196" t="s">
        <v>1462</v>
      </c>
      <c r="F7" s="196" t="n">
        <v>753.61</v>
      </c>
      <c r="G7" s="196" t="n">
        <v>282</v>
      </c>
      <c r="H7" s="196" t="n">
        <v>1465</v>
      </c>
      <c r="I7" s="196" t="n">
        <v>756</v>
      </c>
      <c r="J7" s="196" t="n">
        <v>709</v>
      </c>
      <c r="K7" s="196" t="n">
        <v>299</v>
      </c>
      <c r="L7" s="112" t="n">
        <f aca="false">K7/H7*100</f>
        <v>20.4095563139932</v>
      </c>
      <c r="M7" s="196" t="n">
        <v>0</v>
      </c>
      <c r="N7" s="112" t="n">
        <f aca="false">M7/H7*100</f>
        <v>0</v>
      </c>
      <c r="O7" s="196" t="n">
        <v>93.91</v>
      </c>
      <c r="P7" s="196" t="n">
        <v>0</v>
      </c>
      <c r="Q7" s="201" t="s">
        <v>45</v>
      </c>
      <c r="R7" s="202" t="n">
        <v>44538</v>
      </c>
      <c r="S7" s="112"/>
      <c r="T7" s="203" t="n">
        <v>13</v>
      </c>
      <c r="U7" s="112"/>
      <c r="V7" s="112"/>
      <c r="W7" s="112"/>
      <c r="X7" s="112"/>
      <c r="Y7" s="112"/>
      <c r="Z7" s="112"/>
      <c r="AA7" s="203" t="s">
        <v>891</v>
      </c>
      <c r="AB7" s="203" t="n">
        <v>10</v>
      </c>
      <c r="AC7" s="203" t="s">
        <v>1463</v>
      </c>
      <c r="AD7" s="203" t="n">
        <v>23.818085</v>
      </c>
      <c r="AE7" s="203" t="n">
        <v>75.646541</v>
      </c>
    </row>
    <row r="8" customFormat="false" ht="15.75" hidden="false" customHeight="false" outlineLevel="0" collapsed="false">
      <c r="A8" s="196" t="s">
        <v>415</v>
      </c>
      <c r="B8" s="196" t="s">
        <v>1452</v>
      </c>
      <c r="C8" s="197" t="s">
        <v>1460</v>
      </c>
      <c r="D8" s="196" t="s">
        <v>1464</v>
      </c>
      <c r="E8" s="196" t="s">
        <v>1465</v>
      </c>
      <c r="F8" s="196" t="n">
        <v>336.56</v>
      </c>
      <c r="G8" s="196" t="n">
        <v>115</v>
      </c>
      <c r="H8" s="196" t="n">
        <v>628</v>
      </c>
      <c r="I8" s="196" t="n">
        <v>333</v>
      </c>
      <c r="J8" s="196" t="n">
        <v>295</v>
      </c>
      <c r="K8" s="196" t="n">
        <v>73</v>
      </c>
      <c r="L8" s="112" t="n">
        <f aca="false">K8/H8*100</f>
        <v>11.6242038216561</v>
      </c>
      <c r="M8" s="196" t="n">
        <v>0</v>
      </c>
      <c r="N8" s="112" t="n">
        <f aca="false">M8/H8*100</f>
        <v>0</v>
      </c>
      <c r="O8" s="196" t="n">
        <v>39.33</v>
      </c>
      <c r="P8" s="196" t="n">
        <v>0</v>
      </c>
      <c r="Q8" s="201" t="s">
        <v>45</v>
      </c>
      <c r="R8" s="202" t="n">
        <v>44538</v>
      </c>
      <c r="S8" s="112"/>
      <c r="T8" s="203" t="n">
        <v>8</v>
      </c>
      <c r="U8" s="112"/>
      <c r="V8" s="112"/>
      <c r="W8" s="112"/>
      <c r="X8" s="112"/>
      <c r="Y8" s="112"/>
      <c r="Z8" s="112"/>
      <c r="AA8" s="203" t="s">
        <v>891</v>
      </c>
      <c r="AB8" s="203" t="n">
        <v>5</v>
      </c>
      <c r="AC8" s="203" t="s">
        <v>1466</v>
      </c>
      <c r="AD8" s="203" t="n">
        <v>23.789002</v>
      </c>
      <c r="AE8" s="203" t="n">
        <v>75.653357</v>
      </c>
    </row>
    <row r="9" customFormat="false" ht="15.75" hidden="false" customHeight="false" outlineLevel="0" collapsed="false">
      <c r="A9" s="196" t="s">
        <v>415</v>
      </c>
      <c r="B9" s="196" t="s">
        <v>1452</v>
      </c>
      <c r="C9" s="197" t="s">
        <v>1460</v>
      </c>
      <c r="D9" s="196" t="s">
        <v>1467</v>
      </c>
      <c r="E9" s="196" t="s">
        <v>1468</v>
      </c>
      <c r="F9" s="196" t="n">
        <v>1746.49</v>
      </c>
      <c r="G9" s="196" t="n">
        <v>378</v>
      </c>
      <c r="H9" s="196" t="n">
        <v>1871</v>
      </c>
      <c r="I9" s="196" t="n">
        <v>935</v>
      </c>
      <c r="J9" s="196" t="n">
        <v>936</v>
      </c>
      <c r="K9" s="196" t="n">
        <v>431</v>
      </c>
      <c r="L9" s="112" t="n">
        <f aca="false">K9/H9*100</f>
        <v>23.0358097274185</v>
      </c>
      <c r="M9" s="196" t="n">
        <v>5</v>
      </c>
      <c r="N9" s="112" t="n">
        <f aca="false">M9/H9*100</f>
        <v>0.267236771779797</v>
      </c>
      <c r="O9" s="196" t="n">
        <v>179.48</v>
      </c>
      <c r="P9" s="196" t="n">
        <v>0</v>
      </c>
      <c r="Q9" s="201" t="s">
        <v>45</v>
      </c>
      <c r="R9" s="202" t="n">
        <v>44538</v>
      </c>
      <c r="S9" s="112"/>
      <c r="T9" s="203" t="n">
        <v>40</v>
      </c>
      <c r="U9" s="112"/>
      <c r="V9" s="112"/>
      <c r="W9" s="112"/>
      <c r="X9" s="112"/>
      <c r="Y9" s="112"/>
      <c r="Z9" s="112"/>
      <c r="AA9" s="203" t="s">
        <v>891</v>
      </c>
      <c r="AB9" s="203" t="n">
        <v>8</v>
      </c>
      <c r="AC9" s="203" t="s">
        <v>1469</v>
      </c>
      <c r="AD9" s="203" t="n">
        <v>23.791567</v>
      </c>
      <c r="AE9" s="203" t="n">
        <v>75.684931</v>
      </c>
    </row>
    <row r="10" customFormat="false" ht="15.75" hidden="false" customHeight="false" outlineLevel="0" collapsed="false">
      <c r="A10" s="196" t="s">
        <v>415</v>
      </c>
      <c r="B10" s="196" t="s">
        <v>1452</v>
      </c>
      <c r="C10" s="197" t="s">
        <v>1460</v>
      </c>
      <c r="D10" s="196" t="s">
        <v>1470</v>
      </c>
      <c r="E10" s="196" t="s">
        <v>1471</v>
      </c>
      <c r="F10" s="196" t="n">
        <v>198.52</v>
      </c>
      <c r="G10" s="196" t="n">
        <v>94</v>
      </c>
      <c r="H10" s="196" t="n">
        <v>452</v>
      </c>
      <c r="I10" s="196" t="n">
        <v>230</v>
      </c>
      <c r="J10" s="196" t="n">
        <v>222</v>
      </c>
      <c r="K10" s="196" t="n">
        <v>44</v>
      </c>
      <c r="L10" s="112" t="n">
        <f aca="false">K10/H10*100</f>
        <v>9.73451327433628</v>
      </c>
      <c r="M10" s="196" t="n">
        <v>0</v>
      </c>
      <c r="N10" s="112" t="n">
        <f aca="false">M10/H10*100</f>
        <v>0</v>
      </c>
      <c r="O10" s="196" t="n">
        <v>14.6</v>
      </c>
      <c r="P10" s="196" t="n">
        <v>0</v>
      </c>
      <c r="Q10" s="201" t="s">
        <v>45</v>
      </c>
      <c r="R10" s="202" t="n">
        <v>44538</v>
      </c>
      <c r="S10" s="112"/>
      <c r="T10" s="203" t="n">
        <v>60</v>
      </c>
      <c r="U10" s="112"/>
      <c r="V10" s="112"/>
      <c r="W10" s="112"/>
      <c r="X10" s="112"/>
      <c r="Y10" s="112"/>
      <c r="Z10" s="112"/>
      <c r="AA10" s="203" t="s">
        <v>891</v>
      </c>
      <c r="AB10" s="203" t="n">
        <v>12</v>
      </c>
      <c r="AC10" s="203" t="s">
        <v>1472</v>
      </c>
      <c r="AD10" s="203" t="n">
        <v>23.783859</v>
      </c>
      <c r="AE10" s="203" t="n">
        <v>75.679413</v>
      </c>
    </row>
    <row r="11" customFormat="false" ht="15.75" hidden="false" customHeight="false" outlineLevel="0" collapsed="false">
      <c r="A11" s="196" t="s">
        <v>415</v>
      </c>
      <c r="B11" s="196" t="s">
        <v>1452</v>
      </c>
      <c r="C11" s="197" t="s">
        <v>1460</v>
      </c>
      <c r="D11" s="196" t="s">
        <v>1473</v>
      </c>
      <c r="E11" s="196"/>
      <c r="F11" s="196"/>
      <c r="G11" s="196"/>
      <c r="H11" s="196"/>
      <c r="I11" s="196"/>
      <c r="J11" s="196"/>
      <c r="K11" s="196"/>
      <c r="L11" s="112"/>
      <c r="M11" s="196"/>
      <c r="N11" s="112"/>
      <c r="O11" s="196"/>
      <c r="P11" s="196"/>
      <c r="Q11" s="201"/>
      <c r="R11" s="202"/>
      <c r="S11" s="112"/>
      <c r="T11" s="203"/>
      <c r="U11" s="112"/>
      <c r="V11" s="112"/>
      <c r="W11" s="112"/>
      <c r="X11" s="112"/>
      <c r="Y11" s="112"/>
      <c r="Z11" s="112"/>
      <c r="AA11" s="203"/>
      <c r="AB11" s="203"/>
      <c r="AC11" s="203"/>
      <c r="AD11" s="203"/>
      <c r="AE11" s="203"/>
    </row>
    <row r="12" customFormat="false" ht="15.75" hidden="false" customHeight="false" outlineLevel="0" collapsed="false">
      <c r="A12" s="196" t="s">
        <v>415</v>
      </c>
      <c r="B12" s="196" t="s">
        <v>1452</v>
      </c>
      <c r="C12" s="197" t="s">
        <v>1452</v>
      </c>
      <c r="D12" s="198" t="s">
        <v>1474</v>
      </c>
      <c r="E12" s="196" t="s">
        <v>1475</v>
      </c>
      <c r="F12" s="196" t="n">
        <v>2988.82</v>
      </c>
      <c r="G12" s="196" t="n">
        <v>2607</v>
      </c>
      <c r="H12" s="196" t="n">
        <v>13935</v>
      </c>
      <c r="I12" s="196" t="n">
        <v>7136</v>
      </c>
      <c r="J12" s="196" t="n">
        <v>6799</v>
      </c>
      <c r="K12" s="196" t="n">
        <v>3192</v>
      </c>
      <c r="L12" s="112" t="n">
        <f aca="false">K12/H12*100</f>
        <v>22.9063509149623</v>
      </c>
      <c r="M12" s="196" t="n">
        <v>34</v>
      </c>
      <c r="N12" s="112" t="n">
        <f aca="false">M12/H12*100</f>
        <v>0.243989953354862</v>
      </c>
      <c r="O12" s="196" t="n">
        <v>217.1</v>
      </c>
      <c r="P12" s="196" t="n">
        <v>298.94</v>
      </c>
      <c r="Q12" s="203" t="s">
        <v>150</v>
      </c>
      <c r="R12" s="203" t="s">
        <v>1476</v>
      </c>
      <c r="S12" s="112"/>
      <c r="T12" s="203" t="n">
        <v>168</v>
      </c>
      <c r="U12" s="112"/>
      <c r="V12" s="112"/>
      <c r="W12" s="112"/>
      <c r="X12" s="112"/>
      <c r="Y12" s="112"/>
      <c r="Z12" s="112"/>
      <c r="AA12" s="203" t="s">
        <v>891</v>
      </c>
      <c r="AB12" s="203" t="n">
        <v>30</v>
      </c>
      <c r="AC12" s="204"/>
      <c r="AD12" s="203" t="n">
        <v>23.9406671</v>
      </c>
      <c r="AE12" s="203" t="n">
        <v>75.842374</v>
      </c>
    </row>
    <row r="13" customFormat="false" ht="15.75" hidden="false" customHeight="false" outlineLevel="0" collapsed="false">
      <c r="A13" s="196" t="s">
        <v>415</v>
      </c>
      <c r="B13" s="196" t="s">
        <v>1452</v>
      </c>
      <c r="C13" s="197" t="s">
        <v>1452</v>
      </c>
      <c r="D13" s="198" t="s">
        <v>1474</v>
      </c>
      <c r="E13" s="196"/>
      <c r="F13" s="196"/>
      <c r="G13" s="196"/>
      <c r="H13" s="196"/>
      <c r="I13" s="196"/>
      <c r="J13" s="196"/>
      <c r="K13" s="196"/>
      <c r="L13" s="112"/>
      <c r="M13" s="196"/>
      <c r="N13" s="112"/>
      <c r="O13" s="196"/>
      <c r="P13" s="196"/>
      <c r="Q13" s="203"/>
      <c r="R13" s="203"/>
      <c r="S13" s="112"/>
      <c r="T13" s="203"/>
      <c r="U13" s="112"/>
      <c r="V13" s="112"/>
      <c r="W13" s="112"/>
      <c r="X13" s="112"/>
      <c r="Y13" s="112"/>
      <c r="Z13" s="112"/>
      <c r="AA13" s="203"/>
      <c r="AB13" s="203"/>
      <c r="AC13" s="204"/>
      <c r="AD13" s="203"/>
      <c r="AE13" s="203"/>
    </row>
    <row r="14" customFormat="false" ht="15.75" hidden="false" customHeight="false" outlineLevel="0" collapsed="false">
      <c r="A14" s="196" t="s">
        <v>415</v>
      </c>
      <c r="B14" s="196" t="s">
        <v>1452</v>
      </c>
      <c r="C14" s="197" t="s">
        <v>1452</v>
      </c>
      <c r="D14" s="198" t="s">
        <v>74</v>
      </c>
      <c r="E14" s="196"/>
      <c r="F14" s="196"/>
      <c r="G14" s="196"/>
      <c r="H14" s="196"/>
      <c r="I14" s="196"/>
      <c r="J14" s="196"/>
      <c r="K14" s="196"/>
      <c r="L14" s="112"/>
      <c r="M14" s="196"/>
      <c r="N14" s="112"/>
      <c r="O14" s="196"/>
      <c r="P14" s="196"/>
      <c r="Q14" s="201" t="s">
        <v>150</v>
      </c>
      <c r="R14" s="203" t="s">
        <v>1476</v>
      </c>
      <c r="S14" s="112"/>
      <c r="T14" s="201" t="n">
        <v>5</v>
      </c>
      <c r="U14" s="112"/>
      <c r="V14" s="112"/>
      <c r="W14" s="112"/>
      <c r="X14" s="112"/>
      <c r="Y14" s="112"/>
      <c r="Z14" s="112"/>
      <c r="AA14" s="203" t="s">
        <v>891</v>
      </c>
      <c r="AB14" s="203" t="n">
        <v>8</v>
      </c>
      <c r="AC14" s="204"/>
      <c r="AD14" s="201" t="n">
        <v>23.933187</v>
      </c>
      <c r="AE14" s="201" t="n">
        <v>75.867344</v>
      </c>
    </row>
    <row r="15" customFormat="false" ht="15.75" hidden="false" customHeight="false" outlineLevel="0" collapsed="false">
      <c r="A15" s="196" t="s">
        <v>415</v>
      </c>
      <c r="B15" s="196" t="s">
        <v>1452</v>
      </c>
      <c r="C15" s="197" t="s">
        <v>1477</v>
      </c>
      <c r="D15" s="198" t="s">
        <v>1478</v>
      </c>
      <c r="E15" s="196" t="s">
        <v>1479</v>
      </c>
      <c r="F15" s="196" t="n">
        <v>827.67</v>
      </c>
      <c r="G15" s="196" t="n">
        <v>361</v>
      </c>
      <c r="H15" s="196" t="n">
        <v>1893</v>
      </c>
      <c r="I15" s="196" t="n">
        <v>945</v>
      </c>
      <c r="J15" s="196" t="n">
        <v>948</v>
      </c>
      <c r="K15" s="196" t="n">
        <v>705</v>
      </c>
      <c r="L15" s="112" t="n">
        <f aca="false">K15/H15*100</f>
        <v>37.2424722662441</v>
      </c>
      <c r="M15" s="196" t="n">
        <v>1</v>
      </c>
      <c r="N15" s="112" t="n">
        <f aca="false">M15/H15*100</f>
        <v>0.0528262017960909</v>
      </c>
      <c r="O15" s="196" t="n">
        <v>68.63</v>
      </c>
      <c r="P15" s="196" t="n">
        <v>149.49</v>
      </c>
      <c r="Q15" s="203" t="s">
        <v>150</v>
      </c>
      <c r="R15" s="202" t="n">
        <v>44323</v>
      </c>
      <c r="S15" s="112"/>
      <c r="T15" s="203" t="n">
        <v>1.18</v>
      </c>
      <c r="U15" s="112"/>
      <c r="V15" s="112" t="s">
        <v>43</v>
      </c>
      <c r="W15" s="112"/>
      <c r="X15" s="112"/>
      <c r="Y15" s="112"/>
      <c r="Z15" s="112"/>
      <c r="AA15" s="203" t="s">
        <v>891</v>
      </c>
      <c r="AB15" s="203" t="n">
        <v>2</v>
      </c>
      <c r="AC15" s="203" t="s">
        <v>1466</v>
      </c>
      <c r="AD15" s="203" t="n">
        <v>23.971764</v>
      </c>
      <c r="AE15" s="203" t="n">
        <v>75.731745</v>
      </c>
    </row>
    <row r="16" customFormat="false" ht="15.75" hidden="false" customHeight="false" outlineLevel="0" collapsed="false">
      <c r="A16" s="196" t="s">
        <v>415</v>
      </c>
      <c r="B16" s="196" t="s">
        <v>1452</v>
      </c>
      <c r="C16" s="197" t="s">
        <v>1477</v>
      </c>
      <c r="D16" s="198" t="s">
        <v>1478</v>
      </c>
      <c r="E16" s="196"/>
      <c r="F16" s="196"/>
      <c r="G16" s="196"/>
      <c r="H16" s="196"/>
      <c r="I16" s="196"/>
      <c r="J16" s="196"/>
      <c r="K16" s="196"/>
      <c r="L16" s="112"/>
      <c r="M16" s="196"/>
      <c r="N16" s="112"/>
      <c r="O16" s="196"/>
      <c r="P16" s="196"/>
      <c r="Q16" s="200" t="s">
        <v>150</v>
      </c>
      <c r="R16" s="205" t="n">
        <v>44323</v>
      </c>
      <c r="S16" s="112"/>
      <c r="T16" s="200"/>
      <c r="U16" s="112"/>
      <c r="V16" s="112"/>
      <c r="W16" s="112"/>
      <c r="X16" s="112"/>
      <c r="Y16" s="112"/>
      <c r="Z16" s="112"/>
      <c r="AA16" s="200" t="s">
        <v>150</v>
      </c>
      <c r="AB16" s="200" t="n">
        <v>6.856</v>
      </c>
      <c r="AC16" s="203"/>
      <c r="AD16" s="200" t="n">
        <v>23.96822</v>
      </c>
      <c r="AE16" s="200" t="n">
        <v>75.73245</v>
      </c>
    </row>
    <row r="17" customFormat="false" ht="15.75" hidden="false" customHeight="false" outlineLevel="0" collapsed="false">
      <c r="A17" s="196" t="s">
        <v>415</v>
      </c>
      <c r="B17" s="196" t="s">
        <v>1452</v>
      </c>
      <c r="C17" s="197" t="s">
        <v>1477</v>
      </c>
      <c r="D17" s="198" t="s">
        <v>1478</v>
      </c>
      <c r="E17" s="196"/>
      <c r="F17" s="196"/>
      <c r="G17" s="196"/>
      <c r="H17" s="196"/>
      <c r="I17" s="196"/>
      <c r="J17" s="196"/>
      <c r="K17" s="196"/>
      <c r="L17" s="112"/>
      <c r="M17" s="196"/>
      <c r="N17" s="112"/>
      <c r="O17" s="196"/>
      <c r="P17" s="196"/>
      <c r="Q17" s="206" t="s">
        <v>150</v>
      </c>
      <c r="R17" s="207" t="n">
        <v>44323</v>
      </c>
      <c r="S17" s="112"/>
      <c r="T17" s="206"/>
      <c r="U17" s="112"/>
      <c r="V17" s="112"/>
      <c r="W17" s="112"/>
      <c r="X17" s="112"/>
      <c r="Y17" s="112"/>
      <c r="Z17" s="112"/>
      <c r="AA17" s="206" t="s">
        <v>43</v>
      </c>
      <c r="AB17" s="206" t="n">
        <v>8</v>
      </c>
      <c r="AC17" s="203"/>
      <c r="AD17" s="206" t="n">
        <v>23.973305</v>
      </c>
      <c r="AE17" s="206" t="n">
        <v>75.741277</v>
      </c>
    </row>
    <row r="18" customFormat="false" ht="15.75" hidden="false" customHeight="false" outlineLevel="0" collapsed="false">
      <c r="A18" s="196" t="s">
        <v>415</v>
      </c>
      <c r="B18" s="196" t="s">
        <v>1452</v>
      </c>
      <c r="C18" s="197" t="s">
        <v>1477</v>
      </c>
      <c r="D18" s="198" t="s">
        <v>1478</v>
      </c>
      <c r="E18" s="196"/>
      <c r="F18" s="196"/>
      <c r="G18" s="196"/>
      <c r="H18" s="196"/>
      <c r="I18" s="196"/>
      <c r="J18" s="196"/>
      <c r="K18" s="196"/>
      <c r="L18" s="112"/>
      <c r="M18" s="196"/>
      <c r="N18" s="112"/>
      <c r="O18" s="196"/>
      <c r="P18" s="196"/>
      <c r="Q18" s="206" t="s">
        <v>150</v>
      </c>
      <c r="R18" s="207" t="n">
        <v>44323</v>
      </c>
      <c r="S18" s="112"/>
      <c r="T18" s="206"/>
      <c r="U18" s="112"/>
      <c r="V18" s="112"/>
      <c r="W18" s="112"/>
      <c r="X18" s="112"/>
      <c r="Y18" s="112"/>
      <c r="Z18" s="112"/>
      <c r="AA18" s="206" t="s">
        <v>43</v>
      </c>
      <c r="AB18" s="206" t="n">
        <v>20</v>
      </c>
      <c r="AC18" s="203"/>
      <c r="AD18" s="206" t="n">
        <v>23.9733057</v>
      </c>
      <c r="AE18" s="206" t="n">
        <v>75.741277</v>
      </c>
    </row>
    <row r="19" customFormat="false" ht="15.75" hidden="false" customHeight="false" outlineLevel="0" collapsed="false">
      <c r="A19" s="196" t="s">
        <v>415</v>
      </c>
      <c r="B19" s="196" t="s">
        <v>1452</v>
      </c>
      <c r="C19" s="197" t="s">
        <v>1477</v>
      </c>
      <c r="D19" s="196" t="s">
        <v>1480</v>
      </c>
      <c r="E19" s="196" t="s">
        <v>1481</v>
      </c>
      <c r="F19" s="196" t="n">
        <v>522.75</v>
      </c>
      <c r="G19" s="196" t="n">
        <v>220</v>
      </c>
      <c r="H19" s="196" t="n">
        <v>1014</v>
      </c>
      <c r="I19" s="196" t="n">
        <v>519</v>
      </c>
      <c r="J19" s="196" t="n">
        <v>495</v>
      </c>
      <c r="K19" s="196" t="n">
        <v>304</v>
      </c>
      <c r="L19" s="112" t="n">
        <f aca="false">K19/H19*100</f>
        <v>29.9802761341223</v>
      </c>
      <c r="M19" s="196" t="n">
        <v>0</v>
      </c>
      <c r="N19" s="112" t="n">
        <f aca="false">M19/H19*100</f>
        <v>0</v>
      </c>
      <c r="O19" s="196" t="n">
        <v>0</v>
      </c>
      <c r="P19" s="196" t="n">
        <v>75.09</v>
      </c>
      <c r="Q19" s="204"/>
      <c r="R19" s="204"/>
      <c r="S19" s="112"/>
      <c r="T19" s="204"/>
      <c r="U19" s="112"/>
      <c r="V19" s="112"/>
      <c r="W19" s="112"/>
      <c r="X19" s="112"/>
      <c r="Y19" s="112"/>
      <c r="Z19" s="112"/>
      <c r="AA19" s="204"/>
      <c r="AB19" s="204"/>
      <c r="AC19" s="204"/>
      <c r="AD19" s="204"/>
      <c r="AE19" s="204"/>
    </row>
    <row r="20" customFormat="false" ht="15.75" hidden="false" customHeight="false" outlineLevel="0" collapsed="false">
      <c r="A20" s="196" t="s">
        <v>415</v>
      </c>
      <c r="B20" s="196" t="s">
        <v>1452</v>
      </c>
      <c r="C20" s="197" t="s">
        <v>1477</v>
      </c>
      <c r="D20" s="196" t="s">
        <v>1482</v>
      </c>
      <c r="E20" s="196" t="s">
        <v>1483</v>
      </c>
      <c r="F20" s="196" t="n">
        <v>255.68</v>
      </c>
      <c r="G20" s="196" t="n">
        <v>78</v>
      </c>
      <c r="H20" s="196" t="n">
        <v>440</v>
      </c>
      <c r="I20" s="196" t="n">
        <v>219</v>
      </c>
      <c r="J20" s="196" t="n">
        <v>221</v>
      </c>
      <c r="K20" s="196" t="n">
        <v>18</v>
      </c>
      <c r="L20" s="112" t="n">
        <f aca="false">K20/H20*100</f>
        <v>4.09090909090909</v>
      </c>
      <c r="M20" s="196" t="n">
        <v>0</v>
      </c>
      <c r="N20" s="112" t="n">
        <f aca="false">M20/H20*100</f>
        <v>0</v>
      </c>
      <c r="O20" s="196" t="n">
        <v>25.04</v>
      </c>
      <c r="P20" s="196" t="n">
        <v>55.29</v>
      </c>
      <c r="Q20" s="200" t="s">
        <v>45</v>
      </c>
      <c r="R20" s="204" t="s">
        <v>57</v>
      </c>
      <c r="S20" s="112"/>
      <c r="T20" s="204"/>
      <c r="U20" s="112"/>
      <c r="V20" s="112"/>
      <c r="W20" s="112"/>
      <c r="X20" s="112"/>
      <c r="Y20" s="112"/>
      <c r="Z20" s="112"/>
      <c r="AA20" s="204" t="s">
        <v>43</v>
      </c>
      <c r="AB20" s="204" t="n">
        <v>15</v>
      </c>
      <c r="AC20" s="204"/>
      <c r="AD20" s="204"/>
      <c r="AE20" s="204"/>
    </row>
    <row r="21" customFormat="false" ht="15.75" hidden="false" customHeight="false" outlineLevel="0" collapsed="false">
      <c r="A21" s="196" t="s">
        <v>415</v>
      </c>
      <c r="B21" s="196" t="s">
        <v>1452</v>
      </c>
      <c r="C21" s="197" t="s">
        <v>1477</v>
      </c>
      <c r="D21" s="196" t="s">
        <v>1482</v>
      </c>
      <c r="E21" s="196"/>
      <c r="F21" s="196"/>
      <c r="G21" s="196"/>
      <c r="H21" s="196"/>
      <c r="I21" s="196"/>
      <c r="J21" s="196"/>
      <c r="K21" s="196"/>
      <c r="L21" s="112"/>
      <c r="M21" s="196"/>
      <c r="N21" s="112"/>
      <c r="O21" s="196"/>
      <c r="P21" s="196"/>
      <c r="Q21" s="204"/>
      <c r="R21" s="204" t="s">
        <v>57</v>
      </c>
      <c r="S21" s="112"/>
      <c r="T21" s="204"/>
      <c r="U21" s="112"/>
      <c r="V21" s="112"/>
      <c r="W21" s="112"/>
      <c r="X21" s="112"/>
      <c r="Y21" s="112"/>
      <c r="Z21" s="112"/>
      <c r="AA21" s="204" t="s">
        <v>43</v>
      </c>
      <c r="AB21" s="204" t="n">
        <v>2</v>
      </c>
      <c r="AC21" s="204"/>
      <c r="AD21" s="204"/>
      <c r="AE21" s="204"/>
    </row>
    <row r="22" customFormat="false" ht="15.75" hidden="false" customHeight="false" outlineLevel="0" collapsed="false">
      <c r="A22" s="196" t="s">
        <v>415</v>
      </c>
      <c r="B22" s="196" t="s">
        <v>1452</v>
      </c>
      <c r="C22" s="197" t="s">
        <v>1477</v>
      </c>
      <c r="D22" s="196" t="s">
        <v>1484</v>
      </c>
      <c r="E22" s="196" t="s">
        <v>1485</v>
      </c>
      <c r="F22" s="196" t="n">
        <v>299.82</v>
      </c>
      <c r="G22" s="196" t="n">
        <v>174</v>
      </c>
      <c r="H22" s="196" t="n">
        <v>737</v>
      </c>
      <c r="I22" s="196" t="n">
        <v>360</v>
      </c>
      <c r="J22" s="196" t="n">
        <v>377</v>
      </c>
      <c r="K22" s="196" t="n">
        <v>97</v>
      </c>
      <c r="L22" s="112" t="n">
        <f aca="false">K22/H22*100</f>
        <v>13.1614654002714</v>
      </c>
      <c r="M22" s="196" t="n">
        <v>0</v>
      </c>
      <c r="N22" s="112" t="n">
        <f aca="false">M22/H22*100</f>
        <v>0</v>
      </c>
      <c r="O22" s="196" t="n">
        <v>28.39</v>
      </c>
      <c r="P22" s="196" t="n">
        <v>0</v>
      </c>
      <c r="Q22" s="203" t="s">
        <v>150</v>
      </c>
      <c r="R22" s="202" t="n">
        <v>44323</v>
      </c>
      <c r="S22" s="112"/>
      <c r="T22" s="203" t="n">
        <v>5</v>
      </c>
      <c r="U22" s="112"/>
      <c r="V22" s="112"/>
      <c r="W22" s="112"/>
      <c r="X22" s="112"/>
      <c r="Y22" s="112"/>
      <c r="Z22" s="112"/>
      <c r="AA22" s="203" t="s">
        <v>891</v>
      </c>
      <c r="AB22" s="203" t="n">
        <v>7</v>
      </c>
      <c r="AC22" s="203" t="s">
        <v>1486</v>
      </c>
      <c r="AD22" s="203" t="n">
        <v>23.981394</v>
      </c>
      <c r="AE22" s="203" t="n">
        <v>75.758939</v>
      </c>
    </row>
    <row r="23" customFormat="false" ht="15.75" hidden="false" customHeight="false" outlineLevel="0" collapsed="false">
      <c r="A23" s="196" t="s">
        <v>415</v>
      </c>
      <c r="B23" s="196" t="s">
        <v>1452</v>
      </c>
      <c r="C23" s="197" t="s">
        <v>1477</v>
      </c>
      <c r="D23" s="196" t="s">
        <v>1484</v>
      </c>
      <c r="E23" s="196"/>
      <c r="F23" s="196"/>
      <c r="G23" s="196"/>
      <c r="H23" s="196"/>
      <c r="I23" s="196"/>
      <c r="J23" s="196"/>
      <c r="K23" s="196"/>
      <c r="L23" s="112"/>
      <c r="M23" s="196"/>
      <c r="N23" s="112"/>
      <c r="O23" s="196"/>
      <c r="P23" s="196"/>
      <c r="Q23" s="206" t="s">
        <v>150</v>
      </c>
      <c r="R23" s="207" t="n">
        <v>44323</v>
      </c>
      <c r="S23" s="112"/>
      <c r="T23" s="206"/>
      <c r="U23" s="112"/>
      <c r="V23" s="112"/>
      <c r="W23" s="112"/>
      <c r="X23" s="112"/>
      <c r="Y23" s="112"/>
      <c r="Z23" s="112"/>
      <c r="AA23" s="206" t="s">
        <v>43</v>
      </c>
      <c r="AB23" s="206" t="n">
        <v>15</v>
      </c>
      <c r="AC23" s="206" t="s">
        <v>859</v>
      </c>
      <c r="AD23" s="206" t="n">
        <v>23.983672</v>
      </c>
      <c r="AE23" s="206" t="n">
        <v>75.751988</v>
      </c>
    </row>
    <row r="24" customFormat="false" ht="15.75" hidden="false" customHeight="false" outlineLevel="0" collapsed="false">
      <c r="A24" s="196" t="s">
        <v>415</v>
      </c>
      <c r="B24" s="196" t="s">
        <v>1452</v>
      </c>
      <c r="C24" s="197" t="s">
        <v>1477</v>
      </c>
      <c r="D24" s="196" t="s">
        <v>1484</v>
      </c>
      <c r="E24" s="196"/>
      <c r="F24" s="196"/>
      <c r="G24" s="196"/>
      <c r="H24" s="196"/>
      <c r="I24" s="196"/>
      <c r="J24" s="196"/>
      <c r="K24" s="196"/>
      <c r="L24" s="112"/>
      <c r="M24" s="196"/>
      <c r="N24" s="112"/>
      <c r="O24" s="196"/>
      <c r="P24" s="196"/>
      <c r="Q24" s="206" t="s">
        <v>150</v>
      </c>
      <c r="R24" s="207" t="n">
        <v>44323</v>
      </c>
      <c r="S24" s="112"/>
      <c r="T24" s="206" t="n">
        <v>3</v>
      </c>
      <c r="U24" s="112"/>
      <c r="V24" s="112"/>
      <c r="W24" s="112"/>
      <c r="X24" s="112"/>
      <c r="Y24" s="112"/>
      <c r="Z24" s="112"/>
      <c r="AA24" s="206"/>
      <c r="AB24" s="206"/>
      <c r="AC24" s="206"/>
      <c r="AD24" s="206" t="n">
        <v>23.983672</v>
      </c>
      <c r="AE24" s="206" t="n">
        <v>75.751988</v>
      </c>
    </row>
    <row r="25" customFormat="false" ht="15.75" hidden="false" customHeight="false" outlineLevel="0" collapsed="false">
      <c r="A25" s="196" t="s">
        <v>415</v>
      </c>
      <c r="B25" s="196" t="s">
        <v>1452</v>
      </c>
      <c r="C25" s="197" t="s">
        <v>1477</v>
      </c>
      <c r="D25" s="196" t="s">
        <v>1099</v>
      </c>
      <c r="E25" s="196" t="s">
        <v>1487</v>
      </c>
      <c r="F25" s="196" t="n">
        <v>462.08</v>
      </c>
      <c r="G25" s="196" t="n">
        <v>164</v>
      </c>
      <c r="H25" s="196" t="n">
        <v>696</v>
      </c>
      <c r="I25" s="196" t="n">
        <v>366</v>
      </c>
      <c r="J25" s="196" t="n">
        <v>330</v>
      </c>
      <c r="K25" s="196" t="n">
        <v>118</v>
      </c>
      <c r="L25" s="112" t="n">
        <f aca="false">K25/H25*100</f>
        <v>16.9540229885057</v>
      </c>
      <c r="M25" s="196" t="n">
        <v>1</v>
      </c>
      <c r="N25" s="112" t="n">
        <f aca="false">M25/H25*100</f>
        <v>0.14367816091954</v>
      </c>
      <c r="O25" s="196" t="n">
        <v>47.03</v>
      </c>
      <c r="P25" s="196" t="n">
        <v>36.29</v>
      </c>
      <c r="Q25" s="200" t="s">
        <v>45</v>
      </c>
      <c r="R25" s="200" t="s">
        <v>1488</v>
      </c>
      <c r="S25" s="112"/>
      <c r="T25" s="200" t="n">
        <v>46.9813</v>
      </c>
      <c r="U25" s="112"/>
      <c r="V25" s="112"/>
      <c r="W25" s="112"/>
      <c r="X25" s="112"/>
      <c r="Y25" s="112"/>
      <c r="Z25" s="112"/>
      <c r="AA25" s="200" t="s">
        <v>272</v>
      </c>
      <c r="AB25" s="200" t="n">
        <v>0</v>
      </c>
      <c r="AC25" s="208" t="s">
        <v>859</v>
      </c>
      <c r="AD25" s="200"/>
      <c r="AE25" s="200"/>
    </row>
    <row r="26" customFormat="false" ht="15.75" hidden="false" customHeight="false" outlineLevel="0" collapsed="false">
      <c r="A26" s="196" t="s">
        <v>415</v>
      </c>
      <c r="B26" s="196" t="s">
        <v>1452</v>
      </c>
      <c r="C26" s="197" t="s">
        <v>1477</v>
      </c>
      <c r="D26" s="196" t="s">
        <v>1099</v>
      </c>
      <c r="E26" s="196"/>
      <c r="F26" s="196"/>
      <c r="G26" s="196"/>
      <c r="H26" s="196"/>
      <c r="I26" s="196"/>
      <c r="J26" s="196"/>
      <c r="K26" s="196"/>
      <c r="L26" s="112"/>
      <c r="M26" s="196"/>
      <c r="N26" s="112"/>
      <c r="O26" s="196"/>
      <c r="P26" s="196"/>
      <c r="Q26" s="200"/>
      <c r="R26" s="200"/>
      <c r="S26" s="112"/>
      <c r="T26" s="200"/>
      <c r="U26" s="112"/>
      <c r="V26" s="112"/>
      <c r="W26" s="112"/>
      <c r="X26" s="112"/>
      <c r="Y26" s="112"/>
      <c r="Z26" s="112"/>
      <c r="AA26" s="200"/>
      <c r="AB26" s="200"/>
      <c r="AC26" s="200" t="s">
        <v>1489</v>
      </c>
      <c r="AD26" s="200"/>
      <c r="AE26" s="200"/>
    </row>
    <row r="27" customFormat="false" ht="15.75" hidden="false" customHeight="false" outlineLevel="0" collapsed="false">
      <c r="A27" s="196" t="s">
        <v>415</v>
      </c>
      <c r="B27" s="196" t="s">
        <v>1452</v>
      </c>
      <c r="C27" s="197" t="s">
        <v>1477</v>
      </c>
      <c r="D27" s="196" t="s">
        <v>1099</v>
      </c>
      <c r="E27" s="196"/>
      <c r="F27" s="196"/>
      <c r="G27" s="196"/>
      <c r="H27" s="196"/>
      <c r="I27" s="196"/>
      <c r="J27" s="196"/>
      <c r="K27" s="196"/>
      <c r="L27" s="112"/>
      <c r="M27" s="196"/>
      <c r="N27" s="112"/>
      <c r="O27" s="196"/>
      <c r="P27" s="196"/>
      <c r="Q27" s="200"/>
      <c r="R27" s="200"/>
      <c r="S27" s="112"/>
      <c r="T27" s="200"/>
      <c r="U27" s="112"/>
      <c r="V27" s="112"/>
      <c r="W27" s="112"/>
      <c r="X27" s="112"/>
      <c r="Y27" s="112"/>
      <c r="Z27" s="112"/>
      <c r="AA27" s="200"/>
      <c r="AB27" s="200"/>
      <c r="AC27" s="200" t="s">
        <v>859</v>
      </c>
      <c r="AD27" s="200"/>
      <c r="AE27" s="200"/>
    </row>
    <row r="28" customFormat="false" ht="15.75" hidden="false" customHeight="false" outlineLevel="0" collapsed="false">
      <c r="A28" s="196" t="s">
        <v>415</v>
      </c>
      <c r="B28" s="196" t="s">
        <v>1452</v>
      </c>
      <c r="C28" s="197" t="s">
        <v>1477</v>
      </c>
      <c r="D28" s="196" t="s">
        <v>1099</v>
      </c>
      <c r="E28" s="196"/>
      <c r="F28" s="196"/>
      <c r="G28" s="196"/>
      <c r="H28" s="196"/>
      <c r="I28" s="196"/>
      <c r="J28" s="196"/>
      <c r="K28" s="196"/>
      <c r="L28" s="112"/>
      <c r="M28" s="196"/>
      <c r="N28" s="112"/>
      <c r="O28" s="196"/>
      <c r="P28" s="196"/>
      <c r="Q28" s="200"/>
      <c r="R28" s="200"/>
      <c r="S28" s="112"/>
      <c r="T28" s="200"/>
      <c r="U28" s="112"/>
      <c r="V28" s="112"/>
      <c r="W28" s="112"/>
      <c r="X28" s="112"/>
      <c r="Y28" s="112"/>
      <c r="Z28" s="112"/>
      <c r="AA28" s="200"/>
      <c r="AB28" s="200"/>
      <c r="AC28" s="208" t="s">
        <v>859</v>
      </c>
      <c r="AD28" s="200"/>
      <c r="AE28" s="200"/>
    </row>
    <row r="29" customFormat="false" ht="15.75" hidden="false" customHeight="false" outlineLevel="0" collapsed="false">
      <c r="A29" s="196" t="s">
        <v>415</v>
      </c>
      <c r="B29" s="196" t="s">
        <v>1452</v>
      </c>
      <c r="C29" s="197" t="s">
        <v>1490</v>
      </c>
      <c r="D29" s="198" t="s">
        <v>1491</v>
      </c>
      <c r="E29" s="196" t="s">
        <v>1492</v>
      </c>
      <c r="F29" s="196" t="n">
        <v>1467</v>
      </c>
      <c r="G29" s="196" t="n">
        <v>277</v>
      </c>
      <c r="H29" s="196" t="n">
        <v>1478</v>
      </c>
      <c r="I29" s="196" t="n">
        <v>758</v>
      </c>
      <c r="J29" s="196" t="n">
        <v>720</v>
      </c>
      <c r="K29" s="196" t="n">
        <v>291</v>
      </c>
      <c r="L29" s="112" t="n">
        <f aca="false">K29/H29*100</f>
        <v>19.6887686062246</v>
      </c>
      <c r="M29" s="196" t="n">
        <v>0</v>
      </c>
      <c r="N29" s="112" t="n">
        <f aca="false">M29/H29*100</f>
        <v>0</v>
      </c>
      <c r="O29" s="196" t="n">
        <v>0</v>
      </c>
      <c r="P29" s="196" t="n">
        <v>472.86</v>
      </c>
      <c r="Q29" s="200" t="s">
        <v>45</v>
      </c>
      <c r="R29" s="200" t="s">
        <v>1493</v>
      </c>
      <c r="S29" s="112"/>
      <c r="T29" s="200"/>
      <c r="U29" s="112"/>
      <c r="V29" s="112"/>
      <c r="W29" s="112" t="s">
        <v>43</v>
      </c>
      <c r="X29" s="112" t="s">
        <v>43</v>
      </c>
      <c r="Y29" s="112" t="s">
        <v>43</v>
      </c>
      <c r="Z29" s="112" t="s">
        <v>43</v>
      </c>
      <c r="AA29" s="200"/>
      <c r="AB29" s="200"/>
      <c r="AC29" s="204"/>
      <c r="AD29" s="200"/>
      <c r="AE29" s="200"/>
    </row>
    <row r="30" customFormat="false" ht="15.75" hidden="false" customHeight="false" outlineLevel="0" collapsed="false">
      <c r="A30" s="196" t="s">
        <v>415</v>
      </c>
      <c r="B30" s="196" t="s">
        <v>1452</v>
      </c>
      <c r="C30" s="197" t="s">
        <v>1490</v>
      </c>
      <c r="D30" s="196" t="s">
        <v>1494</v>
      </c>
      <c r="E30" s="196" t="s">
        <v>1495</v>
      </c>
      <c r="F30" s="196" t="n">
        <v>774.2</v>
      </c>
      <c r="G30" s="196" t="n">
        <v>117</v>
      </c>
      <c r="H30" s="196" t="n">
        <v>574</v>
      </c>
      <c r="I30" s="196" t="n">
        <v>306</v>
      </c>
      <c r="J30" s="196" t="n">
        <v>268</v>
      </c>
      <c r="K30" s="196" t="n">
        <v>275</v>
      </c>
      <c r="L30" s="112" t="n">
        <f aca="false">K30/H30*100</f>
        <v>47.9094076655052</v>
      </c>
      <c r="M30" s="196" t="n">
        <v>0</v>
      </c>
      <c r="N30" s="112" t="n">
        <f aca="false">M30/H30*100</f>
        <v>0</v>
      </c>
      <c r="O30" s="196" t="n">
        <v>108.72</v>
      </c>
      <c r="P30" s="196" t="n">
        <v>83.44</v>
      </c>
      <c r="Q30" s="204"/>
      <c r="R30" s="200" t="s">
        <v>420</v>
      </c>
      <c r="S30" s="112"/>
      <c r="T30" s="200" t="n">
        <v>108.16</v>
      </c>
      <c r="U30" s="112"/>
      <c r="V30" s="112"/>
      <c r="W30" s="112"/>
      <c r="X30" s="112"/>
      <c r="Y30" s="112"/>
      <c r="Z30" s="112"/>
      <c r="AA30" s="200" t="s">
        <v>45</v>
      </c>
      <c r="AB30" s="200" t="n">
        <v>1.41</v>
      </c>
      <c r="AC30" s="204"/>
      <c r="AD30" s="200" t="n">
        <v>24.024594</v>
      </c>
      <c r="AE30" s="200" t="n">
        <v>75.941541</v>
      </c>
    </row>
    <row r="31" customFormat="false" ht="15.75" hidden="false" customHeight="false" outlineLevel="0" collapsed="false">
      <c r="A31" s="196" t="s">
        <v>415</v>
      </c>
      <c r="B31" s="196" t="s">
        <v>1452</v>
      </c>
      <c r="C31" s="197" t="s">
        <v>1490</v>
      </c>
      <c r="D31" s="196" t="s">
        <v>1496</v>
      </c>
      <c r="E31" s="196" t="s">
        <v>1497</v>
      </c>
      <c r="F31" s="196" t="n">
        <v>432.69</v>
      </c>
      <c r="G31" s="196" t="n">
        <v>111</v>
      </c>
      <c r="H31" s="196" t="n">
        <v>573</v>
      </c>
      <c r="I31" s="196" t="n">
        <v>287</v>
      </c>
      <c r="J31" s="196" t="n">
        <v>286</v>
      </c>
      <c r="K31" s="196" t="n">
        <v>142</v>
      </c>
      <c r="L31" s="112" t="n">
        <f aca="false">K31/H31*100</f>
        <v>24.78184991274</v>
      </c>
      <c r="M31" s="196" t="n">
        <v>0</v>
      </c>
      <c r="N31" s="112" t="n">
        <f aca="false">M31/H31*100</f>
        <v>0</v>
      </c>
      <c r="O31" s="196" t="n">
        <v>38.76</v>
      </c>
      <c r="P31" s="196" t="n">
        <v>79.71</v>
      </c>
      <c r="Q31" s="204"/>
      <c r="R31" s="200" t="s">
        <v>1498</v>
      </c>
      <c r="S31" s="112"/>
      <c r="T31" s="200" t="n">
        <v>39.2</v>
      </c>
      <c r="U31" s="112"/>
      <c r="V31" s="112"/>
      <c r="W31" s="112"/>
      <c r="X31" s="112"/>
      <c r="Y31" s="112"/>
      <c r="Z31" s="112"/>
      <c r="AA31" s="200" t="s">
        <v>45</v>
      </c>
      <c r="AB31" s="200" t="n">
        <v>2.101</v>
      </c>
      <c r="AC31" s="204"/>
      <c r="AD31" s="200" t="n">
        <v>24.094534</v>
      </c>
      <c r="AE31" s="200" t="n">
        <v>75.10144</v>
      </c>
    </row>
    <row r="32" customFormat="false" ht="15.75" hidden="false" customHeight="false" outlineLevel="0" collapsed="false">
      <c r="A32" s="196" t="s">
        <v>415</v>
      </c>
      <c r="B32" s="196" t="s">
        <v>1452</v>
      </c>
      <c r="C32" s="197" t="s">
        <v>1490</v>
      </c>
      <c r="D32" s="196" t="s">
        <v>1499</v>
      </c>
      <c r="E32" s="196" t="s">
        <v>1500</v>
      </c>
      <c r="F32" s="196" t="n">
        <v>100.92</v>
      </c>
      <c r="G32" s="196" t="n">
        <v>0</v>
      </c>
      <c r="H32" s="196" t="n">
        <v>0</v>
      </c>
      <c r="I32" s="196" t="n">
        <v>0</v>
      </c>
      <c r="J32" s="196" t="n">
        <v>0</v>
      </c>
      <c r="K32" s="196" t="n">
        <v>0</v>
      </c>
      <c r="L32" s="112"/>
      <c r="M32" s="196"/>
      <c r="N32" s="112"/>
      <c r="O32" s="196" t="n">
        <v>0</v>
      </c>
      <c r="P32" s="196" t="n">
        <v>0</v>
      </c>
      <c r="Q32" s="204"/>
      <c r="R32" s="204"/>
      <c r="S32" s="112"/>
      <c r="T32" s="204"/>
      <c r="U32" s="112"/>
      <c r="V32" s="112"/>
      <c r="W32" s="112"/>
      <c r="X32" s="112"/>
      <c r="Y32" s="112"/>
      <c r="Z32" s="112"/>
      <c r="AA32" s="204"/>
      <c r="AB32" s="204"/>
      <c r="AC32" s="204"/>
      <c r="AD32" s="204"/>
      <c r="AE32" s="204"/>
    </row>
    <row r="33" customFormat="false" ht="15.75" hidden="false" customHeight="false" outlineLevel="0" collapsed="false">
      <c r="A33" s="196" t="s">
        <v>415</v>
      </c>
      <c r="B33" s="196" t="s">
        <v>1452</v>
      </c>
      <c r="C33" s="197" t="s">
        <v>1490</v>
      </c>
      <c r="D33" s="196" t="s">
        <v>1501</v>
      </c>
      <c r="E33" s="196" t="s">
        <v>1502</v>
      </c>
      <c r="F33" s="196" t="n">
        <v>950.55</v>
      </c>
      <c r="G33" s="196" t="n">
        <v>194</v>
      </c>
      <c r="H33" s="196" t="n">
        <v>1028</v>
      </c>
      <c r="I33" s="196" t="n">
        <v>521</v>
      </c>
      <c r="J33" s="196" t="n">
        <v>507</v>
      </c>
      <c r="K33" s="196" t="n">
        <v>276</v>
      </c>
      <c r="L33" s="112" t="n">
        <f aca="false">K33/H33*100</f>
        <v>26.8482490272374</v>
      </c>
      <c r="M33" s="196" t="n">
        <v>1</v>
      </c>
      <c r="N33" s="112" t="n">
        <f aca="false">M33/H33*100</f>
        <v>0.0972762645914397</v>
      </c>
      <c r="O33" s="196" t="n">
        <v>38.8</v>
      </c>
      <c r="P33" s="196" t="n">
        <v>319.94</v>
      </c>
      <c r="Q33" s="204"/>
      <c r="R33" s="200" t="s">
        <v>1503</v>
      </c>
      <c r="S33" s="112"/>
      <c r="T33" s="204"/>
      <c r="U33" s="112"/>
      <c r="V33" s="112"/>
      <c r="W33" s="112"/>
      <c r="X33" s="112"/>
      <c r="Y33" s="112"/>
      <c r="Z33" s="112"/>
      <c r="AA33" s="204"/>
      <c r="AB33" s="204"/>
      <c r="AC33" s="204"/>
      <c r="AD33" s="200" t="n">
        <v>24.0422</v>
      </c>
      <c r="AE33" s="200" t="n">
        <v>75.5518</v>
      </c>
    </row>
    <row r="34" customFormat="false" ht="15.75" hidden="false" customHeight="false" outlineLevel="0" collapsed="false">
      <c r="A34" s="196" t="s">
        <v>415</v>
      </c>
      <c r="B34" s="196" t="s">
        <v>1452</v>
      </c>
      <c r="C34" s="197" t="s">
        <v>1490</v>
      </c>
      <c r="D34" s="196" t="s">
        <v>1504</v>
      </c>
      <c r="E34" s="196" t="s">
        <v>1505</v>
      </c>
      <c r="F34" s="196" t="n">
        <v>983.86</v>
      </c>
      <c r="G34" s="196" t="n">
        <v>180</v>
      </c>
      <c r="H34" s="196" t="n">
        <v>832</v>
      </c>
      <c r="I34" s="196" t="n">
        <v>418</v>
      </c>
      <c r="J34" s="196" t="n">
        <v>414</v>
      </c>
      <c r="K34" s="196" t="n">
        <v>192</v>
      </c>
      <c r="L34" s="112" t="n">
        <f aca="false">K34/H34*100</f>
        <v>23.0769230769231</v>
      </c>
      <c r="M34" s="196" t="n">
        <v>0</v>
      </c>
      <c r="N34" s="112" t="n">
        <f aca="false">M34/H34*100</f>
        <v>0</v>
      </c>
      <c r="O34" s="196" t="n">
        <v>0</v>
      </c>
      <c r="P34" s="196" t="n">
        <v>306.96</v>
      </c>
      <c r="Q34" s="200"/>
      <c r="R34" s="200" t="s">
        <v>1506</v>
      </c>
      <c r="S34" s="112"/>
      <c r="T34" s="200" t="n">
        <v>168.46</v>
      </c>
      <c r="U34" s="112"/>
      <c r="V34" s="112"/>
      <c r="W34" s="112"/>
      <c r="X34" s="112"/>
      <c r="Y34" s="112"/>
      <c r="Z34" s="112"/>
      <c r="AA34" s="200" t="s">
        <v>45</v>
      </c>
      <c r="AB34" s="200" t="n">
        <v>1.923</v>
      </c>
      <c r="AC34" s="204"/>
      <c r="AD34" s="200" t="n">
        <v>24.040301</v>
      </c>
      <c r="AE34" s="200" t="n">
        <v>75.98137</v>
      </c>
    </row>
    <row r="35" customFormat="false" ht="15.75" hidden="false" customHeight="false" outlineLevel="0" collapsed="false">
      <c r="A35" s="196" t="s">
        <v>415</v>
      </c>
      <c r="B35" s="196" t="s">
        <v>1452</v>
      </c>
      <c r="C35" s="197" t="s">
        <v>1490</v>
      </c>
      <c r="D35" s="196" t="s">
        <v>1507</v>
      </c>
      <c r="E35" s="196" t="s">
        <v>1508</v>
      </c>
      <c r="F35" s="196" t="n">
        <v>79.56</v>
      </c>
      <c r="G35" s="196" t="n">
        <v>87</v>
      </c>
      <c r="H35" s="196" t="n">
        <v>423</v>
      </c>
      <c r="I35" s="196" t="n">
        <v>212</v>
      </c>
      <c r="J35" s="196" t="n">
        <v>211</v>
      </c>
      <c r="K35" s="196" t="n">
        <v>23</v>
      </c>
      <c r="L35" s="112" t="n">
        <f aca="false">K35/H35*100</f>
        <v>5.43735224586288</v>
      </c>
      <c r="M35" s="196" t="n">
        <v>0</v>
      </c>
      <c r="N35" s="112" t="n">
        <f aca="false">M35/H35*100</f>
        <v>0</v>
      </c>
      <c r="O35" s="196" t="n">
        <v>3.15</v>
      </c>
      <c r="P35" s="196" t="n">
        <v>0</v>
      </c>
      <c r="Q35" s="200" t="s">
        <v>45</v>
      </c>
      <c r="R35" s="200" t="s">
        <v>1509</v>
      </c>
      <c r="S35" s="112"/>
      <c r="T35" s="200"/>
      <c r="U35" s="112"/>
      <c r="V35" s="112"/>
      <c r="W35" s="112"/>
      <c r="X35" s="112"/>
      <c r="Y35" s="112"/>
      <c r="Z35" s="112"/>
      <c r="AA35" s="200"/>
      <c r="AB35" s="200"/>
      <c r="AC35" s="204"/>
      <c r="AD35" s="200"/>
      <c r="AE35" s="200"/>
    </row>
    <row r="36" customFormat="false" ht="15.75" hidden="false" customHeight="false" outlineLevel="0" collapsed="false">
      <c r="A36" s="196" t="s">
        <v>415</v>
      </c>
      <c r="B36" s="196" t="s">
        <v>1452</v>
      </c>
      <c r="C36" s="197" t="s">
        <v>905</v>
      </c>
      <c r="D36" s="198" t="s">
        <v>1510</v>
      </c>
      <c r="E36" s="196"/>
      <c r="F36" s="196"/>
      <c r="G36" s="196"/>
      <c r="H36" s="196"/>
      <c r="I36" s="196"/>
      <c r="J36" s="196"/>
      <c r="K36" s="196"/>
      <c r="L36" s="112"/>
      <c r="M36" s="196"/>
      <c r="N36" s="112"/>
      <c r="O36" s="196"/>
      <c r="P36" s="196"/>
      <c r="Q36" s="201" t="s">
        <v>45</v>
      </c>
      <c r="R36" s="203" t="s">
        <v>1511</v>
      </c>
      <c r="S36" s="112"/>
      <c r="T36" s="203" t="n">
        <v>16</v>
      </c>
      <c r="U36" s="112"/>
      <c r="V36" s="112" t="s">
        <v>43</v>
      </c>
      <c r="W36" s="112" t="s">
        <v>43</v>
      </c>
      <c r="X36" s="112" t="s">
        <v>43</v>
      </c>
      <c r="Y36" s="112" t="s">
        <v>43</v>
      </c>
      <c r="Z36" s="112" t="s">
        <v>43</v>
      </c>
      <c r="AA36" s="203" t="s">
        <v>891</v>
      </c>
      <c r="AB36" s="203" t="n">
        <v>23</v>
      </c>
      <c r="AC36" s="204"/>
      <c r="AD36" s="201" t="n">
        <v>23.8956</v>
      </c>
      <c r="AE36" s="201" t="n">
        <v>75.8964</v>
      </c>
    </row>
    <row r="37" customFormat="false" ht="15.75" hidden="false" customHeight="false" outlineLevel="0" collapsed="false">
      <c r="A37" s="196" t="s">
        <v>415</v>
      </c>
      <c r="B37" s="196" t="s">
        <v>1452</v>
      </c>
      <c r="C37" s="197" t="s">
        <v>905</v>
      </c>
      <c r="D37" s="198" t="s">
        <v>1510</v>
      </c>
      <c r="E37" s="196" t="s">
        <v>1512</v>
      </c>
      <c r="F37" s="196" t="n">
        <v>846.44</v>
      </c>
      <c r="G37" s="196" t="n">
        <v>275</v>
      </c>
      <c r="H37" s="196" t="n">
        <v>1334</v>
      </c>
      <c r="I37" s="196" t="n">
        <v>705</v>
      </c>
      <c r="J37" s="196" t="n">
        <v>629</v>
      </c>
      <c r="K37" s="196" t="n">
        <v>200</v>
      </c>
      <c r="L37" s="112" t="n">
        <f aca="false">K37/H37*100</f>
        <v>14.9925037481259</v>
      </c>
      <c r="M37" s="196" t="n">
        <v>16</v>
      </c>
      <c r="N37" s="112" t="n">
        <f aca="false">M37/H37*100</f>
        <v>1.19940029985008</v>
      </c>
      <c r="O37" s="196" t="n">
        <v>111.5</v>
      </c>
      <c r="P37" s="196" t="n">
        <v>233.27</v>
      </c>
      <c r="Q37" s="200" t="s">
        <v>43</v>
      </c>
      <c r="R37" s="204" t="s">
        <v>1511</v>
      </c>
      <c r="S37" s="112"/>
      <c r="T37" s="204"/>
      <c r="U37" s="112"/>
      <c r="V37" s="112" t="s">
        <v>43</v>
      </c>
      <c r="W37" s="112"/>
      <c r="X37" s="112"/>
      <c r="Y37" s="112"/>
      <c r="Z37" s="112"/>
      <c r="AA37" s="204" t="s">
        <v>82</v>
      </c>
      <c r="AB37" s="204" t="n">
        <v>36</v>
      </c>
      <c r="AC37" s="204"/>
      <c r="AD37" s="209" t="n">
        <v>23.89942</v>
      </c>
      <c r="AE37" s="209" t="n">
        <v>75.89545</v>
      </c>
    </row>
    <row r="38" customFormat="false" ht="15.75" hidden="false" customHeight="false" outlineLevel="0" collapsed="false">
      <c r="A38" s="196" t="s">
        <v>415</v>
      </c>
      <c r="B38" s="196" t="s">
        <v>1452</v>
      </c>
      <c r="C38" s="197" t="s">
        <v>905</v>
      </c>
      <c r="D38" s="198" t="s">
        <v>1510</v>
      </c>
      <c r="E38" s="196"/>
      <c r="F38" s="196"/>
      <c r="G38" s="196"/>
      <c r="H38" s="196"/>
      <c r="I38" s="196"/>
      <c r="J38" s="196"/>
      <c r="K38" s="196"/>
      <c r="L38" s="112"/>
      <c r="M38" s="196"/>
      <c r="N38" s="112"/>
      <c r="O38" s="196"/>
      <c r="P38" s="196"/>
      <c r="Q38" s="209" t="s">
        <v>45</v>
      </c>
      <c r="R38" s="204" t="s">
        <v>1511</v>
      </c>
      <c r="S38" s="112"/>
      <c r="T38" s="204"/>
      <c r="U38" s="112"/>
      <c r="V38" s="112" t="s">
        <v>43</v>
      </c>
      <c r="W38" s="112"/>
      <c r="X38" s="112"/>
      <c r="Y38" s="112"/>
      <c r="Z38" s="112"/>
      <c r="AA38" s="206" t="s">
        <v>43</v>
      </c>
      <c r="AB38" s="204" t="n">
        <v>16</v>
      </c>
      <c r="AC38" s="204"/>
      <c r="AD38" s="209" t="n">
        <v>23.8956</v>
      </c>
      <c r="AE38" s="209" t="n">
        <v>75.8964</v>
      </c>
    </row>
    <row r="39" customFormat="false" ht="15.75" hidden="false" customHeight="false" outlineLevel="0" collapsed="false">
      <c r="A39" s="196" t="s">
        <v>415</v>
      </c>
      <c r="B39" s="196" t="s">
        <v>1452</v>
      </c>
      <c r="C39" s="197" t="s">
        <v>905</v>
      </c>
      <c r="D39" s="196" t="s">
        <v>1513</v>
      </c>
      <c r="E39" s="196" t="s">
        <v>1514</v>
      </c>
      <c r="F39" s="196" t="n">
        <v>569.53</v>
      </c>
      <c r="G39" s="196" t="n">
        <v>144</v>
      </c>
      <c r="H39" s="196" t="n">
        <v>697</v>
      </c>
      <c r="I39" s="196" t="n">
        <v>361</v>
      </c>
      <c r="J39" s="196" t="n">
        <v>336</v>
      </c>
      <c r="K39" s="196" t="n">
        <v>108</v>
      </c>
      <c r="L39" s="112" t="n">
        <f aca="false">K39/H39*100</f>
        <v>15.4949784791966</v>
      </c>
      <c r="M39" s="196" t="n">
        <v>0</v>
      </c>
      <c r="N39" s="112" t="n">
        <f aca="false">M39/H39*100</f>
        <v>0</v>
      </c>
      <c r="O39" s="196" t="n">
        <v>31.81</v>
      </c>
      <c r="P39" s="196" t="n">
        <v>147.26</v>
      </c>
      <c r="Q39" s="201" t="s">
        <v>150</v>
      </c>
      <c r="R39" s="203" t="s">
        <v>1511</v>
      </c>
      <c r="S39" s="112"/>
      <c r="T39" s="203" t="n">
        <v>6</v>
      </c>
      <c r="U39" s="112"/>
      <c r="V39" s="112" t="s">
        <v>43</v>
      </c>
      <c r="W39" s="112"/>
      <c r="X39" s="112"/>
      <c r="Y39" s="112"/>
      <c r="Z39" s="112"/>
      <c r="AA39" s="203" t="s">
        <v>891</v>
      </c>
      <c r="AB39" s="203" t="n">
        <v>8</v>
      </c>
      <c r="AC39" s="204"/>
      <c r="AD39" s="201" t="n">
        <v>23.8941</v>
      </c>
      <c r="AE39" s="201" t="n">
        <v>75.8837</v>
      </c>
    </row>
    <row r="40" customFormat="false" ht="15.75" hidden="false" customHeight="false" outlineLevel="0" collapsed="false">
      <c r="A40" s="196" t="s">
        <v>415</v>
      </c>
      <c r="B40" s="196" t="s">
        <v>1452</v>
      </c>
      <c r="C40" s="197" t="s">
        <v>905</v>
      </c>
      <c r="D40" s="196" t="s">
        <v>1513</v>
      </c>
      <c r="E40" s="204"/>
      <c r="F40" s="209"/>
      <c r="G40" s="196"/>
      <c r="H40" s="196"/>
      <c r="I40" s="196"/>
      <c r="J40" s="196"/>
      <c r="K40" s="196"/>
      <c r="L40" s="112"/>
      <c r="M40" s="196"/>
      <c r="N40" s="112"/>
      <c r="O40" s="196"/>
      <c r="P40" s="196"/>
      <c r="Q40" s="209" t="s">
        <v>150</v>
      </c>
      <c r="R40" s="204" t="s">
        <v>1511</v>
      </c>
      <c r="S40" s="112"/>
      <c r="T40" s="204"/>
      <c r="U40" s="112"/>
      <c r="V40" s="112" t="s">
        <v>43</v>
      </c>
      <c r="W40" s="112"/>
      <c r="X40" s="112"/>
      <c r="Y40" s="112"/>
      <c r="Z40" s="112"/>
      <c r="AA40" s="206" t="s">
        <v>43</v>
      </c>
      <c r="AB40" s="204" t="n">
        <v>6</v>
      </c>
      <c r="AC40" s="204"/>
      <c r="AD40" s="209" t="n">
        <v>23.8941</v>
      </c>
      <c r="AE40" s="209" t="n">
        <v>75.8864</v>
      </c>
    </row>
    <row r="41" customFormat="false" ht="15.75" hidden="false" customHeight="false" outlineLevel="0" collapsed="false">
      <c r="A41" s="196" t="s">
        <v>415</v>
      </c>
      <c r="B41" s="196" t="s">
        <v>1452</v>
      </c>
      <c r="C41" s="197" t="s">
        <v>905</v>
      </c>
      <c r="D41" s="196" t="s">
        <v>467</v>
      </c>
      <c r="E41" s="196" t="s">
        <v>1515</v>
      </c>
      <c r="F41" s="196" t="n">
        <v>934.88</v>
      </c>
      <c r="G41" s="196" t="n">
        <v>272</v>
      </c>
      <c r="H41" s="196" t="n">
        <v>1257</v>
      </c>
      <c r="I41" s="196" t="n">
        <v>654</v>
      </c>
      <c r="J41" s="196" t="n">
        <v>603</v>
      </c>
      <c r="K41" s="196" t="n">
        <v>172</v>
      </c>
      <c r="L41" s="112" t="n">
        <f aca="false">K41/H41*100</f>
        <v>13.6833731105808</v>
      </c>
      <c r="M41" s="196" t="n">
        <v>0</v>
      </c>
      <c r="N41" s="112" t="n">
        <f aca="false">M41/H41*100</f>
        <v>0</v>
      </c>
      <c r="O41" s="196" t="n">
        <v>10.12</v>
      </c>
      <c r="P41" s="196" t="n">
        <v>229.4</v>
      </c>
      <c r="Q41" s="201" t="s">
        <v>45</v>
      </c>
      <c r="R41" s="203" t="s">
        <v>1511</v>
      </c>
      <c r="S41" s="112"/>
      <c r="T41" s="203" t="n">
        <v>4</v>
      </c>
      <c r="U41" s="112"/>
      <c r="V41" s="112" t="s">
        <v>43</v>
      </c>
      <c r="W41" s="112"/>
      <c r="X41" s="112"/>
      <c r="Y41" s="112"/>
      <c r="Z41" s="112"/>
      <c r="AA41" s="203" t="s">
        <v>891</v>
      </c>
      <c r="AB41" s="203" t="n">
        <v>6</v>
      </c>
      <c r="AC41" s="204"/>
      <c r="AD41" s="201" t="n">
        <v>23.9136</v>
      </c>
      <c r="AE41" s="201" t="n">
        <v>75.9402</v>
      </c>
    </row>
    <row r="42" customFormat="false" ht="15.75" hidden="false" customHeight="false" outlineLevel="0" collapsed="false">
      <c r="A42" s="196" t="s">
        <v>415</v>
      </c>
      <c r="B42" s="196" t="s">
        <v>1452</v>
      </c>
      <c r="C42" s="197" t="s">
        <v>905</v>
      </c>
      <c r="D42" s="196" t="s">
        <v>467</v>
      </c>
      <c r="E42" s="204"/>
      <c r="F42" s="209"/>
      <c r="G42" s="196"/>
      <c r="H42" s="196"/>
      <c r="I42" s="196"/>
      <c r="J42" s="196"/>
      <c r="K42" s="196"/>
      <c r="L42" s="112"/>
      <c r="M42" s="196"/>
      <c r="N42" s="112"/>
      <c r="O42" s="196"/>
      <c r="P42" s="196"/>
      <c r="Q42" s="209" t="s">
        <v>45</v>
      </c>
      <c r="R42" s="204" t="s">
        <v>1511</v>
      </c>
      <c r="S42" s="112"/>
      <c r="T42" s="204"/>
      <c r="U42" s="112"/>
      <c r="V42" s="112" t="s">
        <v>43</v>
      </c>
      <c r="W42" s="112"/>
      <c r="X42" s="112"/>
      <c r="Y42" s="112"/>
      <c r="Z42" s="112"/>
      <c r="AA42" s="206" t="s">
        <v>43</v>
      </c>
      <c r="AB42" s="204" t="n">
        <v>4</v>
      </c>
      <c r="AC42" s="204"/>
      <c r="AD42" s="209" t="n">
        <v>23.9136</v>
      </c>
      <c r="AE42" s="209" t="n">
        <v>75.9402</v>
      </c>
    </row>
    <row r="43" customFormat="false" ht="15.75" hidden="false" customHeight="false" outlineLevel="0" collapsed="false">
      <c r="A43" s="196" t="s">
        <v>415</v>
      </c>
      <c r="B43" s="196" t="s">
        <v>1452</v>
      </c>
      <c r="C43" s="197" t="s">
        <v>905</v>
      </c>
      <c r="D43" s="196" t="s">
        <v>1516</v>
      </c>
      <c r="E43" s="196" t="s">
        <v>1517</v>
      </c>
      <c r="F43" s="196" t="n">
        <v>155.6</v>
      </c>
      <c r="G43" s="196" t="n">
        <v>43</v>
      </c>
      <c r="H43" s="196" t="n">
        <v>213</v>
      </c>
      <c r="I43" s="196" t="n">
        <v>105</v>
      </c>
      <c r="J43" s="196" t="n">
        <v>108</v>
      </c>
      <c r="K43" s="196" t="n">
        <v>22</v>
      </c>
      <c r="L43" s="112" t="n">
        <f aca="false">K43/H43*100</f>
        <v>10.3286384976526</v>
      </c>
      <c r="M43" s="196" t="n">
        <v>0</v>
      </c>
      <c r="N43" s="112" t="n">
        <f aca="false">M43/H43*100</f>
        <v>0</v>
      </c>
      <c r="O43" s="196" t="n">
        <v>15.17</v>
      </c>
      <c r="P43" s="196" t="n">
        <v>39.81</v>
      </c>
      <c r="Q43" s="201" t="s">
        <v>45</v>
      </c>
      <c r="R43" s="203" t="s">
        <v>1511</v>
      </c>
      <c r="S43" s="112"/>
      <c r="T43" s="203" t="n">
        <v>9</v>
      </c>
      <c r="U43" s="112"/>
      <c r="V43" s="112" t="s">
        <v>43</v>
      </c>
      <c r="W43" s="112"/>
      <c r="X43" s="112"/>
      <c r="Y43" s="112"/>
      <c r="Z43" s="112"/>
      <c r="AA43" s="203" t="s">
        <v>891</v>
      </c>
      <c r="AB43" s="203" t="n">
        <v>6</v>
      </c>
      <c r="AC43" s="204"/>
      <c r="AD43" s="201" t="n">
        <v>23.9253</v>
      </c>
      <c r="AE43" s="201" t="n">
        <v>75.9448</v>
      </c>
    </row>
    <row r="44" customFormat="false" ht="15.75" hidden="false" customHeight="false" outlineLevel="0" collapsed="false">
      <c r="A44" s="196" t="s">
        <v>415</v>
      </c>
      <c r="B44" s="196" t="s">
        <v>1452</v>
      </c>
      <c r="C44" s="197" t="s">
        <v>905</v>
      </c>
      <c r="D44" s="196" t="s">
        <v>1516</v>
      </c>
      <c r="E44" s="204"/>
      <c r="F44" s="209"/>
      <c r="G44" s="196"/>
      <c r="H44" s="196"/>
      <c r="I44" s="196"/>
      <c r="J44" s="196"/>
      <c r="K44" s="196"/>
      <c r="L44" s="112"/>
      <c r="M44" s="196"/>
      <c r="N44" s="112"/>
      <c r="O44" s="196"/>
      <c r="P44" s="196"/>
      <c r="Q44" s="209" t="s">
        <v>45</v>
      </c>
      <c r="R44" s="204" t="s">
        <v>1511</v>
      </c>
      <c r="S44" s="112"/>
      <c r="T44" s="204"/>
      <c r="U44" s="112"/>
      <c r="V44" s="112" t="s">
        <v>43</v>
      </c>
      <c r="W44" s="112"/>
      <c r="X44" s="112"/>
      <c r="Y44" s="112"/>
      <c r="Z44" s="112"/>
      <c r="AA44" s="206" t="s">
        <v>43</v>
      </c>
      <c r="AB44" s="204" t="n">
        <v>9</v>
      </c>
      <c r="AC44" s="204"/>
      <c r="AD44" s="209" t="n">
        <v>23.9253</v>
      </c>
      <c r="AE44" s="209" t="n">
        <v>75.9448</v>
      </c>
    </row>
    <row r="45" customFormat="false" ht="15.75" hidden="false" customHeight="false" outlineLevel="0" collapsed="false">
      <c r="A45" s="196" t="s">
        <v>415</v>
      </c>
      <c r="B45" s="196" t="s">
        <v>1452</v>
      </c>
      <c r="C45" s="197" t="s">
        <v>905</v>
      </c>
      <c r="D45" s="196" t="s">
        <v>1518</v>
      </c>
      <c r="E45" s="196" t="s">
        <v>1519</v>
      </c>
      <c r="F45" s="196" t="n">
        <v>184.95</v>
      </c>
      <c r="G45" s="196" t="n">
        <v>54</v>
      </c>
      <c r="H45" s="196" t="n">
        <v>237</v>
      </c>
      <c r="I45" s="196" t="n">
        <v>124</v>
      </c>
      <c r="J45" s="196" t="n">
        <v>113</v>
      </c>
      <c r="K45" s="196" t="n">
        <v>151</v>
      </c>
      <c r="L45" s="112" t="n">
        <f aca="false">K45/H45*100</f>
        <v>63.7130801687764</v>
      </c>
      <c r="M45" s="196" t="n">
        <v>0</v>
      </c>
      <c r="N45" s="112" t="n">
        <f aca="false">M45/H45*100</f>
        <v>0</v>
      </c>
      <c r="O45" s="196" t="n">
        <v>15.68</v>
      </c>
      <c r="P45" s="196" t="n">
        <v>37.33</v>
      </c>
      <c r="Q45" s="201" t="s">
        <v>45</v>
      </c>
      <c r="R45" s="203" t="s">
        <v>1511</v>
      </c>
      <c r="S45" s="112"/>
      <c r="T45" s="203" t="n">
        <v>10</v>
      </c>
      <c r="U45" s="112"/>
      <c r="V45" s="112" t="s">
        <v>43</v>
      </c>
      <c r="W45" s="112"/>
      <c r="X45" s="112"/>
      <c r="Y45" s="112"/>
      <c r="Z45" s="112"/>
      <c r="AA45" s="203" t="s">
        <v>891</v>
      </c>
      <c r="AB45" s="203" t="n">
        <v>5</v>
      </c>
      <c r="AC45" s="204"/>
      <c r="AD45" s="201" t="n">
        <v>23.9257</v>
      </c>
      <c r="AE45" s="201" t="n">
        <v>75.8825</v>
      </c>
    </row>
    <row r="46" customFormat="false" ht="15.75" hidden="false" customHeight="false" outlineLevel="0" collapsed="false">
      <c r="A46" s="196" t="s">
        <v>415</v>
      </c>
      <c r="B46" s="196" t="s">
        <v>1452</v>
      </c>
      <c r="C46" s="197" t="s">
        <v>905</v>
      </c>
      <c r="D46" s="196" t="s">
        <v>1518</v>
      </c>
      <c r="E46" s="204"/>
      <c r="F46" s="209"/>
      <c r="G46" s="196"/>
      <c r="H46" s="196"/>
      <c r="I46" s="196"/>
      <c r="J46" s="196"/>
      <c r="K46" s="196"/>
      <c r="L46" s="112"/>
      <c r="M46" s="196"/>
      <c r="N46" s="112"/>
      <c r="O46" s="196"/>
      <c r="P46" s="196"/>
      <c r="Q46" s="209" t="s">
        <v>45</v>
      </c>
      <c r="R46" s="204" t="s">
        <v>1511</v>
      </c>
      <c r="S46" s="112"/>
      <c r="T46" s="204"/>
      <c r="U46" s="112"/>
      <c r="V46" s="112" t="s">
        <v>43</v>
      </c>
      <c r="W46" s="112"/>
      <c r="X46" s="112"/>
      <c r="Y46" s="112"/>
      <c r="Z46" s="112"/>
      <c r="AA46" s="206" t="s">
        <v>43</v>
      </c>
      <c r="AB46" s="204" t="n">
        <v>10</v>
      </c>
      <c r="AC46" s="204"/>
      <c r="AD46" s="209" t="n">
        <v>23.9257</v>
      </c>
      <c r="AE46" s="209" t="n">
        <v>75.8825</v>
      </c>
    </row>
    <row r="47" customFormat="false" ht="15.75" hidden="false" customHeight="false" outlineLevel="0" collapsed="false">
      <c r="A47" s="196" t="s">
        <v>415</v>
      </c>
      <c r="B47" s="196" t="s">
        <v>1452</v>
      </c>
      <c r="C47" s="197" t="s">
        <v>905</v>
      </c>
      <c r="D47" s="196" t="s">
        <v>1520</v>
      </c>
      <c r="E47" s="196" t="s">
        <v>1521</v>
      </c>
      <c r="F47" s="196" t="n">
        <v>550.87</v>
      </c>
      <c r="G47" s="196" t="n">
        <v>104</v>
      </c>
      <c r="H47" s="196" t="n">
        <v>532</v>
      </c>
      <c r="I47" s="196" t="n">
        <v>275</v>
      </c>
      <c r="J47" s="196" t="n">
        <v>257</v>
      </c>
      <c r="K47" s="196" t="n">
        <v>184</v>
      </c>
      <c r="L47" s="112" t="n">
        <f aca="false">K47/H47*100</f>
        <v>34.5864661654135</v>
      </c>
      <c r="M47" s="196" t="n">
        <v>0</v>
      </c>
      <c r="N47" s="112" t="n">
        <f aca="false">M47/H47*100</f>
        <v>0</v>
      </c>
      <c r="O47" s="196" t="n">
        <v>31.21</v>
      </c>
      <c r="P47" s="196" t="n">
        <v>237.99</v>
      </c>
      <c r="Q47" s="201" t="s">
        <v>45</v>
      </c>
      <c r="R47" s="203" t="s">
        <v>1511</v>
      </c>
      <c r="S47" s="112"/>
      <c r="T47" s="203" t="n">
        <v>15</v>
      </c>
      <c r="U47" s="112"/>
      <c r="V47" s="112" t="s">
        <v>43</v>
      </c>
      <c r="W47" s="112"/>
      <c r="X47" s="112"/>
      <c r="Y47" s="112"/>
      <c r="Z47" s="112"/>
      <c r="AA47" s="203" t="s">
        <v>891</v>
      </c>
      <c r="AB47" s="203" t="n">
        <v>7</v>
      </c>
      <c r="AC47" s="204"/>
      <c r="AD47" s="201" t="n">
        <v>23.9116</v>
      </c>
      <c r="AE47" s="201" t="n">
        <v>75.9012</v>
      </c>
    </row>
    <row r="48" customFormat="false" ht="15.75" hidden="false" customHeight="false" outlineLevel="0" collapsed="false">
      <c r="A48" s="196" t="s">
        <v>415</v>
      </c>
      <c r="B48" s="196" t="s">
        <v>1452</v>
      </c>
      <c r="C48" s="197" t="s">
        <v>905</v>
      </c>
      <c r="D48" s="196" t="s">
        <v>1520</v>
      </c>
      <c r="E48" s="204"/>
      <c r="F48" s="209"/>
      <c r="G48" s="196"/>
      <c r="H48" s="196"/>
      <c r="I48" s="196"/>
      <c r="J48" s="196"/>
      <c r="K48" s="196"/>
      <c r="L48" s="112"/>
      <c r="M48" s="196"/>
      <c r="N48" s="112"/>
      <c r="O48" s="196"/>
      <c r="P48" s="196"/>
      <c r="Q48" s="209" t="s">
        <v>45</v>
      </c>
      <c r="R48" s="204" t="s">
        <v>1511</v>
      </c>
      <c r="S48" s="112"/>
      <c r="T48" s="204"/>
      <c r="U48" s="112"/>
      <c r="V48" s="112" t="s">
        <v>43</v>
      </c>
      <c r="W48" s="112"/>
      <c r="X48" s="112"/>
      <c r="Y48" s="112"/>
      <c r="Z48" s="112"/>
      <c r="AA48" s="206" t="s">
        <v>43</v>
      </c>
      <c r="AB48" s="204" t="n">
        <v>15</v>
      </c>
      <c r="AC48" s="204"/>
      <c r="AD48" s="209" t="n">
        <v>23.9116</v>
      </c>
      <c r="AE48" s="209" t="n">
        <v>75.9012</v>
      </c>
    </row>
    <row r="49" customFormat="false" ht="15.75" hidden="false" customHeight="false" outlineLevel="0" collapsed="false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112"/>
      <c r="M49" s="204"/>
      <c r="N49" s="112"/>
      <c r="O49" s="204"/>
      <c r="P49" s="204"/>
      <c r="Q49" s="204"/>
      <c r="R49" s="204"/>
      <c r="S49" s="112"/>
      <c r="T49" s="204"/>
      <c r="U49" s="112"/>
      <c r="V49" s="112"/>
      <c r="W49" s="112"/>
      <c r="X49" s="112"/>
      <c r="Y49" s="112"/>
      <c r="Z49" s="112"/>
      <c r="AA49" s="204"/>
      <c r="AB49" s="204"/>
      <c r="AC49" s="204"/>
      <c r="AD49" s="204"/>
      <c r="AE49" s="204"/>
    </row>
    <row r="50" customFormat="false" ht="15.75" hidden="false" customHeight="false" outlineLevel="0" collapsed="false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112"/>
      <c r="M50" s="204"/>
      <c r="N50" s="112"/>
      <c r="O50" s="204"/>
      <c r="P50" s="204"/>
      <c r="Q50" s="204"/>
      <c r="R50" s="204"/>
      <c r="S50" s="112"/>
      <c r="T50" s="204"/>
      <c r="U50" s="112"/>
      <c r="V50" s="112"/>
      <c r="W50" s="112"/>
      <c r="X50" s="112"/>
      <c r="Y50" s="112"/>
      <c r="Z50" s="112"/>
      <c r="AA50" s="204"/>
      <c r="AB50" s="204"/>
      <c r="AC50" s="204"/>
      <c r="AD50" s="204"/>
      <c r="AE50" s="204"/>
    </row>
    <row r="51" customFormat="false" ht="15.75" hidden="false" customHeight="false" outlineLevel="0" collapsed="false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112"/>
      <c r="M51" s="204"/>
      <c r="N51" s="112"/>
      <c r="O51" s="204"/>
      <c r="P51" s="204"/>
      <c r="Q51" s="204"/>
      <c r="R51" s="204"/>
      <c r="S51" s="112"/>
      <c r="T51" s="204"/>
      <c r="U51" s="112"/>
      <c r="V51" s="112"/>
      <c r="W51" s="112"/>
      <c r="X51" s="112"/>
      <c r="Y51" s="112"/>
      <c r="Z51" s="112"/>
      <c r="AA51" s="204"/>
      <c r="AB51" s="204"/>
      <c r="AC51" s="204"/>
      <c r="AD51" s="204"/>
      <c r="AE51" s="204"/>
    </row>
    <row r="52" customFormat="false" ht="15.75" hidden="false" customHeight="false" outlineLevel="0" collapsed="false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112"/>
      <c r="M52" s="204"/>
      <c r="N52" s="112"/>
      <c r="O52" s="204"/>
      <c r="P52" s="204"/>
      <c r="Q52" s="204"/>
      <c r="R52" s="204"/>
      <c r="S52" s="112"/>
      <c r="T52" s="204"/>
      <c r="U52" s="112"/>
      <c r="V52" s="112"/>
      <c r="W52" s="112"/>
      <c r="X52" s="112"/>
      <c r="Y52" s="112"/>
      <c r="Z52" s="112"/>
      <c r="AA52" s="204"/>
      <c r="AB52" s="204"/>
      <c r="AC52" s="204"/>
      <c r="AD52" s="204"/>
      <c r="AE52" s="204"/>
    </row>
    <row r="53" customFormat="false" ht="15.75" hidden="false" customHeight="false" outlineLevel="0" collapsed="false">
      <c r="A53" s="196" t="s">
        <v>415</v>
      </c>
      <c r="B53" s="196" t="s">
        <v>1452</v>
      </c>
      <c r="C53" s="204" t="s">
        <v>1522</v>
      </c>
      <c r="D53" s="210" t="s">
        <v>1522</v>
      </c>
      <c r="E53" s="204"/>
      <c r="F53" s="204"/>
      <c r="G53" s="196" t="n">
        <v>335</v>
      </c>
      <c r="H53" s="196" t="n">
        <v>1387</v>
      </c>
      <c r="I53" s="196" t="n">
        <v>729</v>
      </c>
      <c r="J53" s="196" t="n">
        <v>658</v>
      </c>
      <c r="K53" s="196" t="n">
        <v>247</v>
      </c>
      <c r="L53" s="112" t="n">
        <f aca="false">K53/H53*100</f>
        <v>17.8082191780822</v>
      </c>
      <c r="M53" s="196" t="n">
        <v>0</v>
      </c>
      <c r="N53" s="112" t="n">
        <f aca="false">M53/H53*100</f>
        <v>0</v>
      </c>
      <c r="O53" s="196" t="n">
        <v>95.03</v>
      </c>
      <c r="P53" s="196" t="n">
        <v>87.09</v>
      </c>
      <c r="Q53" s="200" t="s">
        <v>45</v>
      </c>
      <c r="R53" s="200" t="s">
        <v>1523</v>
      </c>
      <c r="S53" s="112"/>
      <c r="T53" s="200" t="n">
        <v>96.42</v>
      </c>
      <c r="U53" s="112"/>
      <c r="V53" s="112"/>
      <c r="W53" s="112"/>
      <c r="X53" s="112"/>
      <c r="Y53" s="112"/>
      <c r="Z53" s="112"/>
      <c r="AA53" s="200" t="s">
        <v>45</v>
      </c>
      <c r="AB53" s="200" t="n">
        <v>4</v>
      </c>
      <c r="AC53" s="200" t="s">
        <v>859</v>
      </c>
      <c r="AD53" s="200" t="n">
        <v>23.933491</v>
      </c>
      <c r="AE53" s="200" t="n">
        <v>75.926066</v>
      </c>
    </row>
    <row r="54" customFormat="false" ht="15.75" hidden="false" customHeight="false" outlineLevel="0" collapsed="false">
      <c r="A54" s="196" t="s">
        <v>415</v>
      </c>
      <c r="B54" s="196" t="s">
        <v>1452</v>
      </c>
      <c r="C54" s="204" t="s">
        <v>1522</v>
      </c>
      <c r="D54" s="210" t="s">
        <v>1522</v>
      </c>
      <c r="E54" s="204"/>
      <c r="F54" s="204"/>
      <c r="G54" s="196"/>
      <c r="H54" s="196"/>
      <c r="I54" s="196"/>
      <c r="J54" s="196"/>
      <c r="K54" s="196"/>
      <c r="L54" s="112"/>
      <c r="M54" s="196"/>
      <c r="N54" s="112"/>
      <c r="O54" s="196"/>
      <c r="P54" s="196"/>
      <c r="Q54" s="200" t="s">
        <v>43</v>
      </c>
      <c r="R54" s="200" t="s">
        <v>1523</v>
      </c>
      <c r="S54" s="112"/>
      <c r="T54" s="204"/>
      <c r="U54" s="112"/>
      <c r="V54" s="112"/>
      <c r="W54" s="112"/>
      <c r="X54" s="112"/>
      <c r="Y54" s="112"/>
      <c r="Z54" s="112"/>
      <c r="AA54" s="200" t="s">
        <v>82</v>
      </c>
      <c r="AB54" s="211" t="n">
        <v>43</v>
      </c>
      <c r="AC54" s="200" t="s">
        <v>859</v>
      </c>
      <c r="AD54" s="200" t="n">
        <v>23.947525</v>
      </c>
      <c r="AE54" s="200" t="n">
        <v>75.912172</v>
      </c>
    </row>
    <row r="55" customFormat="false" ht="15.75" hidden="false" customHeight="false" outlineLevel="0" collapsed="false">
      <c r="A55" s="196" t="s">
        <v>415</v>
      </c>
      <c r="B55" s="196" t="s">
        <v>1452</v>
      </c>
      <c r="C55" s="197" t="s">
        <v>1524</v>
      </c>
      <c r="D55" s="196" t="s">
        <v>1525</v>
      </c>
      <c r="E55" s="196" t="s">
        <v>1526</v>
      </c>
      <c r="F55" s="196" t="n">
        <v>364.81</v>
      </c>
      <c r="G55" s="196" t="n">
        <v>63</v>
      </c>
      <c r="H55" s="196" t="n">
        <v>312</v>
      </c>
      <c r="I55" s="196" t="n">
        <v>154</v>
      </c>
      <c r="J55" s="196" t="n">
        <v>158</v>
      </c>
      <c r="K55" s="196" t="n">
        <v>74</v>
      </c>
      <c r="L55" s="112" t="n">
        <f aca="false">K55/H55*100</f>
        <v>23.7179487179487</v>
      </c>
      <c r="M55" s="196" t="n">
        <v>0</v>
      </c>
      <c r="N55" s="112" t="n">
        <f aca="false">M55/H55*100</f>
        <v>0</v>
      </c>
      <c r="O55" s="196" t="n">
        <v>17.42</v>
      </c>
      <c r="P55" s="196" t="n">
        <v>118.34</v>
      </c>
      <c r="Q55" s="200" t="s">
        <v>45</v>
      </c>
      <c r="R55" s="200" t="s">
        <v>420</v>
      </c>
      <c r="S55" s="112"/>
      <c r="T55" s="200" t="n">
        <v>17.42</v>
      </c>
      <c r="U55" s="112"/>
      <c r="V55" s="112"/>
      <c r="W55" s="112"/>
      <c r="X55" s="112"/>
      <c r="Y55" s="112"/>
      <c r="Z55" s="112"/>
      <c r="AA55" s="200" t="s">
        <v>45</v>
      </c>
      <c r="AB55" s="200" t="n">
        <v>4</v>
      </c>
      <c r="AC55" s="200" t="s">
        <v>859</v>
      </c>
      <c r="AD55" s="200" t="n">
        <v>23.938851</v>
      </c>
      <c r="AE55" s="200" t="n">
        <v>75.962278</v>
      </c>
    </row>
    <row r="56" customFormat="false" ht="15.75" hidden="false" customHeight="false" outlineLevel="0" collapsed="false">
      <c r="A56" s="196" t="s">
        <v>415</v>
      </c>
      <c r="B56" s="196" t="s">
        <v>1452</v>
      </c>
      <c r="C56" s="197" t="s">
        <v>1524</v>
      </c>
      <c r="D56" s="196" t="s">
        <v>1527</v>
      </c>
      <c r="E56" s="196" t="s">
        <v>1528</v>
      </c>
      <c r="F56" s="196" t="n">
        <v>394.71</v>
      </c>
      <c r="G56" s="196" t="n">
        <v>108</v>
      </c>
      <c r="H56" s="196" t="n">
        <v>530</v>
      </c>
      <c r="I56" s="196" t="n">
        <v>288</v>
      </c>
      <c r="J56" s="196" t="n">
        <v>242</v>
      </c>
      <c r="K56" s="196" t="n">
        <v>37</v>
      </c>
      <c r="L56" s="112" t="n">
        <f aca="false">K56/H56*100</f>
        <v>6.9811320754717</v>
      </c>
      <c r="M56" s="196" t="n">
        <v>0</v>
      </c>
      <c r="N56" s="112" t="n">
        <f aca="false">M56/H56*100</f>
        <v>0</v>
      </c>
      <c r="O56" s="196" t="n">
        <v>42.42</v>
      </c>
      <c r="P56" s="196" t="n">
        <v>143.91</v>
      </c>
      <c r="Q56" s="200" t="s">
        <v>45</v>
      </c>
      <c r="R56" s="200" t="s">
        <v>436</v>
      </c>
      <c r="S56" s="112"/>
      <c r="T56" s="200" t="n">
        <v>42.44</v>
      </c>
      <c r="U56" s="112"/>
      <c r="V56" s="112"/>
      <c r="W56" s="112"/>
      <c r="X56" s="112"/>
      <c r="Y56" s="112"/>
      <c r="Z56" s="112"/>
      <c r="AA56" s="200" t="s">
        <v>45</v>
      </c>
      <c r="AB56" s="200" t="n">
        <v>4</v>
      </c>
      <c r="AC56" s="200" t="s">
        <v>859</v>
      </c>
      <c r="AD56" s="200" t="n">
        <v>23.96523</v>
      </c>
      <c r="AE56" s="200" t="n">
        <v>75.926173</v>
      </c>
    </row>
    <row r="57" customFormat="false" ht="15.75" hidden="false" customHeight="false" outlineLevel="0" collapsed="false">
      <c r="A57" s="196" t="s">
        <v>415</v>
      </c>
      <c r="B57" s="196" t="s">
        <v>1452</v>
      </c>
      <c r="C57" s="197" t="s">
        <v>1524</v>
      </c>
      <c r="D57" s="196" t="s">
        <v>1529</v>
      </c>
      <c r="E57" s="196" t="s">
        <v>1530</v>
      </c>
      <c r="F57" s="196" t="n">
        <v>549.99</v>
      </c>
      <c r="G57" s="196" t="n">
        <v>157</v>
      </c>
      <c r="H57" s="196" t="n">
        <v>674</v>
      </c>
      <c r="I57" s="196" t="n">
        <v>345</v>
      </c>
      <c r="J57" s="196" t="n">
        <v>329</v>
      </c>
      <c r="K57" s="196" t="n">
        <v>199</v>
      </c>
      <c r="L57" s="112" t="n">
        <f aca="false">K57/H57*100</f>
        <v>29.5252225519288</v>
      </c>
      <c r="M57" s="196" t="n">
        <v>0</v>
      </c>
      <c r="N57" s="112" t="n">
        <f aca="false">M57/H57*100</f>
        <v>0</v>
      </c>
      <c r="O57" s="196" t="n">
        <v>34.32</v>
      </c>
      <c r="P57" s="196" t="n">
        <v>189.88</v>
      </c>
      <c r="Q57" s="200" t="s">
        <v>45</v>
      </c>
      <c r="R57" s="200" t="s">
        <v>1531</v>
      </c>
      <c r="S57" s="112"/>
      <c r="T57" s="200" t="n">
        <v>35.97</v>
      </c>
      <c r="U57" s="112"/>
      <c r="V57" s="112"/>
      <c r="W57" s="112"/>
      <c r="X57" s="112"/>
      <c r="Y57" s="112"/>
      <c r="Z57" s="112"/>
      <c r="AA57" s="200" t="s">
        <v>45</v>
      </c>
      <c r="AB57" s="200" t="n">
        <v>4</v>
      </c>
      <c r="AC57" s="200" t="s">
        <v>859</v>
      </c>
      <c r="AD57" s="200" t="n">
        <v>23.960347</v>
      </c>
      <c r="AE57" s="200" t="n">
        <v>75.89715</v>
      </c>
    </row>
    <row r="58" customFormat="false" ht="15.75" hidden="false" customHeight="false" outlineLevel="0" collapsed="false">
      <c r="A58" s="196" t="s">
        <v>415</v>
      </c>
      <c r="B58" s="196" t="s">
        <v>1452</v>
      </c>
      <c r="C58" s="197" t="s">
        <v>1524</v>
      </c>
      <c r="D58" s="196" t="s">
        <v>1529</v>
      </c>
      <c r="E58" s="196"/>
      <c r="F58" s="196"/>
      <c r="G58" s="196"/>
      <c r="H58" s="196"/>
      <c r="I58" s="196"/>
      <c r="J58" s="196"/>
      <c r="K58" s="196"/>
      <c r="L58" s="112"/>
      <c r="M58" s="196"/>
      <c r="N58" s="112"/>
      <c r="O58" s="196"/>
      <c r="P58" s="196"/>
      <c r="Q58" s="200" t="s">
        <v>43</v>
      </c>
      <c r="R58" s="200" t="s">
        <v>1531</v>
      </c>
      <c r="S58" s="112"/>
      <c r="T58" s="204"/>
      <c r="U58" s="112"/>
      <c r="V58" s="112"/>
      <c r="W58" s="112"/>
      <c r="X58" s="112"/>
      <c r="Y58" s="112"/>
      <c r="Z58" s="112"/>
      <c r="AA58" s="200" t="s">
        <v>82</v>
      </c>
      <c r="AB58" s="211" t="n">
        <v>15</v>
      </c>
      <c r="AC58" s="200" t="s">
        <v>859</v>
      </c>
      <c r="AD58" s="200" t="n">
        <v>23.953695</v>
      </c>
      <c r="AE58" s="200" t="n">
        <v>75.901727</v>
      </c>
    </row>
    <row r="59" customFormat="false" ht="15.75" hidden="false" customHeight="false" outlineLevel="0" collapsed="false">
      <c r="A59" s="196" t="s">
        <v>415</v>
      </c>
      <c r="B59" s="196" t="s">
        <v>1452</v>
      </c>
      <c r="C59" s="197" t="s">
        <v>1524</v>
      </c>
      <c r="D59" s="196" t="s">
        <v>1532</v>
      </c>
      <c r="E59" s="196" t="s">
        <v>1533</v>
      </c>
      <c r="F59" s="196" t="n">
        <v>872.58</v>
      </c>
      <c r="G59" s="196" t="n">
        <v>214</v>
      </c>
      <c r="H59" s="196" t="n">
        <v>1061</v>
      </c>
      <c r="I59" s="196" t="n">
        <v>552</v>
      </c>
      <c r="J59" s="196" t="n">
        <v>509</v>
      </c>
      <c r="K59" s="196" t="n">
        <v>146</v>
      </c>
      <c r="L59" s="112" t="n">
        <f aca="false">K59/H59*100</f>
        <v>13.760603204524</v>
      </c>
      <c r="M59" s="196" t="n">
        <v>1</v>
      </c>
      <c r="N59" s="112" t="n">
        <f aca="false">M59/H59*100</f>
        <v>0.0942507068803016</v>
      </c>
      <c r="O59" s="196" t="n">
        <v>56.75</v>
      </c>
      <c r="P59" s="196" t="n">
        <v>374.71</v>
      </c>
      <c r="Q59" s="200" t="s">
        <v>45</v>
      </c>
      <c r="R59" s="200" t="s">
        <v>1493</v>
      </c>
      <c r="S59" s="112"/>
      <c r="T59" s="200" t="n">
        <v>56.76</v>
      </c>
      <c r="U59" s="112"/>
      <c r="V59" s="112"/>
      <c r="W59" s="112"/>
      <c r="X59" s="112"/>
      <c r="Y59" s="112"/>
      <c r="Z59" s="112"/>
      <c r="AA59" s="200" t="s">
        <v>45</v>
      </c>
      <c r="AB59" s="200" t="n">
        <v>4</v>
      </c>
      <c r="AC59" s="200" t="s">
        <v>859</v>
      </c>
      <c r="AD59" s="200" t="n">
        <v>23.950402</v>
      </c>
      <c r="AE59" s="200" t="n">
        <v>75.92396</v>
      </c>
    </row>
    <row r="60" customFormat="false" ht="15.75" hidden="false" customHeight="false" outlineLevel="0" collapsed="false">
      <c r="A60" s="196" t="s">
        <v>415</v>
      </c>
      <c r="B60" s="196" t="s">
        <v>1452</v>
      </c>
      <c r="C60" s="197" t="s">
        <v>1524</v>
      </c>
      <c r="D60" s="196" t="s">
        <v>1534</v>
      </c>
      <c r="E60" s="196" t="s">
        <v>1535</v>
      </c>
      <c r="F60" s="196" t="n">
        <v>425.7</v>
      </c>
      <c r="G60" s="196" t="n">
        <v>69</v>
      </c>
      <c r="H60" s="196" t="n">
        <v>333</v>
      </c>
      <c r="I60" s="196" t="n">
        <v>175</v>
      </c>
      <c r="J60" s="196" t="n">
        <v>158</v>
      </c>
      <c r="K60" s="196" t="n">
        <v>38</v>
      </c>
      <c r="L60" s="112" t="n">
        <f aca="false">K60/H60*100</f>
        <v>11.4114114114114</v>
      </c>
      <c r="M60" s="196" t="n">
        <v>1</v>
      </c>
      <c r="N60" s="112" t="n">
        <f aca="false">M60/H60*100</f>
        <v>0.3003003003003</v>
      </c>
      <c r="O60" s="196" t="n">
        <v>30.97</v>
      </c>
      <c r="P60" s="196" t="n">
        <v>0</v>
      </c>
      <c r="Q60" s="200" t="s">
        <v>45</v>
      </c>
      <c r="R60" s="200" t="s">
        <v>1503</v>
      </c>
      <c r="S60" s="112"/>
      <c r="T60" s="200" t="n">
        <v>32.77</v>
      </c>
      <c r="U60" s="112"/>
      <c r="V60" s="112"/>
      <c r="W60" s="112"/>
      <c r="X60" s="112"/>
      <c r="Y60" s="112"/>
      <c r="Z60" s="112"/>
      <c r="AA60" s="200" t="s">
        <v>45</v>
      </c>
      <c r="AB60" s="200" t="n">
        <v>4</v>
      </c>
      <c r="AC60" s="200" t="s">
        <v>859</v>
      </c>
      <c r="AD60" s="200" t="n">
        <v>23.961972</v>
      </c>
      <c r="AE60" s="200" t="n">
        <v>75.978073</v>
      </c>
    </row>
    <row r="61" customFormat="false" ht="15.75" hidden="false" customHeight="false" outlineLevel="0" collapsed="false">
      <c r="A61" s="196" t="s">
        <v>415</v>
      </c>
      <c r="B61" s="196" t="s">
        <v>1452</v>
      </c>
      <c r="C61" s="197" t="s">
        <v>1536</v>
      </c>
      <c r="D61" s="198" t="s">
        <v>1380</v>
      </c>
      <c r="E61" s="196" t="s">
        <v>1537</v>
      </c>
      <c r="F61" s="196" t="n">
        <v>986.62</v>
      </c>
      <c r="G61" s="196" t="n">
        <v>495</v>
      </c>
      <c r="H61" s="196" t="n">
        <v>2388</v>
      </c>
      <c r="I61" s="196" t="n">
        <v>1190</v>
      </c>
      <c r="J61" s="196" t="n">
        <v>1198</v>
      </c>
      <c r="K61" s="196" t="n">
        <v>675</v>
      </c>
      <c r="L61" s="112" t="n">
        <f aca="false">K61/H61*100</f>
        <v>28.2663316582915</v>
      </c>
      <c r="M61" s="196" t="n">
        <v>48</v>
      </c>
      <c r="N61" s="112" t="n">
        <f aca="false">M61/H61*100</f>
        <v>2.01005025125628</v>
      </c>
      <c r="O61" s="196" t="n">
        <v>88.18</v>
      </c>
      <c r="P61" s="196" t="n">
        <v>58.74</v>
      </c>
      <c r="Q61" s="200" t="s">
        <v>43</v>
      </c>
      <c r="R61" s="200" t="s">
        <v>1538</v>
      </c>
      <c r="S61" s="112"/>
      <c r="T61" s="200" t="n">
        <v>88.1834</v>
      </c>
      <c r="U61" s="112"/>
      <c r="V61" s="112" t="s">
        <v>43</v>
      </c>
      <c r="W61" s="112"/>
      <c r="X61" s="112"/>
      <c r="Y61" s="112"/>
      <c r="Z61" s="112"/>
      <c r="AA61" s="200" t="s">
        <v>82</v>
      </c>
      <c r="AB61" s="200" t="n">
        <v>27.9612</v>
      </c>
      <c r="AC61" s="200" t="s">
        <v>859</v>
      </c>
      <c r="AD61" s="200" t="n">
        <v>23.866669</v>
      </c>
      <c r="AE61" s="200" t="n">
        <v>75.791386</v>
      </c>
    </row>
    <row r="62" customFormat="false" ht="15.75" hidden="false" customHeight="false" outlineLevel="0" collapsed="false">
      <c r="A62" s="196" t="s">
        <v>415</v>
      </c>
      <c r="B62" s="196" t="s">
        <v>1452</v>
      </c>
      <c r="C62" s="197" t="s">
        <v>1536</v>
      </c>
      <c r="D62" s="198" t="s">
        <v>1380</v>
      </c>
      <c r="E62" s="196"/>
      <c r="F62" s="196"/>
      <c r="G62" s="196"/>
      <c r="H62" s="196"/>
      <c r="I62" s="196"/>
      <c r="J62" s="196"/>
      <c r="K62" s="196"/>
      <c r="L62" s="112"/>
      <c r="M62" s="196"/>
      <c r="N62" s="112"/>
      <c r="O62" s="196"/>
      <c r="P62" s="196"/>
      <c r="Q62" s="200" t="s">
        <v>43</v>
      </c>
      <c r="R62" s="200" t="s">
        <v>1538</v>
      </c>
      <c r="S62" s="112"/>
      <c r="T62" s="200"/>
      <c r="U62" s="112"/>
      <c r="V62" s="112"/>
      <c r="W62" s="112"/>
      <c r="X62" s="112"/>
      <c r="Y62" s="112"/>
      <c r="Z62" s="112"/>
      <c r="AA62" s="200" t="s">
        <v>82</v>
      </c>
      <c r="AB62" s="200" t="n">
        <v>31.1607</v>
      </c>
      <c r="AC62" s="200" t="s">
        <v>859</v>
      </c>
      <c r="AD62" s="200"/>
      <c r="AE62" s="200"/>
    </row>
    <row r="63" customFormat="false" ht="15.75" hidden="false" customHeight="false" outlineLevel="0" collapsed="false">
      <c r="A63" s="196" t="s">
        <v>415</v>
      </c>
      <c r="B63" s="196" t="s">
        <v>1452</v>
      </c>
      <c r="C63" s="197" t="s">
        <v>1536</v>
      </c>
      <c r="D63" s="198" t="s">
        <v>1380</v>
      </c>
      <c r="E63" s="196"/>
      <c r="F63" s="196"/>
      <c r="G63" s="196"/>
      <c r="H63" s="196"/>
      <c r="I63" s="196"/>
      <c r="J63" s="196"/>
      <c r="K63" s="196"/>
      <c r="L63" s="112"/>
      <c r="M63" s="196"/>
      <c r="N63" s="112"/>
      <c r="O63" s="196"/>
      <c r="P63" s="196"/>
      <c r="Q63" s="200" t="s">
        <v>43</v>
      </c>
      <c r="R63" s="200" t="s">
        <v>1538</v>
      </c>
      <c r="S63" s="112"/>
      <c r="T63" s="200"/>
      <c r="U63" s="112"/>
      <c r="V63" s="112"/>
      <c r="W63" s="112"/>
      <c r="X63" s="112"/>
      <c r="Y63" s="112"/>
      <c r="Z63" s="112"/>
      <c r="AA63" s="200" t="s">
        <v>82</v>
      </c>
      <c r="AB63" s="200" t="n">
        <v>17.8947</v>
      </c>
      <c r="AC63" s="200" t="s">
        <v>859</v>
      </c>
      <c r="AD63" s="200"/>
      <c r="AE63" s="200"/>
    </row>
    <row r="64" customFormat="false" ht="15.75" hidden="false" customHeight="false" outlineLevel="0" collapsed="false">
      <c r="A64" s="196" t="s">
        <v>415</v>
      </c>
      <c r="B64" s="196" t="s">
        <v>1452</v>
      </c>
      <c r="C64" s="197" t="s">
        <v>1536</v>
      </c>
      <c r="D64" s="198" t="s">
        <v>1380</v>
      </c>
      <c r="E64" s="196"/>
      <c r="F64" s="196"/>
      <c r="G64" s="196"/>
      <c r="H64" s="196"/>
      <c r="I64" s="196"/>
      <c r="J64" s="196"/>
      <c r="K64" s="196"/>
      <c r="L64" s="112"/>
      <c r="M64" s="196"/>
      <c r="N64" s="112"/>
      <c r="O64" s="196"/>
      <c r="P64" s="196"/>
      <c r="Q64" s="200" t="s">
        <v>43</v>
      </c>
      <c r="R64" s="200" t="s">
        <v>1538</v>
      </c>
      <c r="S64" s="112"/>
      <c r="T64" s="200"/>
      <c r="U64" s="112"/>
      <c r="V64" s="112"/>
      <c r="W64" s="112"/>
      <c r="X64" s="112"/>
      <c r="Y64" s="112"/>
      <c r="Z64" s="112"/>
      <c r="AA64" s="200"/>
      <c r="AB64" s="200"/>
      <c r="AC64" s="200" t="s">
        <v>859</v>
      </c>
      <c r="AD64" s="200"/>
      <c r="AE64" s="200"/>
    </row>
    <row r="65" customFormat="false" ht="15.75" hidden="false" customHeight="false" outlineLevel="0" collapsed="false">
      <c r="A65" s="196" t="s">
        <v>415</v>
      </c>
      <c r="B65" s="196" t="s">
        <v>1452</v>
      </c>
      <c r="C65" s="197" t="s">
        <v>1536</v>
      </c>
      <c r="D65" s="196" t="s">
        <v>1539</v>
      </c>
      <c r="E65" s="196" t="s">
        <v>1540</v>
      </c>
      <c r="F65" s="196" t="n">
        <v>264.09</v>
      </c>
      <c r="G65" s="196" t="n">
        <v>78</v>
      </c>
      <c r="H65" s="196" t="n">
        <v>470</v>
      </c>
      <c r="I65" s="196" t="n">
        <v>242</v>
      </c>
      <c r="J65" s="196" t="n">
        <v>228</v>
      </c>
      <c r="K65" s="196" t="n">
        <v>40</v>
      </c>
      <c r="L65" s="112" t="n">
        <f aca="false">K65/H65*100</f>
        <v>8.51063829787234</v>
      </c>
      <c r="M65" s="196" t="n">
        <v>0</v>
      </c>
      <c r="N65" s="112" t="n">
        <f aca="false">M65/H65*100</f>
        <v>0</v>
      </c>
      <c r="O65" s="196" t="n">
        <v>8.23</v>
      </c>
      <c r="P65" s="196" t="n">
        <v>0</v>
      </c>
      <c r="Q65" s="200" t="s">
        <v>43</v>
      </c>
      <c r="R65" s="200" t="s">
        <v>1538</v>
      </c>
      <c r="S65" s="112"/>
      <c r="T65" s="200" t="n">
        <v>8.4857</v>
      </c>
      <c r="U65" s="112"/>
      <c r="V65" s="112"/>
      <c r="W65" s="112"/>
      <c r="X65" s="112"/>
      <c r="Y65" s="112"/>
      <c r="Z65" s="112"/>
      <c r="AA65" s="200" t="s">
        <v>82</v>
      </c>
      <c r="AB65" s="200" t="n">
        <v>6.1588</v>
      </c>
      <c r="AC65" s="200" t="s">
        <v>859</v>
      </c>
      <c r="AD65" s="200"/>
      <c r="AE65" s="200"/>
    </row>
    <row r="66" customFormat="false" ht="15.75" hidden="false" customHeight="false" outlineLevel="0" collapsed="false">
      <c r="A66" s="196" t="s">
        <v>415</v>
      </c>
      <c r="B66" s="196" t="s">
        <v>1452</v>
      </c>
      <c r="C66" s="197" t="s">
        <v>1536</v>
      </c>
      <c r="D66" s="196" t="s">
        <v>1539</v>
      </c>
      <c r="E66" s="196"/>
      <c r="F66" s="196"/>
      <c r="G66" s="196"/>
      <c r="H66" s="196"/>
      <c r="I66" s="196"/>
      <c r="J66" s="196"/>
      <c r="K66" s="196"/>
      <c r="L66" s="112"/>
      <c r="M66" s="196"/>
      <c r="N66" s="112"/>
      <c r="O66" s="196"/>
      <c r="P66" s="196"/>
      <c r="Q66" s="200" t="s">
        <v>43</v>
      </c>
      <c r="R66" s="200" t="s">
        <v>1538</v>
      </c>
      <c r="S66" s="112"/>
      <c r="T66" s="200"/>
      <c r="U66" s="112"/>
      <c r="V66" s="112"/>
      <c r="W66" s="112"/>
      <c r="X66" s="112"/>
      <c r="Y66" s="112"/>
      <c r="Z66" s="112"/>
      <c r="AA66" s="200" t="s">
        <v>82</v>
      </c>
      <c r="AB66" s="200" t="n">
        <v>0.7461</v>
      </c>
      <c r="AC66" s="204" t="s">
        <v>859</v>
      </c>
      <c r="AD66" s="200"/>
      <c r="AE66" s="200"/>
    </row>
    <row r="67" customFormat="false" ht="15.75" hidden="false" customHeight="false" outlineLevel="0" collapsed="false">
      <c r="A67" s="196" t="s">
        <v>415</v>
      </c>
      <c r="B67" s="196" t="s">
        <v>1452</v>
      </c>
      <c r="C67" s="197" t="s">
        <v>1536</v>
      </c>
      <c r="D67" s="196" t="s">
        <v>1539</v>
      </c>
      <c r="E67" s="196"/>
      <c r="F67" s="196"/>
      <c r="G67" s="196"/>
      <c r="H67" s="196"/>
      <c r="I67" s="196"/>
      <c r="J67" s="196"/>
      <c r="K67" s="196"/>
      <c r="L67" s="112"/>
      <c r="M67" s="196"/>
      <c r="N67" s="112"/>
      <c r="O67" s="196"/>
      <c r="P67" s="196"/>
      <c r="Q67" s="200" t="s">
        <v>43</v>
      </c>
      <c r="R67" s="200" t="s">
        <v>1538</v>
      </c>
      <c r="S67" s="112"/>
      <c r="T67" s="200"/>
      <c r="U67" s="112"/>
      <c r="V67" s="112"/>
      <c r="W67" s="112"/>
      <c r="X67" s="112"/>
      <c r="Y67" s="112"/>
      <c r="Z67" s="112"/>
      <c r="AA67" s="200" t="s">
        <v>82</v>
      </c>
      <c r="AB67" s="200" t="n">
        <v>0.7714</v>
      </c>
      <c r="AC67" s="204" t="s">
        <v>859</v>
      </c>
      <c r="AD67" s="200"/>
      <c r="AE67" s="200"/>
    </row>
    <row r="68" customFormat="false" ht="15.75" hidden="false" customHeight="false" outlineLevel="0" collapsed="false">
      <c r="A68" s="196" t="s">
        <v>415</v>
      </c>
      <c r="B68" s="196" t="s">
        <v>1452</v>
      </c>
      <c r="C68" s="197" t="s">
        <v>1536</v>
      </c>
      <c r="D68" s="196" t="s">
        <v>1541</v>
      </c>
      <c r="E68" s="196" t="s">
        <v>1542</v>
      </c>
      <c r="F68" s="196" t="n">
        <v>851.6</v>
      </c>
      <c r="G68" s="196" t="n">
        <v>301</v>
      </c>
      <c r="H68" s="196" t="n">
        <v>1522</v>
      </c>
      <c r="I68" s="196" t="n">
        <v>777</v>
      </c>
      <c r="J68" s="196" t="n">
        <v>745</v>
      </c>
      <c r="K68" s="196" t="n">
        <v>735</v>
      </c>
      <c r="L68" s="112" t="n">
        <f aca="false">K68/H68*100</f>
        <v>48.2917214191853</v>
      </c>
      <c r="M68" s="196" t="n">
        <v>0</v>
      </c>
      <c r="N68" s="112" t="n">
        <f aca="false">M68/H68*100</f>
        <v>0</v>
      </c>
      <c r="O68" s="196" t="n">
        <v>64.76</v>
      </c>
      <c r="P68" s="196" t="n">
        <v>32.53</v>
      </c>
      <c r="Q68" s="200" t="s">
        <v>43</v>
      </c>
      <c r="R68" s="200" t="s">
        <v>1538</v>
      </c>
      <c r="S68" s="112"/>
      <c r="T68" s="200" t="n">
        <v>64.7622</v>
      </c>
      <c r="U68" s="112"/>
      <c r="V68" s="112"/>
      <c r="W68" s="112"/>
      <c r="X68" s="112"/>
      <c r="Y68" s="112"/>
      <c r="Z68" s="112"/>
      <c r="AA68" s="200" t="s">
        <v>82</v>
      </c>
      <c r="AB68" s="200" t="n">
        <v>18.2108</v>
      </c>
      <c r="AC68" s="204" t="s">
        <v>859</v>
      </c>
      <c r="AD68" s="200" t="n">
        <v>23.900358</v>
      </c>
      <c r="AE68" s="200" t="n">
        <v>75.779175</v>
      </c>
    </row>
    <row r="69" customFormat="false" ht="15.75" hidden="false" customHeight="false" outlineLevel="0" collapsed="false">
      <c r="A69" s="196" t="s">
        <v>415</v>
      </c>
      <c r="B69" s="196" t="s">
        <v>1452</v>
      </c>
      <c r="C69" s="197" t="s">
        <v>1536</v>
      </c>
      <c r="D69" s="196" t="s">
        <v>1541</v>
      </c>
      <c r="E69" s="196"/>
      <c r="F69" s="196"/>
      <c r="G69" s="196"/>
      <c r="H69" s="196"/>
      <c r="I69" s="196"/>
      <c r="J69" s="196"/>
      <c r="K69" s="196"/>
      <c r="L69" s="112"/>
      <c r="M69" s="196"/>
      <c r="N69" s="112"/>
      <c r="O69" s="196"/>
      <c r="P69" s="196"/>
      <c r="Q69" s="200" t="s">
        <v>43</v>
      </c>
      <c r="R69" s="200" t="s">
        <v>1538</v>
      </c>
      <c r="S69" s="112"/>
      <c r="T69" s="204"/>
      <c r="U69" s="112"/>
      <c r="V69" s="112"/>
      <c r="W69" s="112"/>
      <c r="X69" s="112"/>
      <c r="Y69" s="112"/>
      <c r="Z69" s="112"/>
      <c r="AA69" s="200" t="s">
        <v>82</v>
      </c>
      <c r="AB69" s="200" t="n">
        <v>6.2347</v>
      </c>
      <c r="AC69" s="204" t="s">
        <v>859</v>
      </c>
      <c r="AD69" s="200"/>
      <c r="AE69" s="200"/>
    </row>
    <row r="70" customFormat="false" ht="15.75" hidden="false" customHeight="false" outlineLevel="0" collapsed="false">
      <c r="A70" s="196" t="s">
        <v>415</v>
      </c>
      <c r="B70" s="196" t="s">
        <v>1452</v>
      </c>
      <c r="C70" s="197" t="s">
        <v>1536</v>
      </c>
      <c r="D70" s="196" t="s">
        <v>1541</v>
      </c>
      <c r="E70" s="196"/>
      <c r="F70" s="196"/>
      <c r="G70" s="196"/>
      <c r="H70" s="196"/>
      <c r="I70" s="196"/>
      <c r="J70" s="196"/>
      <c r="K70" s="196"/>
      <c r="L70" s="112"/>
      <c r="M70" s="196"/>
      <c r="N70" s="112"/>
      <c r="O70" s="196"/>
      <c r="P70" s="196"/>
      <c r="Q70" s="200" t="s">
        <v>43</v>
      </c>
      <c r="R70" s="200" t="s">
        <v>1538</v>
      </c>
      <c r="S70" s="112"/>
      <c r="T70" s="204"/>
      <c r="U70" s="112"/>
      <c r="V70" s="112"/>
      <c r="W70" s="112"/>
      <c r="X70" s="112"/>
      <c r="Y70" s="112"/>
      <c r="Z70" s="112"/>
      <c r="AA70" s="200" t="s">
        <v>82</v>
      </c>
      <c r="AB70" s="200" t="n">
        <v>7.2211</v>
      </c>
      <c r="AC70" s="204" t="s">
        <v>859</v>
      </c>
      <c r="AD70" s="200"/>
      <c r="AE70" s="200"/>
    </row>
    <row r="71" customFormat="false" ht="15.75" hidden="false" customHeight="false" outlineLevel="0" collapsed="false">
      <c r="A71" s="196" t="s">
        <v>415</v>
      </c>
      <c r="B71" s="196" t="s">
        <v>1452</v>
      </c>
      <c r="C71" s="197" t="s">
        <v>1536</v>
      </c>
      <c r="D71" s="196" t="s">
        <v>1541</v>
      </c>
      <c r="E71" s="196"/>
      <c r="F71" s="196"/>
      <c r="G71" s="196"/>
      <c r="H71" s="196"/>
      <c r="I71" s="196"/>
      <c r="J71" s="196"/>
      <c r="K71" s="196"/>
      <c r="L71" s="112"/>
      <c r="M71" s="196"/>
      <c r="N71" s="112"/>
      <c r="O71" s="196"/>
      <c r="P71" s="196"/>
      <c r="Q71" s="200" t="s">
        <v>43</v>
      </c>
      <c r="R71" s="200" t="s">
        <v>1538</v>
      </c>
      <c r="S71" s="112"/>
      <c r="T71" s="204"/>
      <c r="U71" s="112"/>
      <c r="V71" s="112"/>
      <c r="W71" s="112"/>
      <c r="X71" s="112"/>
      <c r="Y71" s="112"/>
      <c r="Z71" s="112"/>
      <c r="AA71" s="200" t="s">
        <v>82</v>
      </c>
      <c r="AB71" s="200"/>
      <c r="AC71" s="204" t="s">
        <v>859</v>
      </c>
      <c r="AD71" s="200"/>
      <c r="AE71" s="200"/>
    </row>
    <row r="72" customFormat="false" ht="15.75" hidden="false" customHeight="false" outlineLevel="0" collapsed="false">
      <c r="A72" s="196" t="s">
        <v>415</v>
      </c>
      <c r="B72" s="196" t="s">
        <v>1452</v>
      </c>
      <c r="C72" s="197" t="s">
        <v>1536</v>
      </c>
      <c r="D72" s="196" t="s">
        <v>498</v>
      </c>
      <c r="E72" s="196" t="s">
        <v>1543</v>
      </c>
      <c r="F72" s="196" t="n">
        <v>292.92</v>
      </c>
      <c r="G72" s="196" t="n">
        <v>130</v>
      </c>
      <c r="H72" s="196" t="n">
        <v>661</v>
      </c>
      <c r="I72" s="196" t="n">
        <v>325</v>
      </c>
      <c r="J72" s="196" t="n">
        <v>336</v>
      </c>
      <c r="K72" s="196" t="n">
        <v>284</v>
      </c>
      <c r="L72" s="112" t="n">
        <f aca="false">K72/H72*100</f>
        <v>42.9652042360061</v>
      </c>
      <c r="M72" s="196" t="n">
        <v>3</v>
      </c>
      <c r="N72" s="112" t="n">
        <f aca="false">M72/H72*100</f>
        <v>0.453857791225416</v>
      </c>
      <c r="O72" s="196" t="n">
        <v>9.51</v>
      </c>
      <c r="P72" s="196" t="n">
        <v>0</v>
      </c>
      <c r="Q72" s="200" t="s">
        <v>43</v>
      </c>
      <c r="R72" s="200" t="s">
        <v>1538</v>
      </c>
      <c r="S72" s="112"/>
      <c r="T72" s="200" t="n">
        <v>9.5101</v>
      </c>
      <c r="U72" s="112"/>
      <c r="V72" s="112"/>
      <c r="W72" s="112"/>
      <c r="X72" s="112"/>
      <c r="Y72" s="112"/>
      <c r="Z72" s="112"/>
      <c r="AA72" s="200" t="s">
        <v>82</v>
      </c>
      <c r="AB72" s="200" t="n">
        <v>2.3775</v>
      </c>
      <c r="AC72" s="204" t="s">
        <v>859</v>
      </c>
      <c r="AD72" s="200" t="n">
        <v>23.893982</v>
      </c>
      <c r="AE72" s="200" t="n">
        <v>75.766989</v>
      </c>
    </row>
    <row r="73" customFormat="false" ht="15.75" hidden="false" customHeight="false" outlineLevel="0" collapsed="false">
      <c r="A73" s="196" t="s">
        <v>415</v>
      </c>
      <c r="B73" s="196" t="s">
        <v>1452</v>
      </c>
      <c r="C73" s="197" t="s">
        <v>1536</v>
      </c>
      <c r="D73" s="196" t="s">
        <v>498</v>
      </c>
      <c r="E73" s="196"/>
      <c r="F73" s="196"/>
      <c r="G73" s="196"/>
      <c r="H73" s="196"/>
      <c r="I73" s="196"/>
      <c r="J73" s="196"/>
      <c r="K73" s="196"/>
      <c r="L73" s="112"/>
      <c r="M73" s="196"/>
      <c r="N73" s="112"/>
      <c r="O73" s="196"/>
      <c r="P73" s="196"/>
      <c r="Q73" s="200" t="s">
        <v>43</v>
      </c>
      <c r="R73" s="200" t="s">
        <v>1538</v>
      </c>
      <c r="S73" s="112"/>
      <c r="T73" s="204"/>
      <c r="U73" s="112"/>
      <c r="V73" s="112"/>
      <c r="W73" s="112"/>
      <c r="X73" s="112"/>
      <c r="Y73" s="112"/>
      <c r="Z73" s="112"/>
      <c r="AA73" s="200" t="s">
        <v>82</v>
      </c>
      <c r="AB73" s="200" t="n">
        <v>2.8581</v>
      </c>
      <c r="AC73" s="204" t="s">
        <v>859</v>
      </c>
      <c r="AD73" s="200"/>
      <c r="AE73" s="200"/>
    </row>
    <row r="74" customFormat="false" ht="15.75" hidden="false" customHeight="false" outlineLevel="0" collapsed="false">
      <c r="A74" s="196" t="s">
        <v>415</v>
      </c>
      <c r="B74" s="196" t="s">
        <v>1452</v>
      </c>
      <c r="C74" s="197" t="s">
        <v>1544</v>
      </c>
      <c r="D74" s="198" t="s">
        <v>1545</v>
      </c>
      <c r="E74" s="196" t="s">
        <v>1546</v>
      </c>
      <c r="F74" s="196" t="n">
        <v>814.58</v>
      </c>
      <c r="G74" s="196" t="n">
        <v>1063</v>
      </c>
      <c r="H74" s="196" t="n">
        <v>5506</v>
      </c>
      <c r="I74" s="196" t="n">
        <v>2838</v>
      </c>
      <c r="J74" s="196" t="n">
        <v>2668</v>
      </c>
      <c r="K74" s="196" t="n">
        <v>1050</v>
      </c>
      <c r="L74" s="112" t="n">
        <f aca="false">K74/H74*100</f>
        <v>19.0701053396295</v>
      </c>
      <c r="M74" s="196" t="n">
        <v>81</v>
      </c>
      <c r="N74" s="112" t="n">
        <f aca="false">M74/H74*100</f>
        <v>1.47112241191428</v>
      </c>
      <c r="O74" s="196" t="n">
        <v>80.44</v>
      </c>
      <c r="P74" s="196" t="n">
        <v>54.94</v>
      </c>
      <c r="Q74" s="203" t="s">
        <v>150</v>
      </c>
      <c r="R74" s="203" t="s">
        <v>1547</v>
      </c>
      <c r="S74" s="112"/>
      <c r="T74" s="203" t="n">
        <v>30</v>
      </c>
      <c r="U74" s="112"/>
      <c r="V74" s="112" t="s">
        <v>43</v>
      </c>
      <c r="W74" s="112"/>
      <c r="X74" s="112"/>
      <c r="Y74" s="112"/>
      <c r="Z74" s="112"/>
      <c r="AA74" s="203" t="s">
        <v>891</v>
      </c>
      <c r="AB74" s="203" t="n">
        <v>50</v>
      </c>
      <c r="AC74" s="204" t="s">
        <v>859</v>
      </c>
      <c r="AD74" s="203" t="n">
        <v>23.929552</v>
      </c>
      <c r="AE74" s="203" t="n">
        <v>75.63175</v>
      </c>
    </row>
    <row r="75" customFormat="false" ht="15.75" hidden="false" customHeight="false" outlineLevel="0" collapsed="false">
      <c r="A75" s="196" t="s">
        <v>415</v>
      </c>
      <c r="B75" s="196" t="s">
        <v>1452</v>
      </c>
      <c r="C75" s="197" t="s">
        <v>1544</v>
      </c>
      <c r="D75" s="212" t="s">
        <v>1545</v>
      </c>
      <c r="E75" s="196"/>
      <c r="F75" s="196"/>
      <c r="G75" s="196"/>
      <c r="H75" s="196"/>
      <c r="I75" s="196"/>
      <c r="J75" s="196"/>
      <c r="K75" s="196"/>
      <c r="L75" s="112"/>
      <c r="M75" s="196"/>
      <c r="N75" s="112"/>
      <c r="O75" s="196"/>
      <c r="P75" s="196"/>
      <c r="Q75" s="200" t="s">
        <v>43</v>
      </c>
      <c r="R75" s="204" t="s">
        <v>1547</v>
      </c>
      <c r="S75" s="112"/>
      <c r="T75" s="204"/>
      <c r="U75" s="112"/>
      <c r="V75" s="112"/>
      <c r="W75" s="112"/>
      <c r="X75" s="112"/>
      <c r="Y75" s="112"/>
      <c r="Z75" s="112"/>
      <c r="AA75" s="204" t="s">
        <v>82</v>
      </c>
      <c r="AB75" s="204" t="n">
        <v>3</v>
      </c>
      <c r="AC75" s="204" t="s">
        <v>859</v>
      </c>
      <c r="AD75" s="204" t="n">
        <v>23.94764</v>
      </c>
      <c r="AE75" s="204" t="n">
        <v>75.63863</v>
      </c>
    </row>
    <row r="76" customFormat="false" ht="15.75" hidden="false" customHeight="false" outlineLevel="0" collapsed="false">
      <c r="A76" s="196" t="s">
        <v>415</v>
      </c>
      <c r="B76" s="196" t="s">
        <v>1452</v>
      </c>
      <c r="C76" s="197" t="s">
        <v>1544</v>
      </c>
      <c r="D76" s="212" t="s">
        <v>1545</v>
      </c>
      <c r="E76" s="196"/>
      <c r="F76" s="196"/>
      <c r="G76" s="196"/>
      <c r="H76" s="196"/>
      <c r="I76" s="196"/>
      <c r="J76" s="196"/>
      <c r="K76" s="196"/>
      <c r="L76" s="112"/>
      <c r="M76" s="196"/>
      <c r="N76" s="112"/>
      <c r="O76" s="196"/>
      <c r="P76" s="196"/>
      <c r="Q76" s="200" t="s">
        <v>43</v>
      </c>
      <c r="R76" s="204" t="s">
        <v>1547</v>
      </c>
      <c r="S76" s="112"/>
      <c r="T76" s="204"/>
      <c r="U76" s="112"/>
      <c r="V76" s="112"/>
      <c r="W76" s="112"/>
      <c r="X76" s="112"/>
      <c r="Y76" s="112"/>
      <c r="Z76" s="112"/>
      <c r="AA76" s="204" t="s">
        <v>82</v>
      </c>
      <c r="AB76" s="204" t="n">
        <v>5</v>
      </c>
      <c r="AC76" s="204" t="s">
        <v>859</v>
      </c>
      <c r="AD76" s="204" t="n">
        <v>23.9529</v>
      </c>
      <c r="AE76" s="204" t="n">
        <v>75.63393</v>
      </c>
    </row>
    <row r="77" customFormat="false" ht="15.75" hidden="false" customHeight="false" outlineLevel="0" collapsed="false">
      <c r="A77" s="196" t="s">
        <v>415</v>
      </c>
      <c r="B77" s="196" t="s">
        <v>1452</v>
      </c>
      <c r="C77" s="197" t="s">
        <v>1544</v>
      </c>
      <c r="D77" s="212" t="s">
        <v>1545</v>
      </c>
      <c r="E77" s="196"/>
      <c r="F77" s="196"/>
      <c r="G77" s="196"/>
      <c r="H77" s="196"/>
      <c r="I77" s="196"/>
      <c r="J77" s="196"/>
      <c r="K77" s="196"/>
      <c r="L77" s="112"/>
      <c r="M77" s="196"/>
      <c r="N77" s="112"/>
      <c r="O77" s="196"/>
      <c r="P77" s="196"/>
      <c r="Q77" s="200" t="s">
        <v>43</v>
      </c>
      <c r="R77" s="204" t="s">
        <v>1547</v>
      </c>
      <c r="S77" s="112"/>
      <c r="T77" s="204"/>
      <c r="U77" s="112"/>
      <c r="V77" s="112"/>
      <c r="W77" s="112"/>
      <c r="X77" s="112"/>
      <c r="Y77" s="112"/>
      <c r="Z77" s="112"/>
      <c r="AA77" s="204" t="s">
        <v>82</v>
      </c>
      <c r="AB77" s="204" t="n">
        <v>2</v>
      </c>
      <c r="AC77" s="204" t="s">
        <v>859</v>
      </c>
      <c r="AD77" s="204" t="n">
        <v>23.95252</v>
      </c>
      <c r="AE77" s="204" t="n">
        <v>75.63311</v>
      </c>
    </row>
    <row r="78" customFormat="false" ht="15.75" hidden="false" customHeight="false" outlineLevel="0" collapsed="false">
      <c r="A78" s="196" t="s">
        <v>415</v>
      </c>
      <c r="B78" s="196" t="s">
        <v>1452</v>
      </c>
      <c r="C78" s="197" t="s">
        <v>1544</v>
      </c>
      <c r="D78" s="212" t="s">
        <v>1545</v>
      </c>
      <c r="E78" s="196"/>
      <c r="F78" s="196"/>
      <c r="G78" s="196"/>
      <c r="H78" s="196"/>
      <c r="I78" s="196"/>
      <c r="J78" s="196"/>
      <c r="K78" s="196"/>
      <c r="L78" s="112"/>
      <c r="M78" s="196"/>
      <c r="N78" s="112"/>
      <c r="O78" s="196"/>
      <c r="P78" s="196"/>
      <c r="Q78" s="200" t="s">
        <v>43</v>
      </c>
      <c r="R78" s="204" t="s">
        <v>1547</v>
      </c>
      <c r="S78" s="112"/>
      <c r="T78" s="204"/>
      <c r="U78" s="112"/>
      <c r="V78" s="112"/>
      <c r="W78" s="112"/>
      <c r="X78" s="112"/>
      <c r="Y78" s="112"/>
      <c r="Z78" s="112"/>
      <c r="AA78" s="204" t="s">
        <v>82</v>
      </c>
      <c r="AB78" s="204" t="n">
        <v>2</v>
      </c>
      <c r="AC78" s="204" t="s">
        <v>859</v>
      </c>
      <c r="AD78" s="204" t="n">
        <v>23.95301</v>
      </c>
      <c r="AE78" s="204" t="n">
        <v>75.63515</v>
      </c>
    </row>
    <row r="79" customFormat="false" ht="15.75" hidden="false" customHeight="false" outlineLevel="0" collapsed="false">
      <c r="A79" s="196" t="s">
        <v>415</v>
      </c>
      <c r="B79" s="196" t="s">
        <v>1452</v>
      </c>
      <c r="C79" s="197" t="s">
        <v>1544</v>
      </c>
      <c r="D79" s="212" t="s">
        <v>1545</v>
      </c>
      <c r="E79" s="204"/>
      <c r="F79" s="204"/>
      <c r="G79" s="204"/>
      <c r="H79" s="204"/>
      <c r="I79" s="204"/>
      <c r="J79" s="204"/>
      <c r="K79" s="204"/>
      <c r="L79" s="112"/>
      <c r="M79" s="204"/>
      <c r="N79" s="112"/>
      <c r="O79" s="204"/>
      <c r="P79" s="204"/>
      <c r="Q79" s="200" t="s">
        <v>43</v>
      </c>
      <c r="R79" s="204" t="s">
        <v>1547</v>
      </c>
      <c r="S79" s="112"/>
      <c r="T79" s="204"/>
      <c r="U79" s="112"/>
      <c r="V79" s="112"/>
      <c r="W79" s="112"/>
      <c r="X79" s="112"/>
      <c r="Y79" s="112"/>
      <c r="Z79" s="112"/>
      <c r="AA79" s="204" t="s">
        <v>82</v>
      </c>
      <c r="AB79" s="204" t="n">
        <v>2</v>
      </c>
      <c r="AC79" s="204" t="s">
        <v>859</v>
      </c>
      <c r="AD79" s="204" t="n">
        <v>23.96528</v>
      </c>
      <c r="AE79" s="204" t="n">
        <v>75.6119</v>
      </c>
    </row>
    <row r="80" customFormat="false" ht="15.75" hidden="false" customHeight="false" outlineLevel="0" collapsed="false">
      <c r="A80" s="196" t="s">
        <v>415</v>
      </c>
      <c r="B80" s="196" t="s">
        <v>1452</v>
      </c>
      <c r="C80" s="197" t="s">
        <v>1544</v>
      </c>
      <c r="D80" s="212" t="s">
        <v>1545</v>
      </c>
      <c r="E80" s="196"/>
      <c r="F80" s="196"/>
      <c r="G80" s="196"/>
      <c r="H80" s="196"/>
      <c r="I80" s="196"/>
      <c r="J80" s="196"/>
      <c r="K80" s="196"/>
      <c r="L80" s="112"/>
      <c r="M80" s="196"/>
      <c r="N80" s="112"/>
      <c r="O80" s="196"/>
      <c r="P80" s="196"/>
      <c r="Q80" s="200" t="s">
        <v>43</v>
      </c>
      <c r="R80" s="204" t="s">
        <v>1547</v>
      </c>
      <c r="S80" s="112"/>
      <c r="T80" s="204"/>
      <c r="U80" s="112"/>
      <c r="V80" s="112"/>
      <c r="W80" s="112"/>
      <c r="X80" s="112"/>
      <c r="Y80" s="112"/>
      <c r="Z80" s="112"/>
      <c r="AA80" s="204" t="s">
        <v>82</v>
      </c>
      <c r="AB80" s="204" t="n">
        <v>5</v>
      </c>
      <c r="AC80" s="204" t="s">
        <v>859</v>
      </c>
      <c r="AD80" s="204" t="n">
        <v>23.95224</v>
      </c>
      <c r="AE80" s="204" t="n">
        <v>75.63259</v>
      </c>
    </row>
    <row r="81" customFormat="false" ht="15.75" hidden="false" customHeight="false" outlineLevel="0" collapsed="false">
      <c r="A81" s="196" t="s">
        <v>415</v>
      </c>
      <c r="B81" s="196" t="s">
        <v>1452</v>
      </c>
      <c r="C81" s="197" t="s">
        <v>1544</v>
      </c>
      <c r="D81" s="196" t="s">
        <v>1548</v>
      </c>
      <c r="E81" s="196" t="s">
        <v>1549</v>
      </c>
      <c r="F81" s="196" t="n">
        <v>205.24</v>
      </c>
      <c r="G81" s="196" t="n">
        <v>0</v>
      </c>
      <c r="H81" s="196" t="n">
        <v>0</v>
      </c>
      <c r="I81" s="196" t="n">
        <v>0</v>
      </c>
      <c r="J81" s="196" t="n">
        <v>0</v>
      </c>
      <c r="K81" s="196" t="n">
        <v>0</v>
      </c>
      <c r="L81" s="112"/>
      <c r="M81" s="196"/>
      <c r="N81" s="112"/>
      <c r="O81" s="196" t="n">
        <v>0</v>
      </c>
      <c r="P81" s="196" t="n">
        <v>0</v>
      </c>
      <c r="Q81" s="204"/>
      <c r="R81" s="204"/>
      <c r="S81" s="112"/>
      <c r="T81" s="204"/>
      <c r="U81" s="112"/>
      <c r="V81" s="112"/>
      <c r="W81" s="112"/>
      <c r="X81" s="112"/>
      <c r="Y81" s="112"/>
      <c r="Z81" s="112"/>
      <c r="AA81" s="204"/>
      <c r="AB81" s="204"/>
      <c r="AC81" s="204" t="s">
        <v>859</v>
      </c>
      <c r="AD81" s="204"/>
      <c r="AE81" s="204"/>
    </row>
    <row r="82" customFormat="false" ht="15.75" hidden="false" customHeight="false" outlineLevel="0" collapsed="false">
      <c r="A82" s="196" t="s">
        <v>415</v>
      </c>
      <c r="B82" s="196" t="s">
        <v>1452</v>
      </c>
      <c r="C82" s="197" t="s">
        <v>1550</v>
      </c>
      <c r="D82" s="198" t="s">
        <v>1090</v>
      </c>
      <c r="E82" s="196" t="s">
        <v>1551</v>
      </c>
      <c r="F82" s="196" t="n">
        <v>303</v>
      </c>
      <c r="G82" s="196" t="n">
        <v>230</v>
      </c>
      <c r="H82" s="196" t="n">
        <v>1173</v>
      </c>
      <c r="I82" s="196" t="n">
        <v>613</v>
      </c>
      <c r="J82" s="196" t="n">
        <v>560</v>
      </c>
      <c r="K82" s="196" t="n">
        <v>249</v>
      </c>
      <c r="L82" s="112" t="n">
        <f aca="false">K82/H82*100</f>
        <v>21.227621483376</v>
      </c>
      <c r="M82" s="196" t="n">
        <v>24</v>
      </c>
      <c r="N82" s="112" t="n">
        <f aca="false">M82/H82*100</f>
        <v>2.0460358056266</v>
      </c>
      <c r="O82" s="196" t="n">
        <v>8</v>
      </c>
      <c r="P82" s="196" t="n">
        <v>0</v>
      </c>
      <c r="Q82" s="204"/>
      <c r="R82" s="204"/>
      <c r="S82" s="112"/>
      <c r="T82" s="204"/>
      <c r="U82" s="112"/>
      <c r="V82" s="112"/>
      <c r="W82" s="112"/>
      <c r="X82" s="112"/>
      <c r="Y82" s="112"/>
      <c r="Z82" s="112"/>
      <c r="AA82" s="204"/>
      <c r="AB82" s="204"/>
      <c r="AC82" s="204" t="s">
        <v>859</v>
      </c>
      <c r="AD82" s="204"/>
      <c r="AE82" s="204"/>
    </row>
    <row r="83" customFormat="false" ht="15.75" hidden="false" customHeight="false" outlineLevel="0" collapsed="false">
      <c r="A83" s="196" t="s">
        <v>415</v>
      </c>
      <c r="B83" s="196" t="s">
        <v>1452</v>
      </c>
      <c r="C83" s="197" t="s">
        <v>1552</v>
      </c>
      <c r="D83" s="198" t="s">
        <v>1553</v>
      </c>
      <c r="E83" s="196" t="s">
        <v>1554</v>
      </c>
      <c r="F83" s="196" t="n">
        <v>607.9</v>
      </c>
      <c r="G83" s="196" t="n">
        <v>398</v>
      </c>
      <c r="H83" s="196" t="n">
        <v>1835</v>
      </c>
      <c r="I83" s="196" t="n">
        <v>964</v>
      </c>
      <c r="J83" s="196" t="n">
        <v>871</v>
      </c>
      <c r="K83" s="196" t="n">
        <v>457</v>
      </c>
      <c r="L83" s="112" t="n">
        <f aca="false">K83/H83*100</f>
        <v>24.9046321525886</v>
      </c>
      <c r="M83" s="196" t="n">
        <v>0</v>
      </c>
      <c r="N83" s="112" t="n">
        <f aca="false">M83/H83*100</f>
        <v>0</v>
      </c>
      <c r="O83" s="196" t="n">
        <v>111.16</v>
      </c>
      <c r="P83" s="196" t="n">
        <v>0</v>
      </c>
      <c r="Q83" s="200" t="s">
        <v>45</v>
      </c>
      <c r="R83" s="200" t="s">
        <v>1476</v>
      </c>
      <c r="S83" s="112"/>
      <c r="T83" s="200" t="n">
        <v>98</v>
      </c>
      <c r="U83" s="112"/>
      <c r="V83" s="112"/>
      <c r="W83" s="112"/>
      <c r="X83" s="112"/>
      <c r="Y83" s="112"/>
      <c r="Z83" s="112"/>
      <c r="AA83" s="200" t="s">
        <v>82</v>
      </c>
      <c r="AB83" s="200" t="n">
        <v>5</v>
      </c>
      <c r="AC83" s="204" t="s">
        <v>859</v>
      </c>
      <c r="AD83" s="200" t="n">
        <v>23.999715</v>
      </c>
      <c r="AE83" s="200" t="n">
        <v>75.679772</v>
      </c>
    </row>
    <row r="84" customFormat="false" ht="15.75" hidden="false" customHeight="false" outlineLevel="0" collapsed="false">
      <c r="A84" s="196" t="s">
        <v>415</v>
      </c>
      <c r="B84" s="196" t="s">
        <v>1452</v>
      </c>
      <c r="C84" s="197" t="s">
        <v>1552</v>
      </c>
      <c r="D84" s="198" t="s">
        <v>1553</v>
      </c>
      <c r="E84" s="196"/>
      <c r="F84" s="196"/>
      <c r="G84" s="196"/>
      <c r="H84" s="196"/>
      <c r="I84" s="196"/>
      <c r="J84" s="196"/>
      <c r="K84" s="196"/>
      <c r="L84" s="112"/>
      <c r="M84" s="196"/>
      <c r="N84" s="112"/>
      <c r="O84" s="196"/>
      <c r="P84" s="196"/>
      <c r="Q84" s="200" t="s">
        <v>45</v>
      </c>
      <c r="R84" s="200" t="s">
        <v>1476</v>
      </c>
      <c r="S84" s="112"/>
      <c r="T84" s="200"/>
      <c r="U84" s="112"/>
      <c r="V84" s="112"/>
      <c r="W84" s="112"/>
      <c r="X84" s="112"/>
      <c r="Y84" s="112"/>
      <c r="Z84" s="112"/>
      <c r="AA84" s="200" t="s">
        <v>82</v>
      </c>
      <c r="AB84" s="200" t="n">
        <v>2.8</v>
      </c>
      <c r="AC84" s="204" t="s">
        <v>859</v>
      </c>
      <c r="AD84" s="200" t="n">
        <v>24.00022</v>
      </c>
      <c r="AE84" s="200" t="n">
        <v>75.66065</v>
      </c>
    </row>
    <row r="85" customFormat="false" ht="15.75" hidden="false" customHeight="false" outlineLevel="0" collapsed="false">
      <c r="A85" s="196" t="s">
        <v>415</v>
      </c>
      <c r="B85" s="196" t="s">
        <v>1452</v>
      </c>
      <c r="C85" s="197" t="s">
        <v>1552</v>
      </c>
      <c r="D85" s="198" t="s">
        <v>1553</v>
      </c>
      <c r="E85" s="196"/>
      <c r="F85" s="196"/>
      <c r="G85" s="196"/>
      <c r="H85" s="196"/>
      <c r="I85" s="196"/>
      <c r="J85" s="196"/>
      <c r="K85" s="196"/>
      <c r="L85" s="112"/>
      <c r="M85" s="196"/>
      <c r="N85" s="112"/>
      <c r="O85" s="196"/>
      <c r="P85" s="196"/>
      <c r="Q85" s="200" t="s">
        <v>45</v>
      </c>
      <c r="R85" s="200" t="s">
        <v>1476</v>
      </c>
      <c r="S85" s="112"/>
      <c r="T85" s="200"/>
      <c r="U85" s="112"/>
      <c r="V85" s="112"/>
      <c r="W85" s="112"/>
      <c r="X85" s="112"/>
      <c r="Y85" s="112"/>
      <c r="Z85" s="112"/>
      <c r="AA85" s="200" t="s">
        <v>82</v>
      </c>
      <c r="AB85" s="200" t="n">
        <v>2.2</v>
      </c>
      <c r="AC85" s="204" t="s">
        <v>859</v>
      </c>
      <c r="AD85" s="200" t="n">
        <v>24.00097</v>
      </c>
      <c r="AE85" s="200" t="n">
        <v>75.65821</v>
      </c>
    </row>
    <row r="86" customFormat="false" ht="15.75" hidden="false" customHeight="false" outlineLevel="0" collapsed="false">
      <c r="A86" s="196" t="s">
        <v>415</v>
      </c>
      <c r="B86" s="196" t="s">
        <v>1452</v>
      </c>
      <c r="C86" s="197" t="s">
        <v>1552</v>
      </c>
      <c r="D86" s="198" t="s">
        <v>1553</v>
      </c>
      <c r="E86" s="196"/>
      <c r="F86" s="196"/>
      <c r="G86" s="196"/>
      <c r="H86" s="196"/>
      <c r="I86" s="196"/>
      <c r="J86" s="196"/>
      <c r="K86" s="196"/>
      <c r="L86" s="112"/>
      <c r="M86" s="196"/>
      <c r="N86" s="112"/>
      <c r="O86" s="196"/>
      <c r="P86" s="196"/>
      <c r="Q86" s="200" t="s">
        <v>45</v>
      </c>
      <c r="R86" s="200" t="s">
        <v>1476</v>
      </c>
      <c r="S86" s="112"/>
      <c r="T86" s="200"/>
      <c r="U86" s="112"/>
      <c r="V86" s="112"/>
      <c r="W86" s="112"/>
      <c r="X86" s="112"/>
      <c r="Y86" s="112"/>
      <c r="Z86" s="112"/>
      <c r="AA86" s="200" t="s">
        <v>82</v>
      </c>
      <c r="AB86" s="200" t="n">
        <v>2.8</v>
      </c>
      <c r="AC86" s="204" t="s">
        <v>859</v>
      </c>
      <c r="AD86" s="200" t="n">
        <v>24.00384</v>
      </c>
      <c r="AE86" s="200" t="n">
        <v>75.66158</v>
      </c>
    </row>
    <row r="87" customFormat="false" ht="15.75" hidden="false" customHeight="false" outlineLevel="0" collapsed="false">
      <c r="A87" s="196" t="s">
        <v>415</v>
      </c>
      <c r="B87" s="196" t="s">
        <v>1452</v>
      </c>
      <c r="C87" s="197" t="s">
        <v>1552</v>
      </c>
      <c r="D87" s="198" t="s">
        <v>1553</v>
      </c>
      <c r="E87" s="196"/>
      <c r="F87" s="196"/>
      <c r="G87" s="196"/>
      <c r="H87" s="196"/>
      <c r="I87" s="196"/>
      <c r="J87" s="196"/>
      <c r="K87" s="196"/>
      <c r="L87" s="112"/>
      <c r="M87" s="196"/>
      <c r="N87" s="112"/>
      <c r="O87" s="196"/>
      <c r="P87" s="196"/>
      <c r="Q87" s="200" t="s">
        <v>45</v>
      </c>
      <c r="R87" s="200" t="s">
        <v>1476</v>
      </c>
      <c r="S87" s="112"/>
      <c r="T87" s="200"/>
      <c r="U87" s="112"/>
      <c r="V87" s="112"/>
      <c r="W87" s="112"/>
      <c r="X87" s="112"/>
      <c r="Y87" s="112"/>
      <c r="Z87" s="112"/>
      <c r="AA87" s="200" t="s">
        <v>82</v>
      </c>
      <c r="AB87" s="200" t="n">
        <v>2.2</v>
      </c>
      <c r="AC87" s="204" t="s">
        <v>859</v>
      </c>
      <c r="AD87" s="200" t="n">
        <v>24.00347</v>
      </c>
      <c r="AE87" s="200" t="n">
        <v>75.65931</v>
      </c>
    </row>
    <row r="88" customFormat="false" ht="15.75" hidden="false" customHeight="false" outlineLevel="0" collapsed="false">
      <c r="A88" s="196" t="s">
        <v>415</v>
      </c>
      <c r="B88" s="196" t="s">
        <v>1452</v>
      </c>
      <c r="C88" s="197" t="s">
        <v>1552</v>
      </c>
      <c r="D88" s="198" t="s">
        <v>1553</v>
      </c>
      <c r="E88" s="196"/>
      <c r="F88" s="196"/>
      <c r="G88" s="196"/>
      <c r="H88" s="196"/>
      <c r="I88" s="196"/>
      <c r="J88" s="196"/>
      <c r="K88" s="196"/>
      <c r="L88" s="112"/>
      <c r="M88" s="196"/>
      <c r="N88" s="112"/>
      <c r="O88" s="196"/>
      <c r="P88" s="196"/>
      <c r="Q88" s="200" t="s">
        <v>43</v>
      </c>
      <c r="R88" s="213" t="s">
        <v>1476</v>
      </c>
      <c r="S88" s="112"/>
      <c r="T88" s="213"/>
      <c r="U88" s="112"/>
      <c r="V88" s="112"/>
      <c r="W88" s="112"/>
      <c r="X88" s="112"/>
      <c r="Y88" s="112"/>
      <c r="Z88" s="112"/>
      <c r="AA88" s="213" t="s">
        <v>82</v>
      </c>
      <c r="AB88" s="213" t="n">
        <v>2</v>
      </c>
      <c r="AC88" s="204" t="s">
        <v>859</v>
      </c>
      <c r="AD88" s="214" t="n">
        <v>23.97999</v>
      </c>
      <c r="AE88" s="214" t="n">
        <v>75.65576</v>
      </c>
    </row>
    <row r="89" customFormat="false" ht="15.75" hidden="false" customHeight="false" outlineLevel="0" collapsed="false">
      <c r="A89" s="196" t="s">
        <v>415</v>
      </c>
      <c r="B89" s="196" t="s">
        <v>1452</v>
      </c>
      <c r="C89" s="197" t="s">
        <v>1552</v>
      </c>
      <c r="D89" s="198" t="s">
        <v>1553</v>
      </c>
      <c r="E89" s="196"/>
      <c r="F89" s="196"/>
      <c r="G89" s="196"/>
      <c r="H89" s="196"/>
      <c r="I89" s="196"/>
      <c r="J89" s="196"/>
      <c r="K89" s="196"/>
      <c r="L89" s="112"/>
      <c r="M89" s="196"/>
      <c r="N89" s="112"/>
      <c r="O89" s="196"/>
      <c r="P89" s="196"/>
      <c r="Q89" s="200" t="s">
        <v>43</v>
      </c>
      <c r="R89" s="213" t="s">
        <v>1476</v>
      </c>
      <c r="S89" s="112"/>
      <c r="T89" s="213"/>
      <c r="U89" s="112"/>
      <c r="V89" s="112"/>
      <c r="W89" s="112"/>
      <c r="X89" s="112"/>
      <c r="Y89" s="112"/>
      <c r="Z89" s="112"/>
      <c r="AA89" s="213" t="s">
        <v>82</v>
      </c>
      <c r="AB89" s="213" t="n">
        <v>2.8</v>
      </c>
      <c r="AC89" s="204" t="s">
        <v>859</v>
      </c>
      <c r="AD89" s="214" t="n">
        <v>23.98328</v>
      </c>
      <c r="AE89" s="214" t="n">
        <v>75.65623</v>
      </c>
    </row>
    <row r="90" customFormat="false" ht="15.75" hidden="false" customHeight="false" outlineLevel="0" collapsed="false">
      <c r="A90" s="196" t="s">
        <v>415</v>
      </c>
      <c r="B90" s="196" t="s">
        <v>1452</v>
      </c>
      <c r="C90" s="197" t="s">
        <v>1552</v>
      </c>
      <c r="D90" s="198" t="s">
        <v>1553</v>
      </c>
      <c r="E90" s="196"/>
      <c r="F90" s="196"/>
      <c r="G90" s="196"/>
      <c r="H90" s="196"/>
      <c r="I90" s="196"/>
      <c r="J90" s="196"/>
      <c r="K90" s="196"/>
      <c r="L90" s="112"/>
      <c r="M90" s="196"/>
      <c r="N90" s="112"/>
      <c r="O90" s="196"/>
      <c r="P90" s="196"/>
      <c r="Q90" s="200" t="s">
        <v>43</v>
      </c>
      <c r="R90" s="213" t="s">
        <v>1476</v>
      </c>
      <c r="S90" s="112"/>
      <c r="T90" s="213"/>
      <c r="U90" s="112"/>
      <c r="V90" s="112"/>
      <c r="W90" s="112"/>
      <c r="X90" s="112"/>
      <c r="Y90" s="112"/>
      <c r="Z90" s="112"/>
      <c r="AA90" s="213" t="s">
        <v>82</v>
      </c>
      <c r="AB90" s="213" t="n">
        <v>2</v>
      </c>
      <c r="AC90" s="204" t="s">
        <v>859</v>
      </c>
      <c r="AD90" s="214" t="n">
        <v>23.99219</v>
      </c>
      <c r="AE90" s="214" t="n">
        <v>75.66965</v>
      </c>
    </row>
    <row r="91" customFormat="false" ht="15.75" hidden="false" customHeight="false" outlineLevel="0" collapsed="false">
      <c r="A91" s="196" t="s">
        <v>415</v>
      </c>
      <c r="B91" s="196" t="s">
        <v>1452</v>
      </c>
      <c r="C91" s="197" t="s">
        <v>1552</v>
      </c>
      <c r="D91" s="198" t="s">
        <v>1553</v>
      </c>
      <c r="E91" s="196"/>
      <c r="F91" s="196"/>
      <c r="G91" s="196"/>
      <c r="H91" s="196"/>
      <c r="I91" s="196"/>
      <c r="J91" s="196"/>
      <c r="K91" s="196"/>
      <c r="L91" s="112"/>
      <c r="M91" s="196"/>
      <c r="N91" s="112"/>
      <c r="O91" s="196"/>
      <c r="P91" s="196"/>
      <c r="Q91" s="200" t="s">
        <v>43</v>
      </c>
      <c r="R91" s="213" t="s">
        <v>1555</v>
      </c>
      <c r="S91" s="112"/>
      <c r="T91" s="213"/>
      <c r="U91" s="112"/>
      <c r="V91" s="112"/>
      <c r="W91" s="112"/>
      <c r="X91" s="112"/>
      <c r="Y91" s="112"/>
      <c r="Z91" s="112"/>
      <c r="AA91" s="213" t="s">
        <v>82</v>
      </c>
      <c r="AB91" s="213" t="n">
        <v>2.8</v>
      </c>
      <c r="AC91" s="204" t="s">
        <v>859</v>
      </c>
      <c r="AD91" s="214" t="n">
        <v>24.00644</v>
      </c>
      <c r="AE91" s="214" t="n">
        <v>75.66713</v>
      </c>
    </row>
    <row r="92" customFormat="false" ht="15.75" hidden="false" customHeight="false" outlineLevel="0" collapsed="false">
      <c r="A92" s="196" t="s">
        <v>415</v>
      </c>
      <c r="B92" s="196" t="s">
        <v>1452</v>
      </c>
      <c r="C92" s="197" t="s">
        <v>1552</v>
      </c>
      <c r="D92" s="198" t="s">
        <v>1553</v>
      </c>
      <c r="E92" s="196"/>
      <c r="F92" s="196"/>
      <c r="G92" s="196"/>
      <c r="H92" s="196"/>
      <c r="I92" s="196"/>
      <c r="J92" s="196"/>
      <c r="K92" s="196"/>
      <c r="L92" s="112"/>
      <c r="M92" s="196"/>
      <c r="N92" s="112"/>
      <c r="O92" s="196"/>
      <c r="P92" s="196"/>
      <c r="Q92" s="200" t="s">
        <v>43</v>
      </c>
      <c r="R92" s="213" t="s">
        <v>1555</v>
      </c>
      <c r="S92" s="112"/>
      <c r="T92" s="213"/>
      <c r="U92" s="112"/>
      <c r="V92" s="112"/>
      <c r="W92" s="112"/>
      <c r="X92" s="112"/>
      <c r="Y92" s="112"/>
      <c r="Z92" s="112"/>
      <c r="AA92" s="213" t="s">
        <v>82</v>
      </c>
      <c r="AB92" s="213" t="n">
        <v>2.2</v>
      </c>
      <c r="AC92" s="204" t="s">
        <v>859</v>
      </c>
      <c r="AD92" s="214" t="n">
        <v>24.00575</v>
      </c>
      <c r="AE92" s="214" t="n">
        <v>75.67035</v>
      </c>
    </row>
    <row r="93" customFormat="false" ht="15.75" hidden="false" customHeight="false" outlineLevel="0" collapsed="false">
      <c r="A93" s="196" t="s">
        <v>415</v>
      </c>
      <c r="B93" s="196" t="s">
        <v>1452</v>
      </c>
      <c r="C93" s="197" t="s">
        <v>1552</v>
      </c>
      <c r="D93" s="198" t="s">
        <v>1553</v>
      </c>
      <c r="E93" s="196"/>
      <c r="F93" s="196"/>
      <c r="G93" s="196"/>
      <c r="H93" s="196"/>
      <c r="I93" s="196"/>
      <c r="J93" s="196"/>
      <c r="K93" s="196"/>
      <c r="L93" s="112"/>
      <c r="M93" s="196"/>
      <c r="N93" s="112"/>
      <c r="O93" s="196"/>
      <c r="P93" s="196"/>
      <c r="Q93" s="200" t="s">
        <v>43</v>
      </c>
      <c r="R93" s="213" t="s">
        <v>1555</v>
      </c>
      <c r="S93" s="112"/>
      <c r="T93" s="213"/>
      <c r="U93" s="112"/>
      <c r="V93" s="112"/>
      <c r="W93" s="112"/>
      <c r="X93" s="112"/>
      <c r="Y93" s="112"/>
      <c r="Z93" s="112"/>
      <c r="AA93" s="213" t="s">
        <v>82</v>
      </c>
      <c r="AB93" s="213" t="n">
        <v>2</v>
      </c>
      <c r="AC93" s="204" t="s">
        <v>859</v>
      </c>
      <c r="AD93" s="214" t="n">
        <v>24.00355</v>
      </c>
      <c r="AE93" s="214" t="n">
        <v>75.65697</v>
      </c>
    </row>
    <row r="94" customFormat="false" ht="15.75" hidden="false" customHeight="false" outlineLevel="0" collapsed="false">
      <c r="A94" s="196" t="s">
        <v>415</v>
      </c>
      <c r="B94" s="196" t="s">
        <v>1452</v>
      </c>
      <c r="C94" s="197" t="s">
        <v>1552</v>
      </c>
      <c r="D94" s="198" t="s">
        <v>1553</v>
      </c>
      <c r="E94" s="196"/>
      <c r="F94" s="196"/>
      <c r="G94" s="196"/>
      <c r="H94" s="196"/>
      <c r="I94" s="196"/>
      <c r="J94" s="196"/>
      <c r="K94" s="196"/>
      <c r="L94" s="112"/>
      <c r="M94" s="196"/>
      <c r="N94" s="112"/>
      <c r="O94" s="196"/>
      <c r="P94" s="196"/>
      <c r="Q94" s="200" t="s">
        <v>43</v>
      </c>
      <c r="R94" s="213" t="s">
        <v>1555</v>
      </c>
      <c r="S94" s="112"/>
      <c r="T94" s="213"/>
      <c r="U94" s="112"/>
      <c r="V94" s="112"/>
      <c r="W94" s="112"/>
      <c r="X94" s="112"/>
      <c r="Y94" s="112"/>
      <c r="Z94" s="112"/>
      <c r="AA94" s="213" t="s">
        <v>82</v>
      </c>
      <c r="AB94" s="213" t="n">
        <v>2</v>
      </c>
      <c r="AC94" s="204" t="s">
        <v>859</v>
      </c>
      <c r="AD94" s="214" t="n">
        <v>24.00469</v>
      </c>
      <c r="AE94" s="214" t="n">
        <v>75.66064</v>
      </c>
    </row>
    <row r="95" customFormat="false" ht="15.75" hidden="false" customHeight="false" outlineLevel="0" collapsed="false">
      <c r="A95" s="196" t="s">
        <v>415</v>
      </c>
      <c r="B95" s="196" t="s">
        <v>1452</v>
      </c>
      <c r="C95" s="197" t="s">
        <v>1552</v>
      </c>
      <c r="D95" s="198" t="s">
        <v>1553</v>
      </c>
      <c r="E95" s="196"/>
      <c r="F95" s="196"/>
      <c r="G95" s="196"/>
      <c r="H95" s="196"/>
      <c r="I95" s="196"/>
      <c r="J95" s="196"/>
      <c r="K95" s="196"/>
      <c r="L95" s="112"/>
      <c r="M95" s="196"/>
      <c r="N95" s="112"/>
      <c r="O95" s="196"/>
      <c r="P95" s="196"/>
      <c r="Q95" s="200" t="s">
        <v>43</v>
      </c>
      <c r="R95" s="213" t="s">
        <v>1476</v>
      </c>
      <c r="S95" s="112"/>
      <c r="T95" s="213"/>
      <c r="U95" s="112"/>
      <c r="V95" s="112"/>
      <c r="W95" s="112"/>
      <c r="X95" s="112"/>
      <c r="Y95" s="112"/>
      <c r="Z95" s="112"/>
      <c r="AA95" s="213" t="s">
        <v>82</v>
      </c>
      <c r="AB95" s="213" t="n">
        <v>2</v>
      </c>
      <c r="AC95" s="204" t="s">
        <v>859</v>
      </c>
      <c r="AD95" s="214" t="n">
        <v>23.9819</v>
      </c>
      <c r="AE95" s="214" t="n">
        <v>75.65648</v>
      </c>
    </row>
    <row r="96" customFormat="false" ht="15.75" hidden="false" customHeight="false" outlineLevel="0" collapsed="false">
      <c r="A96" s="196" t="s">
        <v>415</v>
      </c>
      <c r="B96" s="196" t="s">
        <v>1452</v>
      </c>
      <c r="C96" s="197" t="s">
        <v>1552</v>
      </c>
      <c r="D96" s="198" t="s">
        <v>1553</v>
      </c>
      <c r="E96" s="196"/>
      <c r="F96" s="196"/>
      <c r="G96" s="196"/>
      <c r="H96" s="196"/>
      <c r="I96" s="196"/>
      <c r="J96" s="196"/>
      <c r="K96" s="196"/>
      <c r="L96" s="112"/>
      <c r="M96" s="196"/>
      <c r="N96" s="112"/>
      <c r="O96" s="196"/>
      <c r="P96" s="196"/>
      <c r="Q96" s="200" t="s">
        <v>43</v>
      </c>
      <c r="R96" s="213" t="s">
        <v>1476</v>
      </c>
      <c r="S96" s="112"/>
      <c r="T96" s="213"/>
      <c r="U96" s="112"/>
      <c r="V96" s="112"/>
      <c r="W96" s="112"/>
      <c r="X96" s="112"/>
      <c r="Y96" s="112"/>
      <c r="Z96" s="112"/>
      <c r="AA96" s="213" t="s">
        <v>82</v>
      </c>
      <c r="AB96" s="213" t="n">
        <v>5</v>
      </c>
      <c r="AC96" s="204" t="s">
        <v>859</v>
      </c>
      <c r="AD96" s="214" t="n">
        <v>24.00522</v>
      </c>
      <c r="AE96" s="214" t="n">
        <v>75.66047</v>
      </c>
    </row>
    <row r="97" customFormat="false" ht="15.75" hidden="false" customHeight="false" outlineLevel="0" collapsed="false">
      <c r="A97" s="196" t="s">
        <v>415</v>
      </c>
      <c r="B97" s="196" t="s">
        <v>1452</v>
      </c>
      <c r="C97" s="197" t="s">
        <v>1552</v>
      </c>
      <c r="D97" s="198" t="s">
        <v>1553</v>
      </c>
      <c r="E97" s="196"/>
      <c r="F97" s="196"/>
      <c r="G97" s="196"/>
      <c r="H97" s="196"/>
      <c r="I97" s="196"/>
      <c r="J97" s="196"/>
      <c r="K97" s="196"/>
      <c r="L97" s="112"/>
      <c r="M97" s="196"/>
      <c r="N97" s="112"/>
      <c r="O97" s="196"/>
      <c r="P97" s="196"/>
      <c r="Q97" s="200" t="s">
        <v>43</v>
      </c>
      <c r="R97" s="213" t="s">
        <v>1476</v>
      </c>
      <c r="S97" s="112"/>
      <c r="T97" s="213"/>
      <c r="U97" s="112"/>
      <c r="V97" s="112"/>
      <c r="W97" s="112"/>
      <c r="X97" s="112"/>
      <c r="Y97" s="112"/>
      <c r="Z97" s="112"/>
      <c r="AA97" s="213" t="s">
        <v>82</v>
      </c>
      <c r="AB97" s="213" t="n">
        <v>5</v>
      </c>
      <c r="AC97" s="204" t="s">
        <v>859</v>
      </c>
      <c r="AD97" s="214" t="n">
        <v>24.00512</v>
      </c>
      <c r="AE97" s="214" t="n">
        <v>75.66629</v>
      </c>
    </row>
    <row r="98" customFormat="false" ht="15.75" hidden="false" customHeight="false" outlineLevel="0" collapsed="false">
      <c r="A98" s="196" t="s">
        <v>415</v>
      </c>
      <c r="B98" s="196" t="s">
        <v>1452</v>
      </c>
      <c r="C98" s="197" t="s">
        <v>1552</v>
      </c>
      <c r="D98" s="198" t="s">
        <v>1553</v>
      </c>
      <c r="E98" s="196"/>
      <c r="F98" s="196"/>
      <c r="G98" s="196"/>
      <c r="H98" s="196"/>
      <c r="I98" s="196"/>
      <c r="J98" s="196"/>
      <c r="K98" s="196"/>
      <c r="L98" s="112"/>
      <c r="M98" s="196"/>
      <c r="N98" s="112"/>
      <c r="O98" s="196"/>
      <c r="P98" s="196"/>
      <c r="Q98" s="200" t="s">
        <v>43</v>
      </c>
      <c r="R98" s="213" t="s">
        <v>1476</v>
      </c>
      <c r="S98" s="112"/>
      <c r="T98" s="213"/>
      <c r="U98" s="112"/>
      <c r="V98" s="112"/>
      <c r="W98" s="112"/>
      <c r="X98" s="112"/>
      <c r="Y98" s="112"/>
      <c r="Z98" s="112"/>
      <c r="AA98" s="213" t="s">
        <v>82</v>
      </c>
      <c r="AB98" s="213" t="n">
        <v>5</v>
      </c>
      <c r="AC98" s="204" t="s">
        <v>859</v>
      </c>
      <c r="AD98" s="214" t="n">
        <v>24.0064</v>
      </c>
      <c r="AE98" s="214" t="n">
        <v>75.66762</v>
      </c>
    </row>
    <row r="99" customFormat="false" ht="15.75" hidden="false" customHeight="false" outlineLevel="0" collapsed="false">
      <c r="A99" s="196" t="s">
        <v>415</v>
      </c>
      <c r="B99" s="196" t="s">
        <v>1452</v>
      </c>
      <c r="C99" s="197" t="s">
        <v>1552</v>
      </c>
      <c r="D99" s="196" t="s">
        <v>1556</v>
      </c>
      <c r="E99" s="196" t="s">
        <v>1557</v>
      </c>
      <c r="F99" s="196" t="n">
        <v>367.04</v>
      </c>
      <c r="G99" s="196" t="n">
        <v>118</v>
      </c>
      <c r="H99" s="196" t="n">
        <v>540</v>
      </c>
      <c r="I99" s="196" t="n">
        <v>291</v>
      </c>
      <c r="J99" s="196" t="n">
        <v>249</v>
      </c>
      <c r="K99" s="196" t="n">
        <v>238</v>
      </c>
      <c r="L99" s="112" t="n">
        <f aca="false">K99/H99*100</f>
        <v>44.0740740740741</v>
      </c>
      <c r="M99" s="196" t="n">
        <v>0</v>
      </c>
      <c r="N99" s="112" t="n">
        <f aca="false">M99/H99*100</f>
        <v>0</v>
      </c>
      <c r="O99" s="196" t="n">
        <v>24.16</v>
      </c>
      <c r="P99" s="196" t="n">
        <v>0</v>
      </c>
      <c r="Q99" s="200" t="s">
        <v>45</v>
      </c>
      <c r="R99" s="200" t="s">
        <v>1476</v>
      </c>
      <c r="S99" s="112"/>
      <c r="T99" s="200"/>
      <c r="U99" s="112"/>
      <c r="V99" s="112"/>
      <c r="W99" s="112"/>
      <c r="X99" s="112"/>
      <c r="Y99" s="112"/>
      <c r="Z99" s="112"/>
      <c r="AA99" s="200" t="s">
        <v>82</v>
      </c>
      <c r="AB99" s="200" t="n">
        <v>5</v>
      </c>
      <c r="AC99" s="204"/>
      <c r="AD99" s="200" t="n">
        <v>23.980549</v>
      </c>
      <c r="AE99" s="200" t="n">
        <v>75.605401</v>
      </c>
    </row>
    <row r="100" customFormat="false" ht="15.75" hidden="false" customHeight="false" outlineLevel="0" collapsed="false">
      <c r="A100" s="196" t="s">
        <v>415</v>
      </c>
      <c r="B100" s="196" t="s">
        <v>1452</v>
      </c>
      <c r="C100" s="197" t="s">
        <v>1552</v>
      </c>
      <c r="D100" s="196" t="s">
        <v>1556</v>
      </c>
      <c r="E100" s="196"/>
      <c r="F100" s="196"/>
      <c r="G100" s="196"/>
      <c r="H100" s="196"/>
      <c r="I100" s="196"/>
      <c r="J100" s="196"/>
      <c r="K100" s="196"/>
      <c r="L100" s="112"/>
      <c r="M100" s="196"/>
      <c r="N100" s="112"/>
      <c r="O100" s="196"/>
      <c r="P100" s="196"/>
      <c r="Q100" s="200" t="s">
        <v>43</v>
      </c>
      <c r="R100" s="200" t="s">
        <v>1476</v>
      </c>
      <c r="S100" s="112"/>
      <c r="T100" s="200"/>
      <c r="U100" s="112"/>
      <c r="V100" s="112"/>
      <c r="W100" s="112"/>
      <c r="X100" s="112"/>
      <c r="Y100" s="112"/>
      <c r="Z100" s="112"/>
      <c r="AA100" s="200" t="s">
        <v>82</v>
      </c>
      <c r="AB100" s="200" t="n">
        <v>2</v>
      </c>
      <c r="AC100" s="204"/>
      <c r="AD100" s="200" t="n">
        <v>23.97015</v>
      </c>
      <c r="AE100" s="200" t="n">
        <v>75.60833</v>
      </c>
    </row>
    <row r="101" customFormat="false" ht="15.75" hidden="false" customHeight="false" outlineLevel="0" collapsed="false">
      <c r="A101" s="196" t="s">
        <v>415</v>
      </c>
      <c r="B101" s="196" t="s">
        <v>1452</v>
      </c>
      <c r="C101" s="197" t="s">
        <v>1552</v>
      </c>
      <c r="D101" s="196" t="s">
        <v>1558</v>
      </c>
      <c r="E101" s="196" t="s">
        <v>1559</v>
      </c>
      <c r="F101" s="196" t="n">
        <v>201.22</v>
      </c>
      <c r="G101" s="196" t="n">
        <v>122</v>
      </c>
      <c r="H101" s="196" t="n">
        <v>585</v>
      </c>
      <c r="I101" s="196" t="n">
        <v>300</v>
      </c>
      <c r="J101" s="196" t="n">
        <v>285</v>
      </c>
      <c r="K101" s="196" t="n">
        <v>248</v>
      </c>
      <c r="L101" s="112" t="n">
        <f aca="false">K101/H101*100</f>
        <v>42.3931623931624</v>
      </c>
      <c r="M101" s="196" t="n">
        <v>0</v>
      </c>
      <c r="N101" s="112" t="n">
        <f aca="false">M101/H101*100</f>
        <v>0</v>
      </c>
      <c r="O101" s="196" t="n">
        <v>8.89</v>
      </c>
      <c r="P101" s="196" t="n">
        <v>0</v>
      </c>
      <c r="Q101" s="200" t="s">
        <v>45</v>
      </c>
      <c r="R101" s="200" t="s">
        <v>1555</v>
      </c>
      <c r="S101" s="112"/>
      <c r="T101" s="204"/>
      <c r="U101" s="112"/>
      <c r="V101" s="112"/>
      <c r="W101" s="112"/>
      <c r="X101" s="112"/>
      <c r="Y101" s="112"/>
      <c r="Z101" s="112"/>
      <c r="AA101" s="204"/>
      <c r="AB101" s="204"/>
      <c r="AC101" s="204"/>
      <c r="AD101" s="200"/>
      <c r="AE101" s="200"/>
    </row>
    <row r="102" customFormat="false" ht="15.75" hidden="false" customHeight="false" outlineLevel="0" collapsed="false">
      <c r="A102" s="196" t="s">
        <v>415</v>
      </c>
      <c r="B102" s="196" t="s">
        <v>1452</v>
      </c>
      <c r="C102" s="197" t="s">
        <v>1552</v>
      </c>
      <c r="D102" s="196" t="s">
        <v>1560</v>
      </c>
      <c r="E102" s="196" t="s">
        <v>1561</v>
      </c>
      <c r="F102" s="196" t="n">
        <v>271.73</v>
      </c>
      <c r="G102" s="196" t="n">
        <v>72</v>
      </c>
      <c r="H102" s="196" t="n">
        <v>275</v>
      </c>
      <c r="I102" s="196" t="n">
        <v>136</v>
      </c>
      <c r="J102" s="196" t="n">
        <v>139</v>
      </c>
      <c r="K102" s="196" t="n">
        <v>0</v>
      </c>
      <c r="L102" s="112" t="n">
        <f aca="false">K102/H102*100</f>
        <v>0</v>
      </c>
      <c r="M102" s="196" t="n">
        <v>0</v>
      </c>
      <c r="N102" s="112" t="n">
        <f aca="false">M102/H102*100</f>
        <v>0</v>
      </c>
      <c r="O102" s="196" t="n">
        <v>31.26</v>
      </c>
      <c r="P102" s="196" t="n">
        <v>0</v>
      </c>
      <c r="Q102" s="200" t="s">
        <v>45</v>
      </c>
      <c r="R102" s="200" t="s">
        <v>1555</v>
      </c>
      <c r="S102" s="112"/>
      <c r="T102" s="204"/>
      <c r="U102" s="112"/>
      <c r="V102" s="112"/>
      <c r="W102" s="112"/>
      <c r="X102" s="112"/>
      <c r="Y102" s="112"/>
      <c r="Z102" s="112"/>
      <c r="AA102" s="200"/>
      <c r="AB102" s="200"/>
      <c r="AC102" s="204" t="s">
        <v>1562</v>
      </c>
      <c r="AD102" s="200"/>
      <c r="AE102" s="200"/>
    </row>
    <row r="103" customFormat="false" ht="15.75" hidden="false" customHeight="false" outlineLevel="0" collapsed="false">
      <c r="A103" s="196" t="s">
        <v>415</v>
      </c>
      <c r="B103" s="196" t="s">
        <v>1452</v>
      </c>
      <c r="C103" s="197" t="s">
        <v>1552</v>
      </c>
      <c r="D103" s="196" t="s">
        <v>1560</v>
      </c>
      <c r="E103" s="196"/>
      <c r="F103" s="196"/>
      <c r="G103" s="196"/>
      <c r="H103" s="196"/>
      <c r="I103" s="196"/>
      <c r="J103" s="196"/>
      <c r="K103" s="196"/>
      <c r="L103" s="112"/>
      <c r="M103" s="196"/>
      <c r="N103" s="112"/>
      <c r="O103" s="196"/>
      <c r="P103" s="196"/>
      <c r="Q103" s="199" t="s">
        <v>45</v>
      </c>
      <c r="R103" s="200" t="s">
        <v>1563</v>
      </c>
      <c r="S103" s="112"/>
      <c r="T103" s="200"/>
      <c r="U103" s="112"/>
      <c r="V103" s="112"/>
      <c r="W103" s="112"/>
      <c r="X103" s="112"/>
      <c r="Y103" s="112"/>
      <c r="Z103" s="112"/>
      <c r="AA103" s="200" t="s">
        <v>43</v>
      </c>
      <c r="AB103" s="200" t="n">
        <v>3</v>
      </c>
      <c r="AC103" s="204"/>
      <c r="AD103" s="200" t="n">
        <v>23.85</v>
      </c>
      <c r="AE103" s="200" t="n">
        <v>75.64</v>
      </c>
    </row>
    <row r="104" customFormat="false" ht="15.75" hidden="false" customHeight="false" outlineLevel="0" collapsed="false">
      <c r="A104" s="196" t="s">
        <v>415</v>
      </c>
      <c r="B104" s="196" t="s">
        <v>1452</v>
      </c>
      <c r="C104" s="197" t="s">
        <v>1552</v>
      </c>
      <c r="D104" s="196" t="s">
        <v>1564</v>
      </c>
      <c r="E104" s="196" t="s">
        <v>1565</v>
      </c>
      <c r="F104" s="196" t="n">
        <v>818.58</v>
      </c>
      <c r="G104" s="196" t="n">
        <v>290</v>
      </c>
      <c r="H104" s="196" t="n">
        <v>1347</v>
      </c>
      <c r="I104" s="196" t="n">
        <v>687</v>
      </c>
      <c r="J104" s="196" t="n">
        <v>660</v>
      </c>
      <c r="K104" s="196" t="n">
        <v>205</v>
      </c>
      <c r="L104" s="112" t="n">
        <f aca="false">K104/H104*100</f>
        <v>15.2190051967335</v>
      </c>
      <c r="M104" s="196" t="n">
        <v>0</v>
      </c>
      <c r="N104" s="112" t="n">
        <f aca="false">M104/H104*100</f>
        <v>0</v>
      </c>
      <c r="O104" s="196" t="n">
        <v>43.47</v>
      </c>
      <c r="P104" s="196" t="n">
        <v>50.72</v>
      </c>
      <c r="Q104" s="200" t="s">
        <v>45</v>
      </c>
      <c r="R104" s="200" t="s">
        <v>1555</v>
      </c>
      <c r="S104" s="112"/>
      <c r="T104" s="204"/>
      <c r="U104" s="112"/>
      <c r="V104" s="112"/>
      <c r="W104" s="112"/>
      <c r="X104" s="112"/>
      <c r="Y104" s="112"/>
      <c r="Z104" s="112"/>
      <c r="AA104" s="200"/>
      <c r="AB104" s="200"/>
      <c r="AC104" s="204"/>
      <c r="AD104" s="200"/>
      <c r="AE104" s="200"/>
    </row>
    <row r="105" customFormat="false" ht="15.75" hidden="false" customHeight="false" outlineLevel="0" collapsed="false">
      <c r="A105" s="196"/>
      <c r="B105" s="196"/>
      <c r="C105" s="197"/>
      <c r="D105" s="196"/>
      <c r="E105" s="196"/>
      <c r="F105" s="196"/>
      <c r="G105" s="196"/>
      <c r="H105" s="196"/>
      <c r="I105" s="196"/>
      <c r="J105" s="196"/>
      <c r="K105" s="196"/>
      <c r="L105" s="112"/>
      <c r="M105" s="196"/>
      <c r="N105" s="112"/>
      <c r="O105" s="196"/>
      <c r="P105" s="196"/>
      <c r="Q105" s="200" t="s">
        <v>43</v>
      </c>
      <c r="R105" s="200" t="s">
        <v>1555</v>
      </c>
      <c r="S105" s="112"/>
      <c r="T105" s="204"/>
      <c r="U105" s="112"/>
      <c r="V105" s="112"/>
      <c r="W105" s="112"/>
      <c r="X105" s="112"/>
      <c r="Y105" s="112"/>
      <c r="Z105" s="112"/>
      <c r="AA105" s="200" t="s">
        <v>82</v>
      </c>
      <c r="AB105" s="200" t="n">
        <v>5</v>
      </c>
      <c r="AC105" s="204"/>
      <c r="AD105" s="200" t="n">
        <v>23.99248</v>
      </c>
      <c r="AE105" s="200" t="n">
        <v>75.62782</v>
      </c>
    </row>
    <row r="106" customFormat="false" ht="15.75" hidden="false" customHeight="false" outlineLevel="0" collapsed="false">
      <c r="A106" s="196" t="s">
        <v>415</v>
      </c>
      <c r="B106" s="196" t="s">
        <v>1452</v>
      </c>
      <c r="C106" s="197" t="s">
        <v>1552</v>
      </c>
      <c r="D106" s="196" t="s">
        <v>1566</v>
      </c>
      <c r="E106" s="196" t="s">
        <v>1567</v>
      </c>
      <c r="F106" s="196" t="n">
        <v>417.45</v>
      </c>
      <c r="G106" s="196" t="n">
        <v>110</v>
      </c>
      <c r="H106" s="196" t="n">
        <v>595</v>
      </c>
      <c r="I106" s="196" t="n">
        <v>304</v>
      </c>
      <c r="J106" s="196" t="n">
        <v>291</v>
      </c>
      <c r="K106" s="196" t="n">
        <v>11</v>
      </c>
      <c r="L106" s="112" t="n">
        <f aca="false">K106/H106*100</f>
        <v>1.84873949579832</v>
      </c>
      <c r="M106" s="196" t="n">
        <v>0</v>
      </c>
      <c r="N106" s="112" t="n">
        <f aca="false">M106/H106*100</f>
        <v>0</v>
      </c>
      <c r="O106" s="196" t="n">
        <v>38.34</v>
      </c>
      <c r="P106" s="196" t="n">
        <v>0</v>
      </c>
      <c r="Q106" s="200" t="s">
        <v>45</v>
      </c>
      <c r="R106" s="200" t="s">
        <v>1555</v>
      </c>
      <c r="S106" s="112"/>
      <c r="T106" s="204"/>
      <c r="U106" s="112"/>
      <c r="V106" s="112"/>
      <c r="W106" s="112"/>
      <c r="X106" s="112"/>
      <c r="Y106" s="112"/>
      <c r="Z106" s="112"/>
      <c r="AA106" s="200"/>
      <c r="AB106" s="200"/>
      <c r="AC106" s="204"/>
      <c r="AD106" s="200"/>
      <c r="AE106" s="200"/>
    </row>
    <row r="107" customFormat="false" ht="15.75" hidden="false" customHeight="false" outlineLevel="0" collapsed="false">
      <c r="A107" s="196" t="s">
        <v>415</v>
      </c>
      <c r="B107" s="196" t="s">
        <v>1452</v>
      </c>
      <c r="C107" s="197" t="s">
        <v>1552</v>
      </c>
      <c r="D107" s="196" t="s">
        <v>1566</v>
      </c>
      <c r="E107" s="196"/>
      <c r="F107" s="196"/>
      <c r="G107" s="196"/>
      <c r="H107" s="196"/>
      <c r="I107" s="196"/>
      <c r="J107" s="196"/>
      <c r="K107" s="196"/>
      <c r="L107" s="112"/>
      <c r="M107" s="196"/>
      <c r="N107" s="112"/>
      <c r="O107" s="196"/>
      <c r="P107" s="196"/>
      <c r="Q107" s="200" t="s">
        <v>43</v>
      </c>
      <c r="R107" s="204" t="s">
        <v>1555</v>
      </c>
      <c r="S107" s="112"/>
      <c r="T107" s="204"/>
      <c r="U107" s="112"/>
      <c r="V107" s="112"/>
      <c r="W107" s="112"/>
      <c r="X107" s="112"/>
      <c r="Y107" s="112"/>
      <c r="Z107" s="112"/>
      <c r="AA107" s="204" t="s">
        <v>82</v>
      </c>
      <c r="AB107" s="204" t="n">
        <v>4</v>
      </c>
      <c r="AC107" s="204"/>
      <c r="AD107" s="204" t="n">
        <v>24.00229</v>
      </c>
      <c r="AE107" s="204" t="n">
        <v>75.68078</v>
      </c>
    </row>
    <row r="108" customFormat="false" ht="15.75" hidden="false" customHeight="false" outlineLevel="0" collapsed="false">
      <c r="A108" s="196" t="s">
        <v>415</v>
      </c>
      <c r="B108" s="196" t="s">
        <v>1452</v>
      </c>
      <c r="C108" s="197" t="s">
        <v>1552</v>
      </c>
      <c r="D108" s="196" t="s">
        <v>1566</v>
      </c>
      <c r="E108" s="196"/>
      <c r="F108" s="196"/>
      <c r="G108" s="196"/>
      <c r="H108" s="196"/>
      <c r="I108" s="196"/>
      <c r="J108" s="196"/>
      <c r="K108" s="196"/>
      <c r="L108" s="112"/>
      <c r="M108" s="196"/>
      <c r="N108" s="112"/>
      <c r="O108" s="196"/>
      <c r="P108" s="196"/>
      <c r="Q108" s="200" t="s">
        <v>43</v>
      </c>
      <c r="R108" s="204" t="s">
        <v>1555</v>
      </c>
      <c r="S108" s="112"/>
      <c r="T108" s="204"/>
      <c r="U108" s="112"/>
      <c r="V108" s="112"/>
      <c r="W108" s="112"/>
      <c r="X108" s="112"/>
      <c r="Y108" s="112"/>
      <c r="Z108" s="112"/>
      <c r="AA108" s="204" t="s">
        <v>82</v>
      </c>
      <c r="AB108" s="204" t="n">
        <v>2.8</v>
      </c>
      <c r="AC108" s="204"/>
      <c r="AD108" s="204" t="n">
        <v>24.00379</v>
      </c>
      <c r="AE108" s="204" t="n">
        <v>75.68</v>
      </c>
    </row>
    <row r="109" customFormat="false" ht="15.75" hidden="false" customHeight="false" outlineLevel="0" collapsed="false">
      <c r="A109" s="196" t="s">
        <v>415</v>
      </c>
      <c r="B109" s="196" t="s">
        <v>1452</v>
      </c>
      <c r="C109" s="197" t="s">
        <v>1552</v>
      </c>
      <c r="D109" s="196" t="s">
        <v>1566</v>
      </c>
      <c r="E109" s="196"/>
      <c r="F109" s="196"/>
      <c r="G109" s="196"/>
      <c r="H109" s="196"/>
      <c r="I109" s="196"/>
      <c r="J109" s="196"/>
      <c r="K109" s="196"/>
      <c r="L109" s="112"/>
      <c r="M109" s="196"/>
      <c r="N109" s="112"/>
      <c r="O109" s="196"/>
      <c r="P109" s="196"/>
      <c r="Q109" s="200" t="s">
        <v>43</v>
      </c>
      <c r="R109" s="204" t="s">
        <v>1555</v>
      </c>
      <c r="S109" s="112"/>
      <c r="T109" s="204"/>
      <c r="U109" s="112"/>
      <c r="V109" s="112"/>
      <c r="W109" s="112"/>
      <c r="X109" s="112"/>
      <c r="Y109" s="112"/>
      <c r="Z109" s="112"/>
      <c r="AA109" s="204" t="s">
        <v>82</v>
      </c>
      <c r="AB109" s="204" t="n">
        <v>2.2</v>
      </c>
      <c r="AC109" s="204"/>
      <c r="AD109" s="204" t="n">
        <v>24.00146</v>
      </c>
      <c r="AE109" s="204" t="n">
        <v>75.68132</v>
      </c>
    </row>
    <row r="110" customFormat="false" ht="15.75" hidden="false" customHeight="false" outlineLevel="0" collapsed="false">
      <c r="A110" s="196" t="s">
        <v>415</v>
      </c>
      <c r="B110" s="196" t="s">
        <v>1452</v>
      </c>
      <c r="C110" s="197" t="s">
        <v>1552</v>
      </c>
      <c r="D110" s="196" t="s">
        <v>1566</v>
      </c>
      <c r="E110" s="196"/>
      <c r="F110" s="196"/>
      <c r="G110" s="196"/>
      <c r="H110" s="196"/>
      <c r="I110" s="196"/>
      <c r="J110" s="196"/>
      <c r="K110" s="196"/>
      <c r="L110" s="112"/>
      <c r="M110" s="196"/>
      <c r="N110" s="112"/>
      <c r="O110" s="196"/>
      <c r="P110" s="196"/>
      <c r="Q110" s="200" t="s">
        <v>43</v>
      </c>
      <c r="R110" s="200" t="s">
        <v>1555</v>
      </c>
      <c r="S110" s="112"/>
      <c r="T110" s="204"/>
      <c r="U110" s="112"/>
      <c r="V110" s="112"/>
      <c r="W110" s="112"/>
      <c r="X110" s="112"/>
      <c r="Y110" s="112"/>
      <c r="Z110" s="112"/>
      <c r="AA110" s="200" t="s">
        <v>150</v>
      </c>
      <c r="AB110" s="200" t="n">
        <v>2</v>
      </c>
      <c r="AC110" s="204"/>
      <c r="AD110" s="200" t="n">
        <v>23.99609</v>
      </c>
      <c r="AE110" s="200" t="n">
        <v>75.68342</v>
      </c>
    </row>
    <row r="111" customFormat="false" ht="15.75" hidden="false" customHeight="false" outlineLevel="0" collapsed="false">
      <c r="A111" s="196" t="s">
        <v>415</v>
      </c>
      <c r="B111" s="196" t="s">
        <v>1452</v>
      </c>
      <c r="C111" s="197" t="s">
        <v>1552</v>
      </c>
      <c r="D111" s="196" t="s">
        <v>1566</v>
      </c>
      <c r="E111" s="196"/>
      <c r="F111" s="196"/>
      <c r="G111" s="196"/>
      <c r="H111" s="196"/>
      <c r="I111" s="196"/>
      <c r="J111" s="196"/>
      <c r="K111" s="196"/>
      <c r="L111" s="112"/>
      <c r="M111" s="196"/>
      <c r="N111" s="112"/>
      <c r="O111" s="196"/>
      <c r="P111" s="196"/>
      <c r="Q111" s="200" t="s">
        <v>43</v>
      </c>
      <c r="R111" s="200" t="s">
        <v>1555</v>
      </c>
      <c r="S111" s="112"/>
      <c r="T111" s="204"/>
      <c r="U111" s="112"/>
      <c r="V111" s="112"/>
      <c r="W111" s="112"/>
      <c r="X111" s="112"/>
      <c r="Y111" s="112"/>
      <c r="Z111" s="112"/>
      <c r="AA111" s="200" t="s">
        <v>150</v>
      </c>
      <c r="AB111" s="200" t="n">
        <v>2</v>
      </c>
      <c r="AC111" s="204"/>
      <c r="AD111" s="200" t="n">
        <v>23.99265</v>
      </c>
      <c r="AE111" s="200" t="n">
        <v>75.67089</v>
      </c>
    </row>
    <row r="112" customFormat="false" ht="15.75" hidden="false" customHeight="false" outlineLevel="0" collapsed="false">
      <c r="A112" s="196" t="s">
        <v>415</v>
      </c>
      <c r="B112" s="196" t="s">
        <v>1452</v>
      </c>
      <c r="C112" s="197" t="s">
        <v>1552</v>
      </c>
      <c r="D112" s="196" t="s">
        <v>1566</v>
      </c>
      <c r="E112" s="196"/>
      <c r="F112" s="196"/>
      <c r="G112" s="196"/>
      <c r="H112" s="196"/>
      <c r="I112" s="196"/>
      <c r="J112" s="196"/>
      <c r="K112" s="196"/>
      <c r="L112" s="112"/>
      <c r="M112" s="196"/>
      <c r="N112" s="112"/>
      <c r="O112" s="196"/>
      <c r="P112" s="196"/>
      <c r="Q112" s="200" t="s">
        <v>43</v>
      </c>
      <c r="R112" s="200" t="s">
        <v>1555</v>
      </c>
      <c r="S112" s="112"/>
      <c r="T112" s="204"/>
      <c r="U112" s="112"/>
      <c r="V112" s="112"/>
      <c r="W112" s="112"/>
      <c r="X112" s="112"/>
      <c r="Y112" s="112"/>
      <c r="Z112" s="112"/>
      <c r="AA112" s="200" t="s">
        <v>150</v>
      </c>
      <c r="AB112" s="200" t="n">
        <v>2.2</v>
      </c>
      <c r="AC112" s="204"/>
      <c r="AD112" s="200" t="n">
        <v>24.00127</v>
      </c>
      <c r="AE112" s="200" t="n">
        <v>75.68394</v>
      </c>
    </row>
    <row r="113" customFormat="false" ht="15.75" hidden="false" customHeight="false" outlineLevel="0" collapsed="false">
      <c r="A113" s="196" t="s">
        <v>415</v>
      </c>
      <c r="B113" s="196" t="s">
        <v>1452</v>
      </c>
      <c r="C113" s="197" t="s">
        <v>1552</v>
      </c>
      <c r="D113" s="196" t="s">
        <v>1566</v>
      </c>
      <c r="E113" s="196"/>
      <c r="F113" s="196"/>
      <c r="G113" s="196"/>
      <c r="H113" s="196"/>
      <c r="I113" s="196"/>
      <c r="J113" s="196"/>
      <c r="K113" s="196"/>
      <c r="L113" s="112"/>
      <c r="M113" s="196"/>
      <c r="N113" s="112"/>
      <c r="O113" s="196"/>
      <c r="P113" s="196"/>
      <c r="Q113" s="200" t="s">
        <v>43</v>
      </c>
      <c r="R113" s="200" t="s">
        <v>1555</v>
      </c>
      <c r="S113" s="112"/>
      <c r="T113" s="204"/>
      <c r="U113" s="112"/>
      <c r="V113" s="112"/>
      <c r="W113" s="112"/>
      <c r="X113" s="112"/>
      <c r="Y113" s="112"/>
      <c r="Z113" s="112"/>
      <c r="AA113" s="200" t="s">
        <v>150</v>
      </c>
      <c r="AB113" s="200" t="n">
        <v>2.8</v>
      </c>
      <c r="AC113" s="204"/>
      <c r="AD113" s="200" t="n">
        <v>24.00444</v>
      </c>
      <c r="AE113" s="200" t="n">
        <v>75.6823</v>
      </c>
    </row>
    <row r="114" customFormat="false" ht="15.75" hidden="false" customHeight="false" outlineLevel="0" collapsed="false">
      <c r="A114" s="196" t="s">
        <v>415</v>
      </c>
      <c r="B114" s="196" t="s">
        <v>1452</v>
      </c>
      <c r="C114" s="197" t="s">
        <v>1552</v>
      </c>
      <c r="D114" s="196" t="s">
        <v>1566</v>
      </c>
      <c r="E114" s="196"/>
      <c r="F114" s="196"/>
      <c r="G114" s="196"/>
      <c r="H114" s="196"/>
      <c r="I114" s="196"/>
      <c r="J114" s="196"/>
      <c r="K114" s="196"/>
      <c r="L114" s="112"/>
      <c r="M114" s="196"/>
      <c r="N114" s="112"/>
      <c r="O114" s="196"/>
      <c r="P114" s="196"/>
      <c r="Q114" s="200" t="s">
        <v>43</v>
      </c>
      <c r="R114" s="200" t="s">
        <v>1555</v>
      </c>
      <c r="S114" s="112"/>
      <c r="T114" s="204"/>
      <c r="U114" s="112"/>
      <c r="V114" s="112"/>
      <c r="W114" s="112"/>
      <c r="X114" s="112"/>
      <c r="Y114" s="112"/>
      <c r="Z114" s="112"/>
      <c r="AA114" s="200" t="s">
        <v>150</v>
      </c>
      <c r="AB114" s="200" t="n">
        <v>2</v>
      </c>
      <c r="AC114" s="204"/>
      <c r="AD114" s="200" t="n">
        <v>24.0012</v>
      </c>
      <c r="AE114" s="200" t="n">
        <v>75.68544</v>
      </c>
    </row>
    <row r="115" customFormat="false" ht="15.75" hidden="false" customHeight="false" outlineLevel="0" collapsed="false">
      <c r="A115" s="196" t="s">
        <v>415</v>
      </c>
      <c r="B115" s="196" t="s">
        <v>1452</v>
      </c>
      <c r="C115" s="197" t="s">
        <v>1552</v>
      </c>
      <c r="D115" s="196" t="s">
        <v>1566</v>
      </c>
      <c r="E115" s="196"/>
      <c r="F115" s="196"/>
      <c r="G115" s="196"/>
      <c r="H115" s="196"/>
      <c r="I115" s="196"/>
      <c r="J115" s="196"/>
      <c r="K115" s="196"/>
      <c r="L115" s="112"/>
      <c r="M115" s="196"/>
      <c r="N115" s="112"/>
      <c r="O115" s="196"/>
      <c r="P115" s="196"/>
      <c r="Q115" s="200" t="s">
        <v>43</v>
      </c>
      <c r="R115" s="200" t="s">
        <v>1555</v>
      </c>
      <c r="S115" s="112"/>
      <c r="T115" s="204"/>
      <c r="U115" s="112"/>
      <c r="V115" s="112"/>
      <c r="W115" s="112"/>
      <c r="X115" s="112"/>
      <c r="Y115" s="112"/>
      <c r="Z115" s="112"/>
      <c r="AA115" s="200" t="s">
        <v>150</v>
      </c>
      <c r="AB115" s="200" t="n">
        <v>5</v>
      </c>
      <c r="AC115" s="204"/>
      <c r="AD115" s="200" t="n">
        <v>24.00451</v>
      </c>
      <c r="AE115" s="200" t="n">
        <v>75.68018</v>
      </c>
    </row>
    <row r="116" customFormat="false" ht="15.75" hidden="false" customHeight="false" outlineLevel="0" collapsed="false">
      <c r="A116" s="196" t="s">
        <v>415</v>
      </c>
      <c r="B116" s="196" t="s">
        <v>1452</v>
      </c>
      <c r="C116" s="197" t="s">
        <v>1552</v>
      </c>
      <c r="D116" s="196" t="s">
        <v>69</v>
      </c>
      <c r="E116" s="196" t="s">
        <v>1568</v>
      </c>
      <c r="F116" s="196" t="n">
        <v>103.91</v>
      </c>
      <c r="G116" s="196" t="n">
        <v>40</v>
      </c>
      <c r="H116" s="196" t="n">
        <v>180</v>
      </c>
      <c r="I116" s="196" t="n">
        <v>95</v>
      </c>
      <c r="J116" s="196" t="n">
        <v>85</v>
      </c>
      <c r="K116" s="196" t="n">
        <v>180</v>
      </c>
      <c r="L116" s="112" t="n">
        <f aca="false">K116/H116*100</f>
        <v>100</v>
      </c>
      <c r="M116" s="196" t="n">
        <v>0</v>
      </c>
      <c r="N116" s="112" t="n">
        <f aca="false">M116/H116*100</f>
        <v>0</v>
      </c>
      <c r="O116" s="196" t="n">
        <v>1.2</v>
      </c>
      <c r="P116" s="196" t="n">
        <v>0</v>
      </c>
      <c r="Q116" s="200" t="s">
        <v>45</v>
      </c>
      <c r="R116" s="200" t="s">
        <v>1476</v>
      </c>
      <c r="S116" s="112"/>
      <c r="T116" s="204"/>
      <c r="U116" s="112"/>
      <c r="V116" s="112"/>
      <c r="W116" s="112"/>
      <c r="X116" s="112"/>
      <c r="Y116" s="112"/>
      <c r="Z116" s="112"/>
      <c r="AA116" s="200" t="s">
        <v>80</v>
      </c>
      <c r="AB116" s="200" t="n">
        <v>0</v>
      </c>
      <c r="AC116" s="204"/>
      <c r="AD116" s="200" t="n">
        <v>24.000906</v>
      </c>
      <c r="AE116" s="200" t="n">
        <v>75.641771</v>
      </c>
    </row>
    <row r="117" customFormat="false" ht="15.75" hidden="false" customHeight="false" outlineLevel="0" collapsed="false">
      <c r="A117" s="196" t="s">
        <v>415</v>
      </c>
      <c r="B117" s="196" t="s">
        <v>1452</v>
      </c>
      <c r="C117" s="197" t="s">
        <v>1552</v>
      </c>
      <c r="D117" s="196" t="s">
        <v>69</v>
      </c>
      <c r="E117" s="196"/>
      <c r="F117" s="196"/>
      <c r="G117" s="196"/>
      <c r="H117" s="196"/>
      <c r="I117" s="196"/>
      <c r="J117" s="196"/>
      <c r="K117" s="196"/>
      <c r="L117" s="112"/>
      <c r="M117" s="196"/>
      <c r="N117" s="112"/>
      <c r="O117" s="196"/>
      <c r="P117" s="196"/>
      <c r="Q117" s="200" t="s">
        <v>45</v>
      </c>
      <c r="R117" s="200" t="s">
        <v>1476</v>
      </c>
      <c r="S117" s="112"/>
      <c r="T117" s="204"/>
      <c r="U117" s="112"/>
      <c r="V117" s="112"/>
      <c r="W117" s="112"/>
      <c r="X117" s="112"/>
      <c r="Y117" s="112"/>
      <c r="Z117" s="112"/>
      <c r="AA117" s="200" t="s">
        <v>82</v>
      </c>
      <c r="AB117" s="200" t="n">
        <v>1</v>
      </c>
      <c r="AC117" s="204"/>
      <c r="AD117" s="200" t="n">
        <v>24.000906</v>
      </c>
      <c r="AE117" s="200" t="n">
        <v>75.641771</v>
      </c>
    </row>
    <row r="118" customFormat="false" ht="15.75" hidden="false" customHeight="false" outlineLevel="0" collapsed="false">
      <c r="A118" s="196" t="s">
        <v>415</v>
      </c>
      <c r="B118" s="196" t="s">
        <v>1452</v>
      </c>
      <c r="C118" s="197" t="s">
        <v>1552</v>
      </c>
      <c r="D118" s="196" t="s">
        <v>1569</v>
      </c>
      <c r="E118" s="196" t="s">
        <v>1570</v>
      </c>
      <c r="F118" s="196" t="n">
        <v>149.56</v>
      </c>
      <c r="G118" s="196" t="n">
        <v>0</v>
      </c>
      <c r="H118" s="196" t="n">
        <v>0</v>
      </c>
      <c r="I118" s="196" t="n">
        <v>0</v>
      </c>
      <c r="J118" s="196" t="n">
        <v>0</v>
      </c>
      <c r="K118" s="196" t="n">
        <v>0</v>
      </c>
      <c r="L118" s="112"/>
      <c r="M118" s="196"/>
      <c r="N118" s="112"/>
      <c r="O118" s="196" t="n">
        <v>0</v>
      </c>
      <c r="P118" s="196" t="n">
        <v>0</v>
      </c>
      <c r="Q118" s="204"/>
      <c r="R118" s="204"/>
      <c r="S118" s="112"/>
      <c r="T118" s="204"/>
      <c r="U118" s="112"/>
      <c r="V118" s="112"/>
      <c r="W118" s="112"/>
      <c r="X118" s="112"/>
      <c r="Y118" s="112"/>
      <c r="Z118" s="112"/>
      <c r="AA118" s="204"/>
      <c r="AB118" s="204"/>
      <c r="AC118" s="204"/>
      <c r="AD118" s="204"/>
      <c r="AE118" s="204"/>
    </row>
    <row r="119" customFormat="false" ht="15.75" hidden="false" customHeight="false" outlineLevel="0" collapsed="false">
      <c r="A119" s="196" t="s">
        <v>415</v>
      </c>
      <c r="B119" s="196" t="s">
        <v>1452</v>
      </c>
      <c r="C119" s="197" t="s">
        <v>1571</v>
      </c>
      <c r="D119" s="198" t="s">
        <v>1572</v>
      </c>
      <c r="E119" s="196" t="s">
        <v>1573</v>
      </c>
      <c r="F119" s="196" t="n">
        <v>1085.51</v>
      </c>
      <c r="G119" s="196" t="n">
        <v>181</v>
      </c>
      <c r="H119" s="196" t="n">
        <v>976</v>
      </c>
      <c r="I119" s="196" t="n">
        <v>503</v>
      </c>
      <c r="J119" s="196" t="n">
        <v>473</v>
      </c>
      <c r="K119" s="196" t="n">
        <v>109</v>
      </c>
      <c r="L119" s="112" t="n">
        <f aca="false">K119/H119*100</f>
        <v>11.1680327868852</v>
      </c>
      <c r="M119" s="196" t="n">
        <v>0</v>
      </c>
      <c r="N119" s="112" t="n">
        <f aca="false">M119/H119*100</f>
        <v>0</v>
      </c>
      <c r="O119" s="196" t="n">
        <v>64.64</v>
      </c>
      <c r="P119" s="196" t="n">
        <v>307.84</v>
      </c>
      <c r="Q119" s="200" t="s">
        <v>45</v>
      </c>
      <c r="R119" s="200" t="s">
        <v>1555</v>
      </c>
      <c r="S119" s="112"/>
      <c r="T119" s="200" t="n">
        <v>67.2156</v>
      </c>
      <c r="U119" s="112"/>
      <c r="V119" s="112"/>
      <c r="W119" s="112" t="s">
        <v>43</v>
      </c>
      <c r="X119" s="112" t="s">
        <v>43</v>
      </c>
      <c r="Y119" s="112" t="s">
        <v>43</v>
      </c>
      <c r="Z119" s="112" t="s">
        <v>43</v>
      </c>
      <c r="AA119" s="200" t="s">
        <v>150</v>
      </c>
      <c r="AB119" s="200" t="n">
        <v>15</v>
      </c>
      <c r="AC119" s="204"/>
      <c r="AD119" s="200" t="n">
        <v>24.007898</v>
      </c>
      <c r="AE119" s="200" t="n">
        <v>75.883547</v>
      </c>
    </row>
    <row r="120" customFormat="false" ht="15.75" hidden="false" customHeight="false" outlineLevel="0" collapsed="false">
      <c r="A120" s="196" t="s">
        <v>415</v>
      </c>
      <c r="B120" s="196" t="s">
        <v>1452</v>
      </c>
      <c r="C120" s="197" t="s">
        <v>1571</v>
      </c>
      <c r="D120" s="196" t="s">
        <v>1574</v>
      </c>
      <c r="E120" s="196" t="s">
        <v>1575</v>
      </c>
      <c r="F120" s="196" t="n">
        <v>381.16</v>
      </c>
      <c r="G120" s="196" t="n">
        <v>170</v>
      </c>
      <c r="H120" s="196" t="n">
        <v>922</v>
      </c>
      <c r="I120" s="196" t="n">
        <v>492</v>
      </c>
      <c r="J120" s="196" t="n">
        <v>430</v>
      </c>
      <c r="K120" s="196" t="n">
        <v>304</v>
      </c>
      <c r="L120" s="112" t="n">
        <f aca="false">K120/H120*100</f>
        <v>32.9718004338395</v>
      </c>
      <c r="M120" s="196" t="n">
        <v>0</v>
      </c>
      <c r="N120" s="112" t="n">
        <f aca="false">M120/H120*100</f>
        <v>0</v>
      </c>
      <c r="O120" s="196" t="n">
        <v>81.01</v>
      </c>
      <c r="P120" s="196" t="n">
        <v>37.04</v>
      </c>
      <c r="Q120" s="204"/>
      <c r="R120" s="204"/>
      <c r="S120" s="112"/>
      <c r="T120" s="204"/>
      <c r="U120" s="112"/>
      <c r="V120" s="112"/>
      <c r="W120" s="112"/>
      <c r="X120" s="112"/>
      <c r="Y120" s="112"/>
      <c r="Z120" s="112"/>
      <c r="AA120" s="204"/>
      <c r="AB120" s="204"/>
      <c r="AC120" s="204"/>
      <c r="AD120" s="204"/>
      <c r="AE120" s="204"/>
    </row>
    <row r="121" customFormat="false" ht="15.75" hidden="false" customHeight="false" outlineLevel="0" collapsed="false">
      <c r="A121" s="196" t="s">
        <v>415</v>
      </c>
      <c r="B121" s="196" t="s">
        <v>1452</v>
      </c>
      <c r="C121" s="197" t="s">
        <v>1571</v>
      </c>
      <c r="D121" s="196" t="s">
        <v>1576</v>
      </c>
      <c r="E121" s="196" t="s">
        <v>1577</v>
      </c>
      <c r="F121" s="196" t="n">
        <v>820.3</v>
      </c>
      <c r="G121" s="196" t="n">
        <v>40</v>
      </c>
      <c r="H121" s="196" t="n">
        <v>233</v>
      </c>
      <c r="I121" s="196" t="n">
        <v>123</v>
      </c>
      <c r="J121" s="196" t="n">
        <v>110</v>
      </c>
      <c r="K121" s="196" t="n">
        <v>47</v>
      </c>
      <c r="L121" s="112" t="n">
        <f aca="false">K121/H121*100</f>
        <v>20.1716738197425</v>
      </c>
      <c r="M121" s="196" t="n">
        <v>0</v>
      </c>
      <c r="N121" s="112" t="n">
        <f aca="false">M121/H121*100</f>
        <v>0</v>
      </c>
      <c r="O121" s="196" t="n">
        <v>47.04</v>
      </c>
      <c r="P121" s="196" t="n">
        <v>373.02</v>
      </c>
      <c r="Q121" s="200" t="s">
        <v>45</v>
      </c>
      <c r="R121" s="200" t="s">
        <v>1555</v>
      </c>
      <c r="S121" s="112"/>
      <c r="T121" s="200" t="n">
        <v>44.5785</v>
      </c>
      <c r="U121" s="112"/>
      <c r="V121" s="112"/>
      <c r="W121" s="112"/>
      <c r="X121" s="112"/>
      <c r="Y121" s="112"/>
      <c r="Z121" s="112"/>
      <c r="AA121" s="200" t="s">
        <v>150</v>
      </c>
      <c r="AB121" s="200" t="n">
        <v>10</v>
      </c>
      <c r="AC121" s="204"/>
      <c r="AD121" s="200" t="n">
        <v>24.012165</v>
      </c>
      <c r="AE121" s="200" t="n">
        <v>75.863862</v>
      </c>
    </row>
    <row r="122" customFormat="false" ht="15.75" hidden="false" customHeight="false" outlineLevel="0" collapsed="false">
      <c r="A122" s="196" t="s">
        <v>415</v>
      </c>
      <c r="B122" s="196" t="s">
        <v>1452</v>
      </c>
      <c r="C122" s="197" t="s">
        <v>1571</v>
      </c>
      <c r="D122" s="196" t="s">
        <v>1578</v>
      </c>
      <c r="E122" s="196" t="s">
        <v>1579</v>
      </c>
      <c r="F122" s="196" t="n">
        <v>585.52</v>
      </c>
      <c r="G122" s="196" t="n">
        <v>76</v>
      </c>
      <c r="H122" s="196" t="n">
        <v>437</v>
      </c>
      <c r="I122" s="196" t="n">
        <v>240</v>
      </c>
      <c r="J122" s="196" t="n">
        <v>197</v>
      </c>
      <c r="K122" s="196" t="n">
        <v>131</v>
      </c>
      <c r="L122" s="112" t="n">
        <f aca="false">K122/H122*100</f>
        <v>29.9771167048055</v>
      </c>
      <c r="M122" s="196" t="n">
        <v>0</v>
      </c>
      <c r="N122" s="112" t="n">
        <f aca="false">M122/H122*100</f>
        <v>0</v>
      </c>
      <c r="O122" s="196" t="n">
        <v>35.12</v>
      </c>
      <c r="P122" s="196" t="n">
        <v>254.95</v>
      </c>
      <c r="Q122" s="200" t="s">
        <v>45</v>
      </c>
      <c r="R122" s="200" t="s">
        <v>1555</v>
      </c>
      <c r="S122" s="112"/>
      <c r="T122" s="200" t="n">
        <v>37.5472</v>
      </c>
      <c r="U122" s="112"/>
      <c r="V122" s="112"/>
      <c r="W122" s="112"/>
      <c r="X122" s="112"/>
      <c r="Y122" s="112"/>
      <c r="Z122" s="112"/>
      <c r="AA122" s="200" t="s">
        <v>272</v>
      </c>
      <c r="AB122" s="200" t="n">
        <v>0</v>
      </c>
      <c r="AC122" s="204"/>
      <c r="AD122" s="200"/>
      <c r="AE122" s="200"/>
    </row>
    <row r="123" customFormat="false" ht="15.75" hidden="false" customHeight="false" outlineLevel="0" collapsed="false">
      <c r="A123" s="196" t="s">
        <v>415</v>
      </c>
      <c r="B123" s="196" t="s">
        <v>1452</v>
      </c>
      <c r="C123" s="197" t="s">
        <v>1571</v>
      </c>
      <c r="D123" s="196" t="s">
        <v>1580</v>
      </c>
      <c r="E123" s="196" t="s">
        <v>1581</v>
      </c>
      <c r="F123" s="196" t="n">
        <v>542.82</v>
      </c>
      <c r="G123" s="196" t="n">
        <v>175</v>
      </c>
      <c r="H123" s="196" t="n">
        <v>797</v>
      </c>
      <c r="I123" s="196" t="n">
        <v>403</v>
      </c>
      <c r="J123" s="196" t="n">
        <v>394</v>
      </c>
      <c r="K123" s="196" t="n">
        <v>265</v>
      </c>
      <c r="L123" s="112" t="n">
        <f aca="false">K123/H123*100</f>
        <v>33.2496863237139</v>
      </c>
      <c r="M123" s="196" t="n">
        <v>0</v>
      </c>
      <c r="N123" s="112" t="n">
        <f aca="false">M123/H123*100</f>
        <v>0</v>
      </c>
      <c r="O123" s="196" t="n">
        <v>57.56</v>
      </c>
      <c r="P123" s="196" t="n">
        <v>126.45</v>
      </c>
      <c r="Q123" s="200" t="s">
        <v>45</v>
      </c>
      <c r="R123" s="200" t="s">
        <v>1555</v>
      </c>
      <c r="S123" s="112"/>
      <c r="T123" s="200" t="n">
        <v>10.1171</v>
      </c>
      <c r="U123" s="112"/>
      <c r="V123" s="112"/>
      <c r="W123" s="112"/>
      <c r="X123" s="112"/>
      <c r="Y123" s="112"/>
      <c r="Z123" s="112"/>
      <c r="AA123" s="200" t="s">
        <v>272</v>
      </c>
      <c r="AB123" s="200" t="n">
        <v>0</v>
      </c>
      <c r="AC123" s="204"/>
      <c r="AD123" s="200"/>
      <c r="AE123" s="200"/>
    </row>
    <row r="124" customFormat="false" ht="15.75" hidden="false" customHeight="false" outlineLevel="0" collapsed="false">
      <c r="A124" s="196" t="s">
        <v>415</v>
      </c>
      <c r="B124" s="196" t="s">
        <v>1452</v>
      </c>
      <c r="C124" s="197" t="s">
        <v>1571</v>
      </c>
      <c r="D124" s="196" t="s">
        <v>1582</v>
      </c>
      <c r="E124" s="196" t="s">
        <v>1583</v>
      </c>
      <c r="F124" s="196" t="n">
        <v>976.16</v>
      </c>
      <c r="G124" s="196" t="n">
        <v>260</v>
      </c>
      <c r="H124" s="196" t="n">
        <v>1060</v>
      </c>
      <c r="I124" s="196" t="n">
        <v>563</v>
      </c>
      <c r="J124" s="196" t="n">
        <v>497</v>
      </c>
      <c r="K124" s="196" t="n">
        <v>230</v>
      </c>
      <c r="L124" s="112" t="n">
        <f aca="false">K124/H124*100</f>
        <v>21.6981132075472</v>
      </c>
      <c r="M124" s="196" t="n">
        <v>0</v>
      </c>
      <c r="N124" s="112" t="n">
        <f aca="false">M124/H124*100</f>
        <v>0</v>
      </c>
      <c r="O124" s="196" t="n">
        <v>156.01</v>
      </c>
      <c r="P124" s="196" t="n">
        <v>213.02</v>
      </c>
      <c r="Q124" s="200" t="s">
        <v>45</v>
      </c>
      <c r="R124" s="200" t="s">
        <v>1555</v>
      </c>
      <c r="S124" s="112"/>
      <c r="T124" s="200" t="n">
        <v>157.6754</v>
      </c>
      <c r="U124" s="112"/>
      <c r="V124" s="112"/>
      <c r="W124" s="112"/>
      <c r="X124" s="112"/>
      <c r="Y124" s="112"/>
      <c r="Z124" s="112"/>
      <c r="AA124" s="200" t="s">
        <v>150</v>
      </c>
      <c r="AB124" s="200" t="n">
        <v>22</v>
      </c>
      <c r="AC124" s="204"/>
      <c r="AD124" s="200" t="n">
        <v>24.040252</v>
      </c>
      <c r="AE124" s="200" t="n">
        <v>75.816151</v>
      </c>
    </row>
    <row r="125" customFormat="false" ht="15.75" hidden="false" customHeight="false" outlineLevel="0" collapsed="false">
      <c r="A125" s="196" t="s">
        <v>415</v>
      </c>
      <c r="B125" s="196" t="s">
        <v>1452</v>
      </c>
      <c r="C125" s="197" t="s">
        <v>1584</v>
      </c>
      <c r="D125" s="198" t="s">
        <v>1585</v>
      </c>
      <c r="E125" s="196" t="s">
        <v>1586</v>
      </c>
      <c r="F125" s="196" t="n">
        <v>607.61</v>
      </c>
      <c r="G125" s="196" t="n">
        <v>254</v>
      </c>
      <c r="H125" s="196" t="n">
        <v>1273</v>
      </c>
      <c r="I125" s="196" t="n">
        <v>643</v>
      </c>
      <c r="J125" s="196" t="n">
        <v>630</v>
      </c>
      <c r="K125" s="196" t="n">
        <v>328</v>
      </c>
      <c r="L125" s="112" t="n">
        <f aca="false">K125/H125*100</f>
        <v>25.7659073055774</v>
      </c>
      <c r="M125" s="196" t="n">
        <v>0</v>
      </c>
      <c r="N125" s="112" t="n">
        <f aca="false">M125/H125*100</f>
        <v>0</v>
      </c>
      <c r="O125" s="196" t="n">
        <v>55.23</v>
      </c>
      <c r="P125" s="196" t="n">
        <v>0</v>
      </c>
      <c r="Q125" s="215" t="s">
        <v>150</v>
      </c>
      <c r="R125" s="215" t="s">
        <v>1587</v>
      </c>
      <c r="S125" s="112"/>
      <c r="T125" s="215" t="n">
        <v>30</v>
      </c>
      <c r="U125" s="112"/>
      <c r="V125" s="112"/>
      <c r="W125" s="112"/>
      <c r="X125" s="112"/>
      <c r="Y125" s="112"/>
      <c r="Z125" s="112"/>
      <c r="AA125" s="215" t="s">
        <v>891</v>
      </c>
      <c r="AB125" s="215" t="n">
        <v>25</v>
      </c>
      <c r="AC125" s="204"/>
      <c r="AD125" s="215" t="n">
        <v>23.884384</v>
      </c>
      <c r="AE125" s="215" t="n">
        <v>75.849407</v>
      </c>
    </row>
    <row r="126" customFormat="false" ht="15.75" hidden="false" customHeight="false" outlineLevel="0" collapsed="false">
      <c r="A126" s="196" t="s">
        <v>415</v>
      </c>
      <c r="B126" s="196" t="s">
        <v>1452</v>
      </c>
      <c r="C126" s="197" t="s">
        <v>1584</v>
      </c>
      <c r="D126" s="196" t="s">
        <v>1588</v>
      </c>
      <c r="E126" s="196" t="s">
        <v>1589</v>
      </c>
      <c r="F126" s="196" t="n">
        <v>380.05</v>
      </c>
      <c r="G126" s="196" t="n">
        <v>69</v>
      </c>
      <c r="H126" s="196" t="n">
        <v>442</v>
      </c>
      <c r="I126" s="196" t="n">
        <v>211</v>
      </c>
      <c r="J126" s="196" t="n">
        <v>231</v>
      </c>
      <c r="K126" s="196" t="n">
        <v>102</v>
      </c>
      <c r="L126" s="112" t="n">
        <f aca="false">K126/H126*100</f>
        <v>23.0769230769231</v>
      </c>
      <c r="M126" s="196" t="n">
        <v>0</v>
      </c>
      <c r="N126" s="112" t="n">
        <f aca="false">M126/H126*100</f>
        <v>0</v>
      </c>
      <c r="O126" s="196" t="n">
        <v>27.48</v>
      </c>
      <c r="P126" s="196" t="n">
        <v>33.26</v>
      </c>
      <c r="Q126" s="203" t="s">
        <v>150</v>
      </c>
      <c r="R126" s="203" t="s">
        <v>1587</v>
      </c>
      <c r="S126" s="112"/>
      <c r="T126" s="203" t="n">
        <v>17</v>
      </c>
      <c r="U126" s="112"/>
      <c r="V126" s="112"/>
      <c r="W126" s="112"/>
      <c r="X126" s="112"/>
      <c r="Y126" s="112"/>
      <c r="Z126" s="112"/>
      <c r="AA126" s="203" t="s">
        <v>891</v>
      </c>
      <c r="AB126" s="203" t="n">
        <v>20</v>
      </c>
      <c r="AC126" s="204"/>
      <c r="AD126" s="203" t="n">
        <v>23.88849</v>
      </c>
      <c r="AE126" s="203" t="n">
        <v>75.809967</v>
      </c>
    </row>
    <row r="127" customFormat="false" ht="15.75" hidden="false" customHeight="false" outlineLevel="0" collapsed="false">
      <c r="A127" s="196" t="s">
        <v>415</v>
      </c>
      <c r="B127" s="196" t="s">
        <v>1452</v>
      </c>
      <c r="C127" s="197" t="s">
        <v>1584</v>
      </c>
      <c r="D127" s="196" t="s">
        <v>1093</v>
      </c>
      <c r="E127" s="196" t="s">
        <v>1590</v>
      </c>
      <c r="F127" s="196" t="n">
        <v>371.4</v>
      </c>
      <c r="G127" s="196" t="n">
        <v>201</v>
      </c>
      <c r="H127" s="196" t="n">
        <v>1027</v>
      </c>
      <c r="I127" s="196" t="n">
        <v>550</v>
      </c>
      <c r="J127" s="196" t="n">
        <v>477</v>
      </c>
      <c r="K127" s="196" t="n">
        <v>334</v>
      </c>
      <c r="L127" s="112" t="n">
        <f aca="false">K127/H127*100</f>
        <v>32.5219084712756</v>
      </c>
      <c r="M127" s="196" t="n">
        <v>1</v>
      </c>
      <c r="N127" s="112" t="n">
        <f aca="false">M127/H127*100</f>
        <v>0.0973709834469328</v>
      </c>
      <c r="O127" s="196" t="n">
        <v>64.41</v>
      </c>
      <c r="P127" s="196" t="n">
        <v>88.89</v>
      </c>
      <c r="Q127" s="204"/>
      <c r="R127" s="204"/>
      <c r="S127" s="112"/>
      <c r="T127" s="204"/>
      <c r="U127" s="112"/>
      <c r="V127" s="112"/>
      <c r="W127" s="112"/>
      <c r="X127" s="112"/>
      <c r="Y127" s="112"/>
      <c r="Z127" s="112"/>
      <c r="AA127" s="204"/>
      <c r="AB127" s="204"/>
      <c r="AC127" s="204"/>
      <c r="AD127" s="204"/>
      <c r="AE127" s="204"/>
    </row>
    <row r="128" customFormat="false" ht="15.75" hidden="false" customHeight="false" outlineLevel="0" collapsed="false">
      <c r="A128" s="196" t="s">
        <v>415</v>
      </c>
      <c r="B128" s="196" t="s">
        <v>1452</v>
      </c>
      <c r="C128" s="197" t="s">
        <v>1584</v>
      </c>
      <c r="D128" s="196" t="s">
        <v>1591</v>
      </c>
      <c r="E128" s="196" t="s">
        <v>1592</v>
      </c>
      <c r="F128" s="196" t="n">
        <v>187.85</v>
      </c>
      <c r="G128" s="196" t="n">
        <v>71</v>
      </c>
      <c r="H128" s="196" t="n">
        <v>352</v>
      </c>
      <c r="I128" s="196" t="n">
        <v>179</v>
      </c>
      <c r="J128" s="196" t="n">
        <v>173</v>
      </c>
      <c r="K128" s="196" t="n">
        <v>0</v>
      </c>
      <c r="L128" s="112" t="n">
        <f aca="false">K128/H128*100</f>
        <v>0</v>
      </c>
      <c r="M128" s="196" t="n">
        <v>0</v>
      </c>
      <c r="N128" s="112" t="n">
        <f aca="false">M128/H128*100</f>
        <v>0</v>
      </c>
      <c r="O128" s="196" t="n">
        <v>37.4</v>
      </c>
      <c r="P128" s="196" t="n">
        <v>0</v>
      </c>
      <c r="Q128" s="203" t="s">
        <v>150</v>
      </c>
      <c r="R128" s="203" t="s">
        <v>1587</v>
      </c>
      <c r="S128" s="112"/>
      <c r="T128" s="203" t="n">
        <v>17</v>
      </c>
      <c r="U128" s="112"/>
      <c r="V128" s="112"/>
      <c r="W128" s="112"/>
      <c r="X128" s="112"/>
      <c r="Y128" s="112"/>
      <c r="Z128" s="112"/>
      <c r="AA128" s="203" t="s">
        <v>891</v>
      </c>
      <c r="AB128" s="203" t="n">
        <v>20</v>
      </c>
      <c r="AC128" s="204"/>
      <c r="AD128" s="203" t="n">
        <v>23.875066</v>
      </c>
      <c r="AE128" s="203" t="n">
        <v>75.79289</v>
      </c>
    </row>
    <row r="129" customFormat="false" ht="15.75" hidden="false" customHeight="false" outlineLevel="0" collapsed="false">
      <c r="A129" s="196" t="s">
        <v>415</v>
      </c>
      <c r="B129" s="196" t="s">
        <v>1452</v>
      </c>
      <c r="C129" s="197" t="s">
        <v>1584</v>
      </c>
      <c r="D129" s="196" t="s">
        <v>1593</v>
      </c>
      <c r="E129" s="196" t="s">
        <v>1594</v>
      </c>
      <c r="F129" s="196" t="n">
        <v>459.29</v>
      </c>
      <c r="G129" s="196" t="n">
        <v>127</v>
      </c>
      <c r="H129" s="196" t="n">
        <v>531</v>
      </c>
      <c r="I129" s="196" t="n">
        <v>284</v>
      </c>
      <c r="J129" s="196" t="n">
        <v>247</v>
      </c>
      <c r="K129" s="196" t="n">
        <v>210</v>
      </c>
      <c r="L129" s="112" t="n">
        <f aca="false">K129/H129*100</f>
        <v>39.5480225988701</v>
      </c>
      <c r="M129" s="196" t="n">
        <v>0</v>
      </c>
      <c r="N129" s="112" t="n">
        <f aca="false">M129/H129*100</f>
        <v>0</v>
      </c>
      <c r="O129" s="196" t="n">
        <v>37.14</v>
      </c>
      <c r="P129" s="196" t="n">
        <v>107.58</v>
      </c>
      <c r="Q129" s="203" t="s">
        <v>150</v>
      </c>
      <c r="R129" s="203" t="s">
        <v>1587</v>
      </c>
      <c r="S129" s="112"/>
      <c r="T129" s="204"/>
      <c r="U129" s="112"/>
      <c r="V129" s="112"/>
      <c r="W129" s="112"/>
      <c r="X129" s="112"/>
      <c r="Y129" s="112"/>
      <c r="Z129" s="112"/>
      <c r="AA129" s="203" t="s">
        <v>891</v>
      </c>
      <c r="AB129" s="203" t="n">
        <v>20</v>
      </c>
      <c r="AC129" s="204"/>
      <c r="AD129" s="203" t="n">
        <v>23.91002</v>
      </c>
      <c r="AE129" s="203" t="n">
        <v>75.822348</v>
      </c>
    </row>
    <row r="130" customFormat="false" ht="15.75" hidden="false" customHeight="false" outlineLevel="0" collapsed="false">
      <c r="A130" s="196" t="s">
        <v>415</v>
      </c>
      <c r="B130" s="196" t="s">
        <v>1452</v>
      </c>
      <c r="C130" s="197" t="s">
        <v>1584</v>
      </c>
      <c r="D130" s="196" t="s">
        <v>1595</v>
      </c>
      <c r="E130" s="196" t="s">
        <v>1596</v>
      </c>
      <c r="F130" s="196" t="n">
        <v>618.48</v>
      </c>
      <c r="G130" s="196" t="n">
        <v>204</v>
      </c>
      <c r="H130" s="196" t="n">
        <v>910</v>
      </c>
      <c r="I130" s="196" t="n">
        <v>453</v>
      </c>
      <c r="J130" s="196" t="n">
        <v>457</v>
      </c>
      <c r="K130" s="196" t="n">
        <v>229</v>
      </c>
      <c r="L130" s="112" t="n">
        <f aca="false">K130/H130*100</f>
        <v>25.1648351648352</v>
      </c>
      <c r="M130" s="196" t="n">
        <v>1</v>
      </c>
      <c r="N130" s="112" t="n">
        <f aca="false">M130/H130*100</f>
        <v>0.10989010989011</v>
      </c>
      <c r="O130" s="196" t="n">
        <v>10.12</v>
      </c>
      <c r="P130" s="196" t="n">
        <v>28.21</v>
      </c>
      <c r="Q130" s="203" t="s">
        <v>150</v>
      </c>
      <c r="R130" s="203" t="s">
        <v>1587</v>
      </c>
      <c r="S130" s="112"/>
      <c r="T130" s="204"/>
      <c r="U130" s="112"/>
      <c r="V130" s="112"/>
      <c r="W130" s="112"/>
      <c r="X130" s="112"/>
      <c r="Y130" s="112"/>
      <c r="Z130" s="112"/>
      <c r="AA130" s="204"/>
      <c r="AB130" s="204"/>
      <c r="AC130" s="204"/>
      <c r="AD130" s="203" t="n">
        <v>23.901107</v>
      </c>
      <c r="AE130" s="203" t="n">
        <v>75.858514</v>
      </c>
    </row>
    <row r="131" customFormat="false" ht="15.75" hidden="false" customHeight="false" outlineLevel="0" collapsed="false">
      <c r="A131" s="196" t="s">
        <v>415</v>
      </c>
      <c r="B131" s="196" t="s">
        <v>1452</v>
      </c>
      <c r="C131" s="197" t="s">
        <v>1584</v>
      </c>
      <c r="D131" s="196" t="s">
        <v>279</v>
      </c>
      <c r="E131" s="196" t="s">
        <v>1597</v>
      </c>
      <c r="F131" s="196" t="n">
        <v>310.22</v>
      </c>
      <c r="G131" s="196" t="n">
        <v>71</v>
      </c>
      <c r="H131" s="196" t="n">
        <v>342</v>
      </c>
      <c r="I131" s="196" t="n">
        <v>167</v>
      </c>
      <c r="J131" s="196" t="n">
        <v>175</v>
      </c>
      <c r="K131" s="196" t="n">
        <v>8</v>
      </c>
      <c r="L131" s="112" t="n">
        <f aca="false">K131/H131*100</f>
        <v>2.33918128654971</v>
      </c>
      <c r="M131" s="196" t="n">
        <v>0</v>
      </c>
      <c r="N131" s="112" t="n">
        <f aca="false">M131/H131*100</f>
        <v>0</v>
      </c>
      <c r="O131" s="196" t="n">
        <v>0</v>
      </c>
      <c r="P131" s="196" t="n">
        <v>102.4</v>
      </c>
      <c r="Q131" s="204"/>
      <c r="R131" s="204"/>
      <c r="S131" s="112"/>
      <c r="T131" s="204"/>
      <c r="U131" s="112"/>
      <c r="V131" s="112"/>
      <c r="W131" s="112"/>
      <c r="X131" s="112"/>
      <c r="Y131" s="112"/>
      <c r="Z131" s="112"/>
      <c r="AA131" s="204"/>
      <c r="AB131" s="204"/>
      <c r="AC131" s="204"/>
      <c r="AD131" s="204"/>
      <c r="AE131" s="204"/>
    </row>
    <row r="132" customFormat="false" ht="15.75" hidden="false" customHeight="false" outlineLevel="0" collapsed="false">
      <c r="A132" s="196" t="s">
        <v>415</v>
      </c>
      <c r="B132" s="196" t="s">
        <v>1452</v>
      </c>
      <c r="C132" s="197" t="s">
        <v>1584</v>
      </c>
      <c r="D132" s="196" t="s">
        <v>1598</v>
      </c>
      <c r="E132" s="196" t="s">
        <v>1599</v>
      </c>
      <c r="F132" s="196" t="n">
        <v>268.51</v>
      </c>
      <c r="G132" s="196" t="n">
        <v>2</v>
      </c>
      <c r="H132" s="196" t="n">
        <v>11</v>
      </c>
      <c r="I132" s="196" t="n">
        <v>7</v>
      </c>
      <c r="J132" s="196" t="n">
        <v>4</v>
      </c>
      <c r="K132" s="196" t="n">
        <v>0</v>
      </c>
      <c r="L132" s="112" t="n">
        <f aca="false">K132/H132*100</f>
        <v>0</v>
      </c>
      <c r="M132" s="196" t="n">
        <v>0</v>
      </c>
      <c r="N132" s="112" t="n">
        <f aca="false">M132/H132*100</f>
        <v>0</v>
      </c>
      <c r="O132" s="196" t="n">
        <v>0</v>
      </c>
      <c r="P132" s="196" t="n">
        <v>15.29</v>
      </c>
      <c r="Q132" s="204"/>
      <c r="R132" s="204"/>
      <c r="S132" s="112"/>
      <c r="T132" s="204"/>
      <c r="U132" s="112"/>
      <c r="V132" s="112"/>
      <c r="W132" s="112"/>
      <c r="X132" s="112"/>
      <c r="Y132" s="112"/>
      <c r="Z132" s="112"/>
      <c r="AA132" s="203" t="n">
        <v>75.79289</v>
      </c>
      <c r="AB132" s="203" t="n">
        <v>37</v>
      </c>
      <c r="AC132" s="204"/>
      <c r="AD132" s="204"/>
      <c r="AE132" s="204"/>
    </row>
    <row r="133" customFormat="false" ht="15.75" hidden="false" customHeight="false" outlineLevel="0" collapsed="false">
      <c r="A133" s="196" t="s">
        <v>415</v>
      </c>
      <c r="B133" s="196" t="s">
        <v>1452</v>
      </c>
      <c r="C133" s="197" t="s">
        <v>1600</v>
      </c>
      <c r="D133" s="198" t="s">
        <v>1601</v>
      </c>
      <c r="E133" s="196" t="s">
        <v>1602</v>
      </c>
      <c r="F133" s="196" t="n">
        <v>1340.08</v>
      </c>
      <c r="G133" s="196" t="n">
        <v>334</v>
      </c>
      <c r="H133" s="196" t="n">
        <v>1633</v>
      </c>
      <c r="I133" s="196" t="n">
        <v>838</v>
      </c>
      <c r="J133" s="196" t="n">
        <v>795</v>
      </c>
      <c r="K133" s="196" t="n">
        <v>219</v>
      </c>
      <c r="L133" s="112" t="n">
        <f aca="false">K133/H133*100</f>
        <v>13.410900183711</v>
      </c>
      <c r="M133" s="196" t="n">
        <v>1</v>
      </c>
      <c r="N133" s="112" t="n">
        <f aca="false">M133/H133*100</f>
        <v>0.0612369871402327</v>
      </c>
      <c r="O133" s="196" t="n">
        <v>83.85</v>
      </c>
      <c r="P133" s="196" t="n">
        <v>0</v>
      </c>
      <c r="Q133" s="204"/>
      <c r="R133" s="204"/>
      <c r="S133" s="112"/>
      <c r="T133" s="204"/>
      <c r="U133" s="112"/>
      <c r="V133" s="112"/>
      <c r="W133" s="112"/>
      <c r="X133" s="112"/>
      <c r="Y133" s="112"/>
      <c r="Z133" s="112"/>
      <c r="AA133" s="204"/>
      <c r="AB133" s="204"/>
      <c r="AC133" s="204"/>
      <c r="AD133" s="204"/>
      <c r="AE133" s="204"/>
    </row>
    <row r="134" customFormat="false" ht="15.75" hidden="false" customHeight="false" outlineLevel="0" collapsed="false">
      <c r="A134" s="196" t="s">
        <v>415</v>
      </c>
      <c r="B134" s="196" t="s">
        <v>1452</v>
      </c>
      <c r="C134" s="197" t="s">
        <v>1600</v>
      </c>
      <c r="D134" s="196" t="s">
        <v>1603</v>
      </c>
      <c r="E134" s="196" t="s">
        <v>1604</v>
      </c>
      <c r="F134" s="196" t="n">
        <v>137.78</v>
      </c>
      <c r="G134" s="196" t="n">
        <v>47</v>
      </c>
      <c r="H134" s="196" t="n">
        <v>285</v>
      </c>
      <c r="I134" s="196" t="n">
        <v>147</v>
      </c>
      <c r="J134" s="196" t="n">
        <v>138</v>
      </c>
      <c r="K134" s="196" t="n">
        <v>0</v>
      </c>
      <c r="L134" s="112" t="n">
        <f aca="false">K134/H134*100</f>
        <v>0</v>
      </c>
      <c r="M134" s="196" t="n">
        <v>0</v>
      </c>
      <c r="N134" s="112" t="n">
        <f aca="false">M134/H134*100</f>
        <v>0</v>
      </c>
      <c r="O134" s="196" t="n">
        <v>10.12</v>
      </c>
      <c r="P134" s="196" t="n">
        <v>0</v>
      </c>
      <c r="Q134" s="204"/>
      <c r="R134" s="204"/>
      <c r="S134" s="112"/>
      <c r="T134" s="204"/>
      <c r="U134" s="112"/>
      <c r="V134" s="112"/>
      <c r="W134" s="112"/>
      <c r="X134" s="112"/>
      <c r="Y134" s="112"/>
      <c r="Z134" s="112"/>
      <c r="AA134" s="204"/>
      <c r="AB134" s="204"/>
      <c r="AC134" s="204"/>
      <c r="AD134" s="204"/>
      <c r="AE134" s="204"/>
    </row>
    <row r="135" customFormat="false" ht="15.75" hidden="false" customHeight="false" outlineLevel="0" collapsed="false">
      <c r="A135" s="196" t="s">
        <v>415</v>
      </c>
      <c r="B135" s="196" t="s">
        <v>1452</v>
      </c>
      <c r="C135" s="197" t="s">
        <v>1600</v>
      </c>
      <c r="D135" s="196" t="s">
        <v>1605</v>
      </c>
      <c r="E135" s="196" t="s">
        <v>1606</v>
      </c>
      <c r="F135" s="196" t="n">
        <v>95.57</v>
      </c>
      <c r="G135" s="196" t="n">
        <v>26</v>
      </c>
      <c r="H135" s="196" t="n">
        <v>102</v>
      </c>
      <c r="I135" s="196" t="n">
        <v>49</v>
      </c>
      <c r="J135" s="196" t="n">
        <v>53</v>
      </c>
      <c r="K135" s="196" t="n">
        <v>18</v>
      </c>
      <c r="L135" s="112" t="n">
        <f aca="false">K135/H135*100</f>
        <v>17.6470588235294</v>
      </c>
      <c r="M135" s="196" t="n">
        <v>0</v>
      </c>
      <c r="N135" s="112" t="n">
        <f aca="false">M135/H135*100</f>
        <v>0</v>
      </c>
      <c r="O135" s="196" t="n">
        <v>0</v>
      </c>
      <c r="P135" s="196" t="n">
        <v>0</v>
      </c>
      <c r="Q135" s="204"/>
      <c r="R135" s="204"/>
      <c r="S135" s="112"/>
      <c r="T135" s="204"/>
      <c r="U135" s="112"/>
      <c r="V135" s="112"/>
      <c r="W135" s="112"/>
      <c r="X135" s="112"/>
      <c r="Y135" s="112"/>
      <c r="Z135" s="112"/>
      <c r="AA135" s="204"/>
      <c r="AB135" s="204"/>
      <c r="AC135" s="204"/>
      <c r="AD135" s="204"/>
      <c r="AE135" s="204"/>
    </row>
    <row r="136" customFormat="false" ht="15.75" hidden="false" customHeight="false" outlineLevel="0" collapsed="false">
      <c r="A136" s="196" t="s">
        <v>415</v>
      </c>
      <c r="B136" s="196" t="s">
        <v>1452</v>
      </c>
      <c r="C136" s="197" t="s">
        <v>1600</v>
      </c>
      <c r="D136" s="196" t="s">
        <v>1607</v>
      </c>
      <c r="E136" s="196" t="s">
        <v>1608</v>
      </c>
      <c r="F136" s="196" t="n">
        <v>382.4</v>
      </c>
      <c r="G136" s="196" t="n">
        <v>216</v>
      </c>
      <c r="H136" s="196" t="n">
        <v>1109</v>
      </c>
      <c r="I136" s="196" t="n">
        <v>569</v>
      </c>
      <c r="J136" s="196" t="n">
        <v>540</v>
      </c>
      <c r="K136" s="196" t="n">
        <v>174</v>
      </c>
      <c r="L136" s="112" t="n">
        <f aca="false">K136/H136*100</f>
        <v>15.6898106402164</v>
      </c>
      <c r="M136" s="196" t="n">
        <v>0</v>
      </c>
      <c r="N136" s="112" t="n">
        <f aca="false">M136/H136*100</f>
        <v>0</v>
      </c>
      <c r="O136" s="196" t="n">
        <v>80.24</v>
      </c>
      <c r="P136" s="196" t="n">
        <v>0</v>
      </c>
      <c r="Q136" s="204"/>
      <c r="R136" s="204"/>
      <c r="S136" s="112"/>
      <c r="T136" s="204"/>
      <c r="U136" s="112"/>
      <c r="V136" s="112"/>
      <c r="W136" s="112"/>
      <c r="X136" s="112"/>
      <c r="Y136" s="112"/>
      <c r="Z136" s="112"/>
      <c r="AA136" s="204"/>
      <c r="AB136" s="204"/>
      <c r="AC136" s="204"/>
      <c r="AD136" s="204"/>
      <c r="AE136" s="204"/>
    </row>
    <row r="137" customFormat="false" ht="15.75" hidden="false" customHeight="false" outlineLevel="0" collapsed="false">
      <c r="A137" s="196" t="s">
        <v>415</v>
      </c>
      <c r="B137" s="196" t="s">
        <v>1452</v>
      </c>
      <c r="C137" s="197" t="s">
        <v>1600</v>
      </c>
      <c r="D137" s="196" t="s">
        <v>1609</v>
      </c>
      <c r="E137" s="196" t="s">
        <v>1610</v>
      </c>
      <c r="F137" s="196" t="n">
        <v>340.49</v>
      </c>
      <c r="G137" s="196" t="n">
        <v>83</v>
      </c>
      <c r="H137" s="196" t="n">
        <v>414</v>
      </c>
      <c r="I137" s="196" t="n">
        <v>214</v>
      </c>
      <c r="J137" s="196" t="n">
        <v>200</v>
      </c>
      <c r="K137" s="196" t="n">
        <v>74</v>
      </c>
      <c r="L137" s="112" t="n">
        <f aca="false">K137/H137*100</f>
        <v>17.8743961352657</v>
      </c>
      <c r="M137" s="196" t="n">
        <v>0</v>
      </c>
      <c r="N137" s="112" t="n">
        <f aca="false">M137/H137*100</f>
        <v>0</v>
      </c>
      <c r="O137" s="196" t="n">
        <v>25.71</v>
      </c>
      <c r="P137" s="196" t="n">
        <v>0</v>
      </c>
      <c r="Q137" s="204"/>
      <c r="R137" s="204"/>
      <c r="S137" s="112"/>
      <c r="T137" s="204"/>
      <c r="U137" s="112"/>
      <c r="V137" s="112"/>
      <c r="W137" s="112"/>
      <c r="X137" s="112"/>
      <c r="Y137" s="112"/>
      <c r="Z137" s="112"/>
      <c r="AA137" s="204"/>
      <c r="AB137" s="204"/>
      <c r="AC137" s="204"/>
      <c r="AD137" s="204"/>
      <c r="AE137" s="204"/>
    </row>
    <row r="138" customFormat="false" ht="15.75" hidden="false" customHeight="false" outlineLevel="0" collapsed="false">
      <c r="A138" s="196" t="s">
        <v>415</v>
      </c>
      <c r="B138" s="196" t="s">
        <v>1452</v>
      </c>
      <c r="C138" s="197" t="s">
        <v>1600</v>
      </c>
      <c r="D138" s="196" t="s">
        <v>1611</v>
      </c>
      <c r="E138" s="196" t="s">
        <v>1612</v>
      </c>
      <c r="F138" s="196" t="n">
        <v>291.71</v>
      </c>
      <c r="G138" s="196" t="n">
        <v>147</v>
      </c>
      <c r="H138" s="196" t="n">
        <v>687</v>
      </c>
      <c r="I138" s="196" t="n">
        <v>347</v>
      </c>
      <c r="J138" s="196" t="n">
        <v>340</v>
      </c>
      <c r="K138" s="196" t="n">
        <v>122</v>
      </c>
      <c r="L138" s="112" t="n">
        <f aca="false">K138/H138*100</f>
        <v>17.7583697234352</v>
      </c>
      <c r="M138" s="196" t="n">
        <v>0</v>
      </c>
      <c r="N138" s="112" t="n">
        <f aca="false">M138/H138*100</f>
        <v>0</v>
      </c>
      <c r="O138" s="196" t="n">
        <v>54.04</v>
      </c>
      <c r="P138" s="196" t="n">
        <v>0</v>
      </c>
      <c r="Q138" s="204"/>
      <c r="R138" s="204"/>
      <c r="S138" s="112"/>
      <c r="T138" s="204"/>
      <c r="U138" s="112"/>
      <c r="V138" s="112"/>
      <c r="W138" s="112"/>
      <c r="X138" s="112"/>
      <c r="Y138" s="112"/>
      <c r="Z138" s="112"/>
      <c r="AA138" s="204"/>
      <c r="AB138" s="204"/>
      <c r="AC138" s="204"/>
      <c r="AD138" s="204"/>
      <c r="AE138" s="204"/>
    </row>
    <row r="139" customFormat="false" ht="15.75" hidden="false" customHeight="false" outlineLevel="0" collapsed="false">
      <c r="A139" s="196" t="s">
        <v>415</v>
      </c>
      <c r="B139" s="196" t="s">
        <v>1452</v>
      </c>
      <c r="C139" s="197" t="s">
        <v>1600</v>
      </c>
      <c r="D139" s="196" t="s">
        <v>1501</v>
      </c>
      <c r="E139" s="196" t="s">
        <v>1613</v>
      </c>
      <c r="F139" s="196" t="n">
        <v>364.99</v>
      </c>
      <c r="G139" s="196" t="n">
        <v>151</v>
      </c>
      <c r="H139" s="196" t="n">
        <v>828</v>
      </c>
      <c r="I139" s="196" t="n">
        <v>419</v>
      </c>
      <c r="J139" s="196" t="n">
        <v>409</v>
      </c>
      <c r="K139" s="196" t="n">
        <v>67</v>
      </c>
      <c r="L139" s="112" t="n">
        <f aca="false">K139/H139*100</f>
        <v>8.09178743961353</v>
      </c>
      <c r="M139" s="196" t="n">
        <v>0</v>
      </c>
      <c r="N139" s="112" t="n">
        <f aca="false">M139/H139*100</f>
        <v>0</v>
      </c>
      <c r="O139" s="196" t="n">
        <v>60.03</v>
      </c>
      <c r="P139" s="196" t="n">
        <v>0</v>
      </c>
      <c r="Q139" s="204"/>
      <c r="R139" s="204"/>
      <c r="S139" s="112"/>
      <c r="T139" s="204"/>
      <c r="U139" s="112"/>
      <c r="V139" s="112"/>
      <c r="W139" s="112"/>
      <c r="X139" s="112"/>
      <c r="Y139" s="112"/>
      <c r="Z139" s="112"/>
      <c r="AA139" s="204"/>
      <c r="AB139" s="204"/>
      <c r="AC139" s="204"/>
      <c r="AD139" s="204"/>
      <c r="AE139" s="204"/>
    </row>
    <row r="140" customFormat="false" ht="15.75" hidden="false" customHeight="false" outlineLevel="0" collapsed="false">
      <c r="A140" s="196" t="s">
        <v>415</v>
      </c>
      <c r="B140" s="196" t="s">
        <v>1452</v>
      </c>
      <c r="C140" s="197" t="s">
        <v>1614</v>
      </c>
      <c r="D140" s="198" t="s">
        <v>1615</v>
      </c>
      <c r="E140" s="196" t="s">
        <v>1616</v>
      </c>
      <c r="F140" s="196" t="n">
        <v>1307.62</v>
      </c>
      <c r="G140" s="196" t="n">
        <v>397</v>
      </c>
      <c r="H140" s="196" t="n">
        <v>1977</v>
      </c>
      <c r="I140" s="196" t="n">
        <v>996</v>
      </c>
      <c r="J140" s="196" t="n">
        <v>981</v>
      </c>
      <c r="K140" s="196" t="n">
        <v>812</v>
      </c>
      <c r="L140" s="112" t="n">
        <f aca="false">K140/H140*100</f>
        <v>41.0723318158827</v>
      </c>
      <c r="M140" s="196" t="n">
        <v>0</v>
      </c>
      <c r="N140" s="112" t="n">
        <f aca="false">M140/H140*100</f>
        <v>0</v>
      </c>
      <c r="O140" s="196" t="n">
        <v>123.62</v>
      </c>
      <c r="P140" s="196" t="n">
        <v>51.69</v>
      </c>
      <c r="Q140" s="201" t="s">
        <v>45</v>
      </c>
      <c r="R140" s="203" t="s">
        <v>1617</v>
      </c>
      <c r="S140" s="112"/>
      <c r="T140" s="204"/>
      <c r="U140" s="112"/>
      <c r="V140" s="112"/>
      <c r="W140" s="112"/>
      <c r="X140" s="112"/>
      <c r="Y140" s="112"/>
      <c r="Z140" s="112"/>
      <c r="AA140" s="204"/>
      <c r="AB140" s="204"/>
      <c r="AC140" s="204"/>
      <c r="AD140" s="201" t="n">
        <v>23.893288</v>
      </c>
      <c r="AE140" s="201" t="n">
        <v>75.574828</v>
      </c>
    </row>
    <row r="141" customFormat="false" ht="15.75" hidden="false" customHeight="false" outlineLevel="0" collapsed="false">
      <c r="A141" s="196" t="s">
        <v>415</v>
      </c>
      <c r="B141" s="196" t="s">
        <v>1452</v>
      </c>
      <c r="C141" s="197" t="s">
        <v>1614</v>
      </c>
      <c r="D141" s="196" t="s">
        <v>1095</v>
      </c>
      <c r="E141" s="196" t="s">
        <v>1618</v>
      </c>
      <c r="F141" s="196" t="n">
        <v>156.99</v>
      </c>
      <c r="G141" s="196" t="n">
        <v>43</v>
      </c>
      <c r="H141" s="196" t="n">
        <v>167</v>
      </c>
      <c r="I141" s="196" t="n">
        <v>89</v>
      </c>
      <c r="J141" s="196" t="n">
        <v>78</v>
      </c>
      <c r="K141" s="196" t="n">
        <v>121</v>
      </c>
      <c r="L141" s="112" t="n">
        <f aca="false">K141/H141*100</f>
        <v>72.4550898203593</v>
      </c>
      <c r="M141" s="196" t="n">
        <v>0</v>
      </c>
      <c r="N141" s="112" t="n">
        <f aca="false">M141/H141*100</f>
        <v>0</v>
      </c>
      <c r="O141" s="196" t="n">
        <v>7.56</v>
      </c>
      <c r="P141" s="196" t="n">
        <v>31.97</v>
      </c>
      <c r="Q141" s="201" t="s">
        <v>45</v>
      </c>
      <c r="R141" s="203" t="s">
        <v>1617</v>
      </c>
      <c r="S141" s="112"/>
      <c r="T141" s="204" t="n">
        <v>10</v>
      </c>
      <c r="U141" s="112"/>
      <c r="V141" s="112"/>
      <c r="W141" s="112"/>
      <c r="X141" s="112"/>
      <c r="Y141" s="112"/>
      <c r="Z141" s="112"/>
      <c r="AA141" s="203" t="n">
        <v>12</v>
      </c>
      <c r="AB141" s="203"/>
      <c r="AC141" s="204"/>
      <c r="AD141" s="201" t="n">
        <v>23.871502</v>
      </c>
      <c r="AE141" s="201" t="n">
        <v>75.595265</v>
      </c>
    </row>
    <row r="142" customFormat="false" ht="15.75" hidden="false" customHeight="false" outlineLevel="0" collapsed="false">
      <c r="A142" s="196" t="s">
        <v>415</v>
      </c>
      <c r="B142" s="196" t="s">
        <v>1452</v>
      </c>
      <c r="C142" s="197" t="s">
        <v>1614</v>
      </c>
      <c r="D142" s="196" t="s">
        <v>1619</v>
      </c>
      <c r="E142" s="196" t="s">
        <v>1620</v>
      </c>
      <c r="F142" s="196" t="n">
        <v>195.71</v>
      </c>
      <c r="G142" s="196" t="n">
        <v>47</v>
      </c>
      <c r="H142" s="196" t="n">
        <v>289</v>
      </c>
      <c r="I142" s="196" t="n">
        <v>142</v>
      </c>
      <c r="J142" s="196" t="n">
        <v>147</v>
      </c>
      <c r="K142" s="196" t="n">
        <v>46</v>
      </c>
      <c r="L142" s="112" t="n">
        <f aca="false">K142/H142*100</f>
        <v>15.916955017301</v>
      </c>
      <c r="M142" s="196" t="n">
        <v>0</v>
      </c>
      <c r="N142" s="112" t="n">
        <f aca="false">M142/H142*100</f>
        <v>0</v>
      </c>
      <c r="O142" s="196" t="n">
        <v>16.29</v>
      </c>
      <c r="P142" s="196" t="n">
        <v>12.77</v>
      </c>
      <c r="Q142" s="201" t="s">
        <v>45</v>
      </c>
      <c r="R142" s="203" t="s">
        <v>1617</v>
      </c>
      <c r="S142" s="112"/>
      <c r="T142" s="204" t="n">
        <v>3</v>
      </c>
      <c r="U142" s="112"/>
      <c r="V142" s="112"/>
      <c r="W142" s="112"/>
      <c r="X142" s="112"/>
      <c r="Y142" s="112"/>
      <c r="Z142" s="112"/>
      <c r="AA142" s="203" t="n">
        <v>5</v>
      </c>
      <c r="AB142" s="203"/>
      <c r="AC142" s="204"/>
      <c r="AD142" s="201" t="n">
        <v>23.87336</v>
      </c>
      <c r="AE142" s="201" t="n">
        <v>75.592499</v>
      </c>
    </row>
    <row r="143" customFormat="false" ht="15.75" hidden="false" customHeight="false" outlineLevel="0" collapsed="false">
      <c r="A143" s="196" t="s">
        <v>415</v>
      </c>
      <c r="B143" s="196" t="s">
        <v>1452</v>
      </c>
      <c r="C143" s="197" t="s">
        <v>1614</v>
      </c>
      <c r="D143" s="196" t="s">
        <v>1621</v>
      </c>
      <c r="E143" s="196" t="s">
        <v>1622</v>
      </c>
      <c r="F143" s="196" t="n">
        <v>174.28</v>
      </c>
      <c r="G143" s="196" t="n">
        <v>65</v>
      </c>
      <c r="H143" s="196" t="n">
        <v>333</v>
      </c>
      <c r="I143" s="196" t="n">
        <v>163</v>
      </c>
      <c r="J143" s="196" t="n">
        <v>170</v>
      </c>
      <c r="K143" s="196" t="n">
        <v>163</v>
      </c>
      <c r="L143" s="112" t="n">
        <f aca="false">K143/H143*100</f>
        <v>48.948948948949</v>
      </c>
      <c r="M143" s="196" t="n">
        <v>0</v>
      </c>
      <c r="N143" s="112" t="n">
        <f aca="false">M143/H143*100</f>
        <v>0</v>
      </c>
      <c r="O143" s="196" t="n">
        <v>26.7</v>
      </c>
      <c r="P143" s="196" t="n">
        <v>44.3</v>
      </c>
      <c r="Q143" s="201" t="s">
        <v>45</v>
      </c>
      <c r="R143" s="203" t="s">
        <v>1617</v>
      </c>
      <c r="S143" s="112"/>
      <c r="T143" s="204"/>
      <c r="U143" s="112"/>
      <c r="V143" s="112"/>
      <c r="W143" s="112"/>
      <c r="X143" s="112"/>
      <c r="Y143" s="112"/>
      <c r="Z143" s="112"/>
      <c r="AA143" s="204"/>
      <c r="AB143" s="204"/>
      <c r="AC143" s="204"/>
      <c r="AD143" s="201" t="n">
        <v>23.898384</v>
      </c>
      <c r="AE143" s="201" t="n">
        <v>75.554635</v>
      </c>
    </row>
    <row r="144" customFormat="false" ht="15.75" hidden="false" customHeight="false" outlineLevel="0" collapsed="false">
      <c r="A144" s="196" t="s">
        <v>415</v>
      </c>
      <c r="B144" s="196" t="s">
        <v>1452</v>
      </c>
      <c r="C144" s="197" t="s">
        <v>1614</v>
      </c>
      <c r="D144" s="196" t="s">
        <v>1623</v>
      </c>
      <c r="E144" s="196" t="s">
        <v>1624</v>
      </c>
      <c r="F144" s="196" t="n">
        <v>440.7</v>
      </c>
      <c r="G144" s="196" t="n">
        <v>188</v>
      </c>
      <c r="H144" s="196" t="n">
        <v>999</v>
      </c>
      <c r="I144" s="196" t="n">
        <v>501</v>
      </c>
      <c r="J144" s="196" t="n">
        <v>498</v>
      </c>
      <c r="K144" s="196" t="n">
        <v>590</v>
      </c>
      <c r="L144" s="112" t="n">
        <f aca="false">K144/H144*100</f>
        <v>59.0590590590591</v>
      </c>
      <c r="M144" s="196" t="n">
        <v>0</v>
      </c>
      <c r="N144" s="112" t="n">
        <f aca="false">M144/H144*100</f>
        <v>0</v>
      </c>
      <c r="O144" s="196" t="n">
        <v>37.08</v>
      </c>
      <c r="P144" s="196" t="n">
        <v>52.69</v>
      </c>
      <c r="Q144" s="204"/>
      <c r="R144" s="204"/>
      <c r="S144" s="112"/>
      <c r="T144" s="204" t="n">
        <v>8</v>
      </c>
      <c r="U144" s="112"/>
      <c r="V144" s="112"/>
      <c r="W144" s="112"/>
      <c r="X144" s="112"/>
      <c r="Y144" s="112"/>
      <c r="Z144" s="112"/>
      <c r="AA144" s="203" t="n">
        <v>10</v>
      </c>
      <c r="AB144" s="203"/>
      <c r="AC144" s="204"/>
      <c r="AD144" s="204"/>
      <c r="AE144" s="204"/>
    </row>
    <row r="145" customFormat="false" ht="15.75" hidden="false" customHeight="false" outlineLevel="0" collapsed="false">
      <c r="A145" s="196" t="s">
        <v>415</v>
      </c>
      <c r="B145" s="196" t="s">
        <v>1452</v>
      </c>
      <c r="C145" s="197" t="s">
        <v>1614</v>
      </c>
      <c r="D145" s="196" t="s">
        <v>1625</v>
      </c>
      <c r="E145" s="196" t="s">
        <v>1626</v>
      </c>
      <c r="F145" s="196" t="n">
        <v>417.36</v>
      </c>
      <c r="G145" s="196" t="n">
        <v>192</v>
      </c>
      <c r="H145" s="196" t="n">
        <v>1016</v>
      </c>
      <c r="I145" s="196" t="n">
        <v>489</v>
      </c>
      <c r="J145" s="196" t="n">
        <v>527</v>
      </c>
      <c r="K145" s="196" t="n">
        <v>173</v>
      </c>
      <c r="L145" s="112" t="n">
        <f aca="false">K145/H145*100</f>
        <v>17.0275590551181</v>
      </c>
      <c r="M145" s="196" t="n">
        <v>0</v>
      </c>
      <c r="N145" s="112" t="n">
        <f aca="false">M145/H145*100</f>
        <v>0</v>
      </c>
      <c r="O145" s="196" t="n">
        <v>52.5</v>
      </c>
      <c r="P145" s="196" t="n">
        <v>20.2</v>
      </c>
      <c r="Q145" s="201" t="s">
        <v>45</v>
      </c>
      <c r="R145" s="203" t="s">
        <v>1617</v>
      </c>
      <c r="S145" s="112"/>
      <c r="T145" s="204" t="n">
        <v>2</v>
      </c>
      <c r="U145" s="112"/>
      <c r="V145" s="112"/>
      <c r="W145" s="112"/>
      <c r="X145" s="112"/>
      <c r="Y145" s="112"/>
      <c r="Z145" s="112"/>
      <c r="AA145" s="203" t="n">
        <v>10</v>
      </c>
      <c r="AB145" s="203"/>
      <c r="AC145" s="204"/>
      <c r="AD145" s="201" t="n">
        <v>23.901733</v>
      </c>
      <c r="AE145" s="201" t="n">
        <v>75.571312</v>
      </c>
    </row>
    <row r="146" customFormat="false" ht="15.75" hidden="false" customHeight="false" outlineLevel="0" collapsed="false">
      <c r="A146" s="196" t="s">
        <v>415</v>
      </c>
      <c r="B146" s="196" t="s">
        <v>1452</v>
      </c>
      <c r="C146" s="197" t="s">
        <v>1614</v>
      </c>
      <c r="D146" s="196" t="s">
        <v>1627</v>
      </c>
      <c r="E146" s="196" t="s">
        <v>1628</v>
      </c>
      <c r="F146" s="196" t="n">
        <v>171.3</v>
      </c>
      <c r="G146" s="196" t="n">
        <v>44</v>
      </c>
      <c r="H146" s="196" t="n">
        <v>249</v>
      </c>
      <c r="I146" s="196" t="n">
        <v>131</v>
      </c>
      <c r="J146" s="196" t="n">
        <v>118</v>
      </c>
      <c r="K146" s="196" t="n">
        <v>83</v>
      </c>
      <c r="L146" s="112" t="n">
        <f aca="false">K146/H146*100</f>
        <v>33.3333333333333</v>
      </c>
      <c r="M146" s="196" t="n">
        <v>0</v>
      </c>
      <c r="N146" s="112" t="n">
        <f aca="false">M146/H146*100</f>
        <v>0</v>
      </c>
      <c r="O146" s="196" t="n">
        <v>23.8</v>
      </c>
      <c r="P146" s="196" t="n">
        <v>15.97</v>
      </c>
      <c r="Q146" s="201" t="s">
        <v>45</v>
      </c>
      <c r="R146" s="203" t="s">
        <v>1617</v>
      </c>
      <c r="S146" s="112"/>
      <c r="T146" s="204" t="n">
        <v>5</v>
      </c>
      <c r="U146" s="112"/>
      <c r="V146" s="112"/>
      <c r="W146" s="112"/>
      <c r="X146" s="112"/>
      <c r="Y146" s="112"/>
      <c r="Z146" s="112"/>
      <c r="AA146" s="203" t="n">
        <v>10</v>
      </c>
      <c r="AB146" s="203"/>
      <c r="AC146" s="204"/>
      <c r="AD146" s="201" t="n">
        <v>23.897061</v>
      </c>
      <c r="AE146" s="201" t="n">
        <v>75.575741</v>
      </c>
    </row>
    <row r="147" customFormat="false" ht="15.75" hidden="false" customHeight="false" outlineLevel="0" collapsed="false">
      <c r="A147" s="196" t="s">
        <v>415</v>
      </c>
      <c r="B147" s="196" t="s">
        <v>1452</v>
      </c>
      <c r="C147" s="197" t="s">
        <v>1629</v>
      </c>
      <c r="D147" s="198" t="s">
        <v>1630</v>
      </c>
      <c r="E147" s="196" t="s">
        <v>1631</v>
      </c>
      <c r="F147" s="196" t="n">
        <v>426.5</v>
      </c>
      <c r="G147" s="196" t="n">
        <v>113</v>
      </c>
      <c r="H147" s="196" t="n">
        <v>555</v>
      </c>
      <c r="I147" s="196" t="n">
        <v>277</v>
      </c>
      <c r="J147" s="196" t="n">
        <v>278</v>
      </c>
      <c r="K147" s="196" t="n">
        <v>109</v>
      </c>
      <c r="L147" s="112" t="n">
        <f aca="false">K147/H147*100</f>
        <v>19.6396396396396</v>
      </c>
      <c r="M147" s="196" t="n">
        <v>0</v>
      </c>
      <c r="N147" s="112" t="n">
        <f aca="false">M147/H147*100</f>
        <v>0</v>
      </c>
      <c r="O147" s="196" t="n">
        <v>28.24</v>
      </c>
      <c r="P147" s="196" t="n">
        <v>0</v>
      </c>
      <c r="Q147" s="204"/>
      <c r="R147" s="204"/>
      <c r="S147" s="112"/>
      <c r="T147" s="204"/>
      <c r="U147" s="112"/>
      <c r="V147" s="112"/>
      <c r="W147" s="112"/>
      <c r="X147" s="112"/>
      <c r="Y147" s="112"/>
      <c r="Z147" s="112"/>
      <c r="AA147" s="204"/>
      <c r="AB147" s="204"/>
      <c r="AC147" s="204"/>
      <c r="AD147" s="204"/>
      <c r="AE147" s="204"/>
    </row>
    <row r="148" customFormat="false" ht="15.75" hidden="false" customHeight="false" outlineLevel="0" collapsed="false">
      <c r="A148" s="196" t="s">
        <v>415</v>
      </c>
      <c r="B148" s="196" t="s">
        <v>1452</v>
      </c>
      <c r="C148" s="197" t="s">
        <v>1629</v>
      </c>
      <c r="D148" s="196" t="s">
        <v>1632</v>
      </c>
      <c r="E148" s="196" t="s">
        <v>1633</v>
      </c>
      <c r="F148" s="196" t="n">
        <v>240.66</v>
      </c>
      <c r="G148" s="196" t="n">
        <v>154</v>
      </c>
      <c r="H148" s="196" t="n">
        <v>791</v>
      </c>
      <c r="I148" s="196" t="n">
        <v>399</v>
      </c>
      <c r="J148" s="196" t="n">
        <v>392</v>
      </c>
      <c r="K148" s="196" t="n">
        <v>194</v>
      </c>
      <c r="L148" s="112" t="n">
        <f aca="false">K148/H148*100</f>
        <v>24.5259165613148</v>
      </c>
      <c r="M148" s="196" t="n">
        <v>0</v>
      </c>
      <c r="N148" s="112" t="n">
        <f aca="false">M148/H148*100</f>
        <v>0</v>
      </c>
      <c r="O148" s="196" t="n">
        <v>42.29</v>
      </c>
      <c r="P148" s="196" t="n">
        <v>0</v>
      </c>
      <c r="Q148" s="204"/>
      <c r="R148" s="204"/>
      <c r="S148" s="112"/>
      <c r="T148" s="204"/>
      <c r="U148" s="112"/>
      <c r="V148" s="112"/>
      <c r="W148" s="112"/>
      <c r="X148" s="112"/>
      <c r="Y148" s="112"/>
      <c r="Z148" s="112"/>
      <c r="AA148" s="204"/>
      <c r="AB148" s="204"/>
      <c r="AC148" s="204"/>
      <c r="AD148" s="204"/>
      <c r="AE148" s="204"/>
    </row>
    <row r="149" customFormat="false" ht="15.75" hidden="false" customHeight="false" outlineLevel="0" collapsed="false">
      <c r="A149" s="196" t="s">
        <v>415</v>
      </c>
      <c r="B149" s="196" t="s">
        <v>1452</v>
      </c>
      <c r="C149" s="197" t="s">
        <v>1629</v>
      </c>
      <c r="D149" s="196" t="s">
        <v>1634</v>
      </c>
      <c r="E149" s="196" t="s">
        <v>1635</v>
      </c>
      <c r="F149" s="196" t="n">
        <v>580.2</v>
      </c>
      <c r="G149" s="196" t="n">
        <v>204</v>
      </c>
      <c r="H149" s="196" t="n">
        <v>950</v>
      </c>
      <c r="I149" s="196" t="n">
        <v>481</v>
      </c>
      <c r="J149" s="196" t="n">
        <v>469</v>
      </c>
      <c r="K149" s="196" t="n">
        <v>373</v>
      </c>
      <c r="L149" s="112" t="n">
        <f aca="false">K149/H149*100</f>
        <v>39.2631578947368</v>
      </c>
      <c r="M149" s="196" t="n">
        <v>0</v>
      </c>
      <c r="N149" s="112" t="n">
        <f aca="false">M149/H149*100</f>
        <v>0</v>
      </c>
      <c r="O149" s="196" t="n">
        <v>55.07</v>
      </c>
      <c r="P149" s="196" t="n">
        <v>0</v>
      </c>
      <c r="Q149" s="203" t="s">
        <v>150</v>
      </c>
      <c r="R149" s="203" t="s">
        <v>1636</v>
      </c>
      <c r="S149" s="112"/>
      <c r="T149" s="204" t="n">
        <v>24.71</v>
      </c>
      <c r="U149" s="112"/>
      <c r="V149" s="112"/>
      <c r="W149" s="112"/>
      <c r="X149" s="112"/>
      <c r="Y149" s="112"/>
      <c r="Z149" s="112"/>
      <c r="AA149" s="203" t="n">
        <v>20</v>
      </c>
      <c r="AB149" s="203"/>
      <c r="AC149" s="204"/>
      <c r="AD149" s="203" t="n">
        <v>23.908027</v>
      </c>
      <c r="AE149" s="203" t="n">
        <v>75.71458</v>
      </c>
    </row>
    <row r="150" customFormat="false" ht="15.75" hidden="false" customHeight="false" outlineLevel="0" collapsed="false">
      <c r="A150" s="196" t="s">
        <v>415</v>
      </c>
      <c r="B150" s="196" t="s">
        <v>1452</v>
      </c>
      <c r="C150" s="197" t="s">
        <v>1629</v>
      </c>
      <c r="D150" s="196" t="s">
        <v>1634</v>
      </c>
      <c r="E150" s="196"/>
      <c r="F150" s="196"/>
      <c r="G150" s="196"/>
      <c r="H150" s="196"/>
      <c r="I150" s="196"/>
      <c r="J150" s="196"/>
      <c r="K150" s="196"/>
      <c r="L150" s="112"/>
      <c r="M150" s="196"/>
      <c r="N150" s="112"/>
      <c r="O150" s="196"/>
      <c r="P150" s="196"/>
      <c r="Q150" s="200" t="s">
        <v>150</v>
      </c>
      <c r="R150" s="200" t="s">
        <v>1636</v>
      </c>
      <c r="S150" s="112"/>
      <c r="T150" s="204"/>
      <c r="U150" s="112"/>
      <c r="V150" s="112"/>
      <c r="W150" s="112"/>
      <c r="X150" s="112"/>
      <c r="Y150" s="112"/>
      <c r="Z150" s="112"/>
      <c r="AA150" s="200" t="n">
        <v>16</v>
      </c>
      <c r="AB150" s="200"/>
      <c r="AC150" s="204"/>
      <c r="AD150" s="200" t="n">
        <v>23.90781</v>
      </c>
      <c r="AE150" s="200" t="n">
        <v>75.71319</v>
      </c>
    </row>
    <row r="151" customFormat="false" ht="15.75" hidden="false" customHeight="false" outlineLevel="0" collapsed="false">
      <c r="A151" s="196" t="s">
        <v>415</v>
      </c>
      <c r="B151" s="196" t="s">
        <v>1452</v>
      </c>
      <c r="C151" s="197" t="s">
        <v>1629</v>
      </c>
      <c r="D151" s="196" t="s">
        <v>1276</v>
      </c>
      <c r="E151" s="196" t="s">
        <v>1637</v>
      </c>
      <c r="F151" s="196" t="n">
        <v>135.41</v>
      </c>
      <c r="G151" s="196" t="n">
        <v>88</v>
      </c>
      <c r="H151" s="196" t="n">
        <v>431</v>
      </c>
      <c r="I151" s="196" t="n">
        <v>212</v>
      </c>
      <c r="J151" s="196" t="n">
        <v>219</v>
      </c>
      <c r="K151" s="196" t="n">
        <v>162</v>
      </c>
      <c r="L151" s="112" t="n">
        <f aca="false">K151/H151*100</f>
        <v>37.5870069605568</v>
      </c>
      <c r="M151" s="196" t="n">
        <v>0</v>
      </c>
      <c r="N151" s="112" t="n">
        <f aca="false">M151/H151*100</f>
        <v>0</v>
      </c>
      <c r="O151" s="196" t="n">
        <v>25.85</v>
      </c>
      <c r="P151" s="196" t="n">
        <v>0</v>
      </c>
      <c r="Q151" s="203" t="s">
        <v>150</v>
      </c>
      <c r="R151" s="203" t="s">
        <v>1636</v>
      </c>
      <c r="S151" s="112"/>
      <c r="T151" s="204"/>
      <c r="U151" s="112"/>
      <c r="V151" s="112"/>
      <c r="W151" s="112"/>
      <c r="X151" s="112"/>
      <c r="Y151" s="112"/>
      <c r="Z151" s="112"/>
      <c r="AA151" s="203" t="n">
        <v>13.5</v>
      </c>
      <c r="AB151" s="203"/>
      <c r="AC151" s="203" t="s">
        <v>1638</v>
      </c>
      <c r="AD151" s="203" t="n">
        <v>23.929025</v>
      </c>
      <c r="AE151" s="203" t="n">
        <v>75.696513</v>
      </c>
    </row>
    <row r="152" customFormat="false" ht="15.75" hidden="false" customHeight="false" outlineLevel="0" collapsed="false">
      <c r="A152" s="196" t="s">
        <v>415</v>
      </c>
      <c r="B152" s="196" t="s">
        <v>1452</v>
      </c>
      <c r="C152" s="197" t="s">
        <v>1629</v>
      </c>
      <c r="D152" s="196" t="s">
        <v>1639</v>
      </c>
      <c r="E152" s="196" t="s">
        <v>1640</v>
      </c>
      <c r="F152" s="196" t="n">
        <v>268.55</v>
      </c>
      <c r="G152" s="196" t="n">
        <v>203</v>
      </c>
      <c r="H152" s="196" t="n">
        <v>942</v>
      </c>
      <c r="I152" s="196" t="n">
        <v>487</v>
      </c>
      <c r="J152" s="196" t="n">
        <v>455</v>
      </c>
      <c r="K152" s="196" t="n">
        <v>377</v>
      </c>
      <c r="L152" s="112" t="n">
        <f aca="false">K152/H152*100</f>
        <v>40.0212314225053</v>
      </c>
      <c r="M152" s="196" t="n">
        <v>2</v>
      </c>
      <c r="N152" s="112" t="n">
        <f aca="false">M152/H152*100</f>
        <v>0.212314225053079</v>
      </c>
      <c r="O152" s="196" t="n">
        <v>24.67</v>
      </c>
      <c r="P152" s="196" t="n">
        <v>0</v>
      </c>
      <c r="Q152" s="203" t="s">
        <v>150</v>
      </c>
      <c r="R152" s="203" t="s">
        <v>1636</v>
      </c>
      <c r="S152" s="112"/>
      <c r="T152" s="204"/>
      <c r="U152" s="112"/>
      <c r="V152" s="112"/>
      <c r="W152" s="112"/>
      <c r="X152" s="112"/>
      <c r="Y152" s="112"/>
      <c r="Z152" s="112"/>
      <c r="AA152" s="203" t="n">
        <v>9</v>
      </c>
      <c r="AB152" s="203"/>
      <c r="AC152" s="204"/>
      <c r="AD152" s="203"/>
      <c r="AE152" s="203"/>
    </row>
    <row r="153" customFormat="false" ht="15.75" hidden="false" customHeight="false" outlineLevel="0" collapsed="false">
      <c r="A153" s="196" t="s">
        <v>415</v>
      </c>
      <c r="B153" s="196" t="s">
        <v>1452</v>
      </c>
      <c r="C153" s="197" t="s">
        <v>1629</v>
      </c>
      <c r="D153" s="196" t="s">
        <v>1100</v>
      </c>
      <c r="E153" s="196" t="s">
        <v>1641</v>
      </c>
      <c r="F153" s="196" t="n">
        <v>381.7</v>
      </c>
      <c r="G153" s="196" t="n">
        <v>172</v>
      </c>
      <c r="H153" s="196" t="n">
        <v>844</v>
      </c>
      <c r="I153" s="196" t="n">
        <v>423</v>
      </c>
      <c r="J153" s="196" t="n">
        <v>421</v>
      </c>
      <c r="K153" s="196" t="n">
        <v>316</v>
      </c>
      <c r="L153" s="112" t="n">
        <f aca="false">K153/H153*100</f>
        <v>37.4407582938389</v>
      </c>
      <c r="M153" s="196" t="n">
        <v>0</v>
      </c>
      <c r="N153" s="112" t="n">
        <f aca="false">M153/H153*100</f>
        <v>0</v>
      </c>
      <c r="O153" s="196" t="n">
        <v>30.17</v>
      </c>
      <c r="P153" s="196" t="n">
        <v>0</v>
      </c>
      <c r="Q153" s="203" t="s">
        <v>150</v>
      </c>
      <c r="R153" s="203" t="s">
        <v>1636</v>
      </c>
      <c r="S153" s="112"/>
      <c r="T153" s="204" t="n">
        <v>8.29</v>
      </c>
      <c r="U153" s="112"/>
      <c r="V153" s="112"/>
      <c r="W153" s="112"/>
      <c r="X153" s="112"/>
      <c r="Y153" s="112"/>
      <c r="Z153" s="112"/>
      <c r="AA153" s="203" t="n">
        <v>17</v>
      </c>
      <c r="AB153" s="203"/>
      <c r="AC153" s="204"/>
      <c r="AD153" s="203" t="n">
        <v>23.954031</v>
      </c>
      <c r="AE153" s="203" t="n">
        <v>75.733743</v>
      </c>
    </row>
    <row r="154" customFormat="false" ht="15.75" hidden="false" customHeight="false" outlineLevel="0" collapsed="false">
      <c r="A154" s="196" t="s">
        <v>415</v>
      </c>
      <c r="B154" s="196" t="s">
        <v>1452</v>
      </c>
      <c r="C154" s="197" t="s">
        <v>1629</v>
      </c>
      <c r="D154" s="196" t="s">
        <v>1642</v>
      </c>
      <c r="E154" s="196" t="s">
        <v>1643</v>
      </c>
      <c r="F154" s="196" t="n">
        <v>390.08</v>
      </c>
      <c r="G154" s="196" t="n">
        <v>160</v>
      </c>
      <c r="H154" s="196" t="n">
        <v>708</v>
      </c>
      <c r="I154" s="196" t="n">
        <v>364</v>
      </c>
      <c r="J154" s="196" t="n">
        <v>344</v>
      </c>
      <c r="K154" s="196" t="n">
        <v>271</v>
      </c>
      <c r="L154" s="112" t="n">
        <f aca="false">K154/H154*100</f>
        <v>38.2768361581921</v>
      </c>
      <c r="M154" s="196" t="n">
        <v>0</v>
      </c>
      <c r="N154" s="112" t="n">
        <f aca="false">M154/H154*100</f>
        <v>0</v>
      </c>
      <c r="O154" s="196" t="n">
        <v>28.11</v>
      </c>
      <c r="P154" s="196" t="n">
        <v>26.21</v>
      </c>
      <c r="Q154" s="203" t="s">
        <v>150</v>
      </c>
      <c r="R154" s="203" t="s">
        <v>1636</v>
      </c>
      <c r="S154" s="112"/>
      <c r="T154" s="204" t="n">
        <v>0</v>
      </c>
      <c r="U154" s="112"/>
      <c r="V154" s="112"/>
      <c r="W154" s="112"/>
      <c r="X154" s="112"/>
      <c r="Y154" s="112"/>
      <c r="Z154" s="112"/>
      <c r="AA154" s="203" t="n">
        <v>28</v>
      </c>
      <c r="AB154" s="203"/>
      <c r="AC154" s="204"/>
      <c r="AD154" s="203" t="n">
        <v>23.951885</v>
      </c>
      <c r="AE154" s="203" t="n">
        <v>75.70048</v>
      </c>
    </row>
    <row r="155" customFormat="false" ht="15.75" hidden="false" customHeight="false" outlineLevel="0" collapsed="false">
      <c r="A155" s="196" t="s">
        <v>415</v>
      </c>
      <c r="B155" s="196" t="s">
        <v>1452</v>
      </c>
      <c r="C155" s="197" t="s">
        <v>1629</v>
      </c>
      <c r="D155" s="196" t="s">
        <v>1334</v>
      </c>
      <c r="E155" s="196" t="s">
        <v>1644</v>
      </c>
      <c r="F155" s="196" t="n">
        <v>428.53</v>
      </c>
      <c r="G155" s="196" t="n">
        <v>169</v>
      </c>
      <c r="H155" s="196" t="n">
        <v>825</v>
      </c>
      <c r="I155" s="196" t="n">
        <v>415</v>
      </c>
      <c r="J155" s="196" t="n">
        <v>410</v>
      </c>
      <c r="K155" s="196" t="n">
        <v>388</v>
      </c>
      <c r="L155" s="112" t="n">
        <f aca="false">K155/H155*100</f>
        <v>47.030303030303</v>
      </c>
      <c r="M155" s="196" t="n">
        <v>0</v>
      </c>
      <c r="N155" s="112" t="n">
        <f aca="false">M155/H155*100</f>
        <v>0</v>
      </c>
      <c r="O155" s="196" t="n">
        <v>0</v>
      </c>
      <c r="P155" s="196" t="n">
        <v>41.18</v>
      </c>
      <c r="Q155" s="204"/>
      <c r="R155" s="204"/>
      <c r="S155" s="112"/>
      <c r="T155" s="204"/>
      <c r="U155" s="112"/>
      <c r="V155" s="112"/>
      <c r="W155" s="112"/>
      <c r="X155" s="112"/>
      <c r="Y155" s="112"/>
      <c r="Z155" s="112"/>
      <c r="AA155" s="204"/>
      <c r="AB155" s="204"/>
      <c r="AC155" s="204"/>
      <c r="AD155" s="204"/>
      <c r="AE155" s="204"/>
    </row>
    <row r="156" customFormat="false" ht="15.75" hidden="false" customHeight="false" outlineLevel="0" collapsed="false">
      <c r="A156" s="196" t="s">
        <v>415</v>
      </c>
      <c r="B156" s="196" t="s">
        <v>1452</v>
      </c>
      <c r="C156" s="197" t="s">
        <v>1645</v>
      </c>
      <c r="D156" s="196" t="s">
        <v>1646</v>
      </c>
      <c r="E156" s="196" t="s">
        <v>1647</v>
      </c>
      <c r="F156" s="196" t="n">
        <v>0</v>
      </c>
      <c r="G156" s="196" t="n">
        <v>0</v>
      </c>
      <c r="H156" s="196" t="n">
        <v>0</v>
      </c>
      <c r="I156" s="196" t="n">
        <v>0</v>
      </c>
      <c r="J156" s="196" t="n">
        <v>0</v>
      </c>
      <c r="K156" s="196" t="n">
        <v>0</v>
      </c>
      <c r="L156" s="112"/>
      <c r="M156" s="196"/>
      <c r="N156" s="112"/>
      <c r="O156" s="196" t="n">
        <v>0</v>
      </c>
      <c r="P156" s="196" t="n">
        <v>0</v>
      </c>
      <c r="Q156" s="204"/>
      <c r="R156" s="204"/>
      <c r="S156" s="112"/>
      <c r="T156" s="204"/>
      <c r="U156" s="112"/>
      <c r="V156" s="112"/>
      <c r="W156" s="112"/>
      <c r="X156" s="112"/>
      <c r="Y156" s="112"/>
      <c r="Z156" s="112"/>
      <c r="AA156" s="204"/>
      <c r="AB156" s="204"/>
      <c r="AC156" s="204"/>
      <c r="AD156" s="204"/>
      <c r="AE156" s="204"/>
    </row>
    <row r="157" customFormat="false" ht="15.75" hidden="false" customHeight="false" outlineLevel="0" collapsed="false">
      <c r="A157" s="196" t="s">
        <v>415</v>
      </c>
      <c r="B157" s="196" t="s">
        <v>1452</v>
      </c>
      <c r="C157" s="197" t="s">
        <v>1648</v>
      </c>
      <c r="D157" s="198" t="s">
        <v>1649</v>
      </c>
      <c r="E157" s="196" t="s">
        <v>1650</v>
      </c>
      <c r="F157" s="196" t="n">
        <v>692</v>
      </c>
      <c r="G157" s="196" t="n">
        <v>326</v>
      </c>
      <c r="H157" s="196" t="n">
        <v>1526</v>
      </c>
      <c r="I157" s="196" t="n">
        <v>775</v>
      </c>
      <c r="J157" s="196" t="n">
        <v>751</v>
      </c>
      <c r="K157" s="196" t="n">
        <v>455</v>
      </c>
      <c r="L157" s="112" t="n">
        <f aca="false">K157/H157*100</f>
        <v>29.8165137614679</v>
      </c>
      <c r="M157" s="196" t="n">
        <v>2</v>
      </c>
      <c r="N157" s="112" t="n">
        <f aca="false">M157/H157*100</f>
        <v>0.131061598951507</v>
      </c>
      <c r="O157" s="196" t="n">
        <v>63</v>
      </c>
      <c r="P157" s="196" t="n">
        <v>0</v>
      </c>
      <c r="Q157" s="203" t="s">
        <v>150</v>
      </c>
      <c r="R157" s="203" t="s">
        <v>1108</v>
      </c>
      <c r="S157" s="112"/>
      <c r="T157" s="203" t="n">
        <v>30</v>
      </c>
      <c r="U157" s="112"/>
      <c r="V157" s="112"/>
      <c r="W157" s="112"/>
      <c r="X157" s="112"/>
      <c r="Y157" s="112"/>
      <c r="Z157" s="112"/>
      <c r="AA157" s="203" t="s">
        <v>891</v>
      </c>
      <c r="AB157" s="203" t="n">
        <v>15</v>
      </c>
      <c r="AC157" s="203" t="s">
        <v>1651</v>
      </c>
      <c r="AD157" s="203" t="n">
        <v>23.975828</v>
      </c>
      <c r="AE157" s="203" t="n">
        <v>75.528583</v>
      </c>
    </row>
    <row r="158" customFormat="false" ht="15.75" hidden="false" customHeight="false" outlineLevel="0" collapsed="false">
      <c r="A158" s="196" t="s">
        <v>415</v>
      </c>
      <c r="B158" s="196" t="s">
        <v>1452</v>
      </c>
      <c r="C158" s="197" t="s">
        <v>1648</v>
      </c>
      <c r="D158" s="198" t="s">
        <v>1649</v>
      </c>
      <c r="E158" s="196"/>
      <c r="F158" s="196"/>
      <c r="G158" s="196"/>
      <c r="H158" s="196"/>
      <c r="I158" s="196"/>
      <c r="J158" s="196"/>
      <c r="K158" s="196"/>
      <c r="L158" s="112"/>
      <c r="M158" s="196"/>
      <c r="N158" s="112"/>
      <c r="O158" s="196"/>
      <c r="P158" s="196"/>
      <c r="Q158" s="200" t="s">
        <v>150</v>
      </c>
      <c r="R158" s="200" t="s">
        <v>1108</v>
      </c>
      <c r="S158" s="112"/>
      <c r="T158" s="200"/>
      <c r="U158" s="112"/>
      <c r="V158" s="112"/>
      <c r="W158" s="112"/>
      <c r="X158" s="112"/>
      <c r="Y158" s="112"/>
      <c r="Z158" s="112"/>
      <c r="AA158" s="200" t="s">
        <v>150</v>
      </c>
      <c r="AB158" s="200" t="n">
        <v>2.6</v>
      </c>
      <c r="AC158" s="200" t="s">
        <v>1652</v>
      </c>
      <c r="AD158" s="200" t="n">
        <v>23.95318</v>
      </c>
      <c r="AE158" s="200" t="n">
        <v>75.49093</v>
      </c>
    </row>
    <row r="159" customFormat="false" ht="15.75" hidden="false" customHeight="false" outlineLevel="0" collapsed="false">
      <c r="A159" s="196" t="s">
        <v>415</v>
      </c>
      <c r="B159" s="196" t="s">
        <v>1452</v>
      </c>
      <c r="C159" s="197" t="s">
        <v>1648</v>
      </c>
      <c r="D159" s="196" t="s">
        <v>1653</v>
      </c>
      <c r="E159" s="196" t="s">
        <v>1654</v>
      </c>
      <c r="F159" s="196" t="n">
        <v>320</v>
      </c>
      <c r="G159" s="196" t="n">
        <v>134</v>
      </c>
      <c r="H159" s="196" t="n">
        <v>614</v>
      </c>
      <c r="I159" s="196" t="n">
        <v>314</v>
      </c>
      <c r="J159" s="196" t="n">
        <v>300</v>
      </c>
      <c r="K159" s="196" t="n">
        <v>39</v>
      </c>
      <c r="L159" s="112" t="n">
        <f aca="false">K159/H159*100</f>
        <v>6.35179153094463</v>
      </c>
      <c r="M159" s="196" t="n">
        <v>0</v>
      </c>
      <c r="N159" s="112" t="n">
        <f aca="false">M159/H159*100</f>
        <v>0</v>
      </c>
      <c r="O159" s="196" t="n">
        <v>32</v>
      </c>
      <c r="P159" s="196" t="n">
        <v>0</v>
      </c>
      <c r="Q159" s="203" t="s">
        <v>150</v>
      </c>
      <c r="R159" s="203" t="s">
        <v>1108</v>
      </c>
      <c r="S159" s="112"/>
      <c r="T159" s="204" t="n">
        <v>4</v>
      </c>
      <c r="U159" s="112"/>
      <c r="V159" s="112"/>
      <c r="W159" s="112"/>
      <c r="X159" s="112"/>
      <c r="Y159" s="112"/>
      <c r="Z159" s="112"/>
      <c r="AA159" s="203" t="s">
        <v>891</v>
      </c>
      <c r="AB159" s="203" t="n">
        <v>3</v>
      </c>
      <c r="AC159" s="204" t="s">
        <v>1655</v>
      </c>
      <c r="AD159" s="203" t="n">
        <v>23.944614</v>
      </c>
      <c r="AE159" s="203" t="n">
        <v>75.537754</v>
      </c>
    </row>
    <row r="160" customFormat="false" ht="15.75" hidden="false" customHeight="false" outlineLevel="0" collapsed="false">
      <c r="A160" s="196" t="s">
        <v>415</v>
      </c>
      <c r="B160" s="196" t="s">
        <v>1452</v>
      </c>
      <c r="C160" s="197" t="s">
        <v>1648</v>
      </c>
      <c r="D160" s="196" t="s">
        <v>1656</v>
      </c>
      <c r="E160" s="196" t="s">
        <v>1657</v>
      </c>
      <c r="F160" s="196" t="n">
        <v>405</v>
      </c>
      <c r="G160" s="196" t="n">
        <v>117</v>
      </c>
      <c r="H160" s="196" t="n">
        <v>605</v>
      </c>
      <c r="I160" s="196" t="n">
        <v>307</v>
      </c>
      <c r="J160" s="196" t="n">
        <v>298</v>
      </c>
      <c r="K160" s="196" t="n">
        <v>47</v>
      </c>
      <c r="L160" s="112" t="n">
        <f aca="false">K160/H160*100</f>
        <v>7.76859504132231</v>
      </c>
      <c r="M160" s="196" t="n">
        <v>0</v>
      </c>
      <c r="N160" s="112" t="n">
        <f aca="false">M160/H160*100</f>
        <v>0</v>
      </c>
      <c r="O160" s="196" t="n">
        <v>74</v>
      </c>
      <c r="P160" s="196" t="n">
        <v>0</v>
      </c>
      <c r="Q160" s="203" t="s">
        <v>150</v>
      </c>
      <c r="R160" s="203" t="s">
        <v>1108</v>
      </c>
      <c r="S160" s="112"/>
      <c r="T160" s="204" t="n">
        <v>1</v>
      </c>
      <c r="U160" s="112"/>
      <c r="V160" s="112"/>
      <c r="W160" s="112"/>
      <c r="X160" s="112"/>
      <c r="Y160" s="112"/>
      <c r="Z160" s="112"/>
      <c r="AA160" s="203" t="s">
        <v>891</v>
      </c>
      <c r="AB160" s="203" t="n">
        <v>2</v>
      </c>
      <c r="AC160" s="203" t="s">
        <v>1658</v>
      </c>
      <c r="AD160" s="203" t="n">
        <v>23.948601</v>
      </c>
      <c r="AE160" s="203" t="n">
        <v>75.479861</v>
      </c>
    </row>
    <row r="161" customFormat="false" ht="15.75" hidden="false" customHeight="false" outlineLevel="0" collapsed="false">
      <c r="A161" s="196" t="s">
        <v>415</v>
      </c>
      <c r="B161" s="196" t="s">
        <v>1452</v>
      </c>
      <c r="C161" s="197" t="s">
        <v>1648</v>
      </c>
      <c r="D161" s="196" t="s">
        <v>1659</v>
      </c>
      <c r="E161" s="196" t="s">
        <v>1660</v>
      </c>
      <c r="F161" s="196" t="n">
        <v>157</v>
      </c>
      <c r="G161" s="196" t="n">
        <v>102</v>
      </c>
      <c r="H161" s="196" t="n">
        <v>365</v>
      </c>
      <c r="I161" s="196" t="n">
        <v>169</v>
      </c>
      <c r="J161" s="196" t="n">
        <v>196</v>
      </c>
      <c r="K161" s="196" t="n">
        <v>35</v>
      </c>
      <c r="L161" s="112" t="n">
        <f aca="false">K161/H161*100</f>
        <v>9.58904109589041</v>
      </c>
      <c r="M161" s="196" t="n">
        <v>0</v>
      </c>
      <c r="N161" s="112" t="n">
        <f aca="false">M161/H161*100</f>
        <v>0</v>
      </c>
      <c r="O161" s="196" t="n">
        <v>23</v>
      </c>
      <c r="P161" s="196" t="n">
        <v>0</v>
      </c>
      <c r="Q161" s="203" t="s">
        <v>150</v>
      </c>
      <c r="R161" s="203" t="s">
        <v>1108</v>
      </c>
      <c r="S161" s="112"/>
      <c r="T161" s="204" t="n">
        <v>2</v>
      </c>
      <c r="U161" s="112"/>
      <c r="V161" s="112"/>
      <c r="W161" s="112"/>
      <c r="X161" s="112"/>
      <c r="Y161" s="112"/>
      <c r="Z161" s="112"/>
      <c r="AA161" s="203" t="s">
        <v>891</v>
      </c>
      <c r="AB161" s="203" t="n">
        <v>2</v>
      </c>
      <c r="AC161" s="203" t="s">
        <v>1486</v>
      </c>
      <c r="AD161" s="203" t="n">
        <v>23.969251</v>
      </c>
      <c r="AE161" s="203" t="n">
        <v>75.515841</v>
      </c>
    </row>
    <row r="162" customFormat="false" ht="15.75" hidden="false" customHeight="false" outlineLevel="0" collapsed="false">
      <c r="A162" s="196" t="s">
        <v>415</v>
      </c>
      <c r="B162" s="196" t="s">
        <v>1452</v>
      </c>
      <c r="C162" s="197" t="s">
        <v>1648</v>
      </c>
      <c r="D162" s="196" t="s">
        <v>1661</v>
      </c>
      <c r="E162" s="196" t="s">
        <v>1662</v>
      </c>
      <c r="F162" s="196" t="n">
        <v>391</v>
      </c>
      <c r="G162" s="196" t="n">
        <v>243</v>
      </c>
      <c r="H162" s="196" t="n">
        <v>1242</v>
      </c>
      <c r="I162" s="196" t="n">
        <v>612</v>
      </c>
      <c r="J162" s="196" t="n">
        <v>630</v>
      </c>
      <c r="K162" s="196" t="n">
        <v>155</v>
      </c>
      <c r="L162" s="112" t="n">
        <f aca="false">K162/H162*100</f>
        <v>12.4798711755234</v>
      </c>
      <c r="M162" s="196" t="n">
        <v>2</v>
      </c>
      <c r="N162" s="112" t="n">
        <f aca="false">M162/H162*100</f>
        <v>0.161030595813205</v>
      </c>
      <c r="O162" s="196" t="n">
        <v>0</v>
      </c>
      <c r="P162" s="196" t="n">
        <v>0</v>
      </c>
      <c r="Q162" s="203" t="s">
        <v>150</v>
      </c>
      <c r="R162" s="203" t="s">
        <v>1108</v>
      </c>
      <c r="S162" s="112"/>
      <c r="T162" s="203" t="n">
        <v>5</v>
      </c>
      <c r="U162" s="112"/>
      <c r="V162" s="112"/>
      <c r="W162" s="112"/>
      <c r="X162" s="112"/>
      <c r="Y162" s="112"/>
      <c r="Z162" s="112"/>
      <c r="AA162" s="203" t="s">
        <v>891</v>
      </c>
      <c r="AB162" s="203" t="n">
        <v>3</v>
      </c>
      <c r="AC162" s="204"/>
      <c r="AD162" s="203" t="n">
        <v>23.955625</v>
      </c>
      <c r="AE162" s="203" t="n">
        <v>75.491573</v>
      </c>
    </row>
    <row r="163" customFormat="false" ht="15.75" hidden="false" customHeight="false" outlineLevel="0" collapsed="false">
      <c r="A163" s="196" t="s">
        <v>415</v>
      </c>
      <c r="B163" s="196" t="s">
        <v>1452</v>
      </c>
      <c r="C163" s="197" t="s">
        <v>1663</v>
      </c>
      <c r="D163" s="198" t="s">
        <v>1664</v>
      </c>
      <c r="E163" s="196" t="s">
        <v>1665</v>
      </c>
      <c r="F163" s="196" t="n">
        <v>705.24</v>
      </c>
      <c r="G163" s="196" t="n">
        <v>263</v>
      </c>
      <c r="H163" s="196" t="n">
        <v>1322</v>
      </c>
      <c r="I163" s="196" t="n">
        <v>687</v>
      </c>
      <c r="J163" s="196" t="n">
        <v>635</v>
      </c>
      <c r="K163" s="196" t="n">
        <v>791</v>
      </c>
      <c r="L163" s="112" t="n">
        <f aca="false">K163/H163*100</f>
        <v>59.8335854765507</v>
      </c>
      <c r="M163" s="196" t="n">
        <v>0</v>
      </c>
      <c r="N163" s="112" t="n">
        <f aca="false">M163/H163*100</f>
        <v>0</v>
      </c>
      <c r="O163" s="196" t="n">
        <v>40.24</v>
      </c>
      <c r="P163" s="196" t="n">
        <v>0</v>
      </c>
      <c r="Q163" s="199" t="s">
        <v>45</v>
      </c>
      <c r="R163" s="200" t="s">
        <v>1563</v>
      </c>
      <c r="S163" s="112"/>
      <c r="T163" s="200"/>
      <c r="U163" s="112"/>
      <c r="V163" s="112"/>
      <c r="W163" s="112"/>
      <c r="X163" s="112"/>
      <c r="Y163" s="112"/>
      <c r="Z163" s="112"/>
      <c r="AA163" s="200" t="s">
        <v>43</v>
      </c>
      <c r="AB163" s="200" t="n">
        <v>5</v>
      </c>
      <c r="AC163" s="204"/>
      <c r="AD163" s="200" t="n">
        <v>23.4</v>
      </c>
      <c r="AE163" s="200" t="n">
        <v>75.4</v>
      </c>
    </row>
    <row r="164" customFormat="false" ht="15.75" hidden="false" customHeight="false" outlineLevel="0" collapsed="false">
      <c r="A164" s="196" t="s">
        <v>415</v>
      </c>
      <c r="B164" s="196" t="s">
        <v>1452</v>
      </c>
      <c r="C164" s="197" t="s">
        <v>1663</v>
      </c>
      <c r="D164" s="196" t="s">
        <v>1666</v>
      </c>
      <c r="E164" s="196" t="s">
        <v>1667</v>
      </c>
      <c r="F164" s="196" t="n">
        <v>287.05</v>
      </c>
      <c r="G164" s="196" t="n">
        <v>137</v>
      </c>
      <c r="H164" s="196" t="n">
        <v>626</v>
      </c>
      <c r="I164" s="196" t="n">
        <v>324</v>
      </c>
      <c r="J164" s="196" t="n">
        <v>302</v>
      </c>
      <c r="K164" s="196" t="n">
        <v>181</v>
      </c>
      <c r="L164" s="112" t="n">
        <f aca="false">K164/H164*100</f>
        <v>28.9137380191693</v>
      </c>
      <c r="M164" s="196" t="n">
        <v>0</v>
      </c>
      <c r="N164" s="112" t="n">
        <f aca="false">M164/H164*100</f>
        <v>0</v>
      </c>
      <c r="O164" s="196" t="n">
        <v>16.21</v>
      </c>
      <c r="P164" s="196" t="n">
        <v>0</v>
      </c>
      <c r="Q164" s="199" t="s">
        <v>45</v>
      </c>
      <c r="R164" s="200" t="s">
        <v>1563</v>
      </c>
      <c r="S164" s="112"/>
      <c r="T164" s="200"/>
      <c r="U164" s="112"/>
      <c r="V164" s="112"/>
      <c r="W164" s="112"/>
      <c r="X164" s="112"/>
      <c r="Y164" s="112"/>
      <c r="Z164" s="112"/>
      <c r="AA164" s="200" t="s">
        <v>43</v>
      </c>
      <c r="AB164" s="200" t="n">
        <v>3</v>
      </c>
      <c r="AC164" s="204"/>
      <c r="AD164" s="200" t="n">
        <v>23.79</v>
      </c>
      <c r="AE164" s="200" t="n">
        <v>75.59</v>
      </c>
    </row>
    <row r="165" customFormat="false" ht="15.75" hidden="false" customHeight="false" outlineLevel="0" collapsed="false">
      <c r="A165" s="196" t="s">
        <v>415</v>
      </c>
      <c r="B165" s="196" t="s">
        <v>1452</v>
      </c>
      <c r="C165" s="197" t="s">
        <v>1663</v>
      </c>
      <c r="D165" s="196" t="s">
        <v>1668</v>
      </c>
      <c r="E165" s="196" t="s">
        <v>1669</v>
      </c>
      <c r="F165" s="196" t="n">
        <v>366.26</v>
      </c>
      <c r="G165" s="196" t="n">
        <v>76</v>
      </c>
      <c r="H165" s="196" t="n">
        <v>444</v>
      </c>
      <c r="I165" s="196" t="n">
        <v>234</v>
      </c>
      <c r="J165" s="196" t="n">
        <v>210</v>
      </c>
      <c r="K165" s="196" t="n">
        <v>67</v>
      </c>
      <c r="L165" s="112" t="n">
        <f aca="false">K165/H165*100</f>
        <v>15.0900900900901</v>
      </c>
      <c r="M165" s="196" t="n">
        <v>0</v>
      </c>
      <c r="N165" s="112" t="n">
        <f aca="false">M165/H165*100</f>
        <v>0</v>
      </c>
      <c r="O165" s="196" t="n">
        <v>26.06</v>
      </c>
      <c r="P165" s="196" t="n">
        <v>0</v>
      </c>
      <c r="Q165" s="199" t="s">
        <v>45</v>
      </c>
      <c r="R165" s="200" t="s">
        <v>1563</v>
      </c>
      <c r="S165" s="112"/>
      <c r="T165" s="200"/>
      <c r="U165" s="112"/>
      <c r="V165" s="112"/>
      <c r="W165" s="112"/>
      <c r="X165" s="112"/>
      <c r="Y165" s="112"/>
      <c r="Z165" s="112"/>
      <c r="AA165" s="200" t="s">
        <v>43</v>
      </c>
      <c r="AB165" s="200" t="n">
        <v>4</v>
      </c>
      <c r="AC165" s="204"/>
      <c r="AD165" s="200" t="n">
        <v>23.8</v>
      </c>
      <c r="AE165" s="200" t="n">
        <v>75.61</v>
      </c>
    </row>
    <row r="166" customFormat="false" ht="15.75" hidden="false" customHeight="false" outlineLevel="0" collapsed="false">
      <c r="A166" s="196" t="s">
        <v>415</v>
      </c>
      <c r="B166" s="196" t="s">
        <v>1452</v>
      </c>
      <c r="C166" s="197" t="s">
        <v>1663</v>
      </c>
      <c r="D166" s="196" t="s">
        <v>1670</v>
      </c>
      <c r="E166" s="196" t="s">
        <v>1671</v>
      </c>
      <c r="F166" s="196" t="n">
        <v>642.73</v>
      </c>
      <c r="G166" s="196" t="n">
        <v>213</v>
      </c>
      <c r="H166" s="196" t="n">
        <v>1166</v>
      </c>
      <c r="I166" s="196" t="n">
        <v>604</v>
      </c>
      <c r="J166" s="196" t="n">
        <v>562</v>
      </c>
      <c r="K166" s="196" t="n">
        <v>229</v>
      </c>
      <c r="L166" s="112" t="n">
        <f aca="false">K166/H166*100</f>
        <v>19.6397941680961</v>
      </c>
      <c r="M166" s="196" t="n">
        <v>2</v>
      </c>
      <c r="N166" s="112" t="n">
        <f aca="false">M166/H166*100</f>
        <v>0.171526586620926</v>
      </c>
      <c r="O166" s="196" t="n">
        <v>42.34</v>
      </c>
      <c r="P166" s="196" t="n">
        <v>0</v>
      </c>
      <c r="Q166" s="199" t="s">
        <v>45</v>
      </c>
      <c r="R166" s="200" t="s">
        <v>1563</v>
      </c>
      <c r="S166" s="112"/>
      <c r="T166" s="200"/>
      <c r="U166" s="112"/>
      <c r="V166" s="112"/>
      <c r="W166" s="112"/>
      <c r="X166" s="112"/>
      <c r="Y166" s="112"/>
      <c r="Z166" s="112"/>
      <c r="AA166" s="200" t="s">
        <v>43</v>
      </c>
      <c r="AB166" s="200" t="n">
        <v>1.5</v>
      </c>
      <c r="AC166" s="204"/>
      <c r="AD166" s="200" t="n">
        <v>23.4</v>
      </c>
      <c r="AE166" s="200" t="n">
        <v>75.2</v>
      </c>
    </row>
    <row r="167" customFormat="false" ht="15.75" hidden="false" customHeight="false" outlineLevel="0" collapsed="false">
      <c r="A167" s="196" t="s">
        <v>415</v>
      </c>
      <c r="B167" s="196" t="s">
        <v>1452</v>
      </c>
      <c r="C167" s="197" t="s">
        <v>1663</v>
      </c>
      <c r="D167" s="196" t="s">
        <v>1672</v>
      </c>
      <c r="E167" s="196" t="s">
        <v>1673</v>
      </c>
      <c r="F167" s="196" t="n">
        <v>45.04</v>
      </c>
      <c r="G167" s="196" t="n">
        <v>12</v>
      </c>
      <c r="H167" s="196" t="n">
        <v>55</v>
      </c>
      <c r="I167" s="196" t="n">
        <v>33</v>
      </c>
      <c r="J167" s="196" t="n">
        <v>22</v>
      </c>
      <c r="K167" s="196" t="n">
        <v>0</v>
      </c>
      <c r="L167" s="112" t="n">
        <f aca="false">K167/H167*100</f>
        <v>0</v>
      </c>
      <c r="M167" s="196" t="n">
        <v>0</v>
      </c>
      <c r="N167" s="112" t="n">
        <f aca="false">M167/H167*100</f>
        <v>0</v>
      </c>
      <c r="O167" s="196" t="n">
        <v>0</v>
      </c>
      <c r="P167" s="196" t="n">
        <v>0</v>
      </c>
      <c r="Q167" s="204"/>
      <c r="R167" s="204"/>
      <c r="S167" s="112"/>
      <c r="T167" s="204"/>
      <c r="U167" s="112"/>
      <c r="V167" s="112"/>
      <c r="W167" s="112"/>
      <c r="X167" s="112"/>
      <c r="Y167" s="112"/>
      <c r="Z167" s="112"/>
      <c r="AA167" s="204"/>
      <c r="AB167" s="204"/>
      <c r="AC167" s="204"/>
      <c r="AD167" s="204"/>
      <c r="AE167" s="204"/>
    </row>
    <row r="168" customFormat="false" ht="15.75" hidden="false" customHeight="false" outlineLevel="0" collapsed="false">
      <c r="A168" s="196" t="s">
        <v>415</v>
      </c>
      <c r="B168" s="196" t="s">
        <v>1452</v>
      </c>
      <c r="C168" s="197" t="s">
        <v>1663</v>
      </c>
      <c r="D168" s="196" t="s">
        <v>1674</v>
      </c>
      <c r="E168" s="196" t="s">
        <v>1675</v>
      </c>
      <c r="F168" s="196" t="n">
        <v>200.77</v>
      </c>
      <c r="G168" s="196" t="n">
        <v>100</v>
      </c>
      <c r="H168" s="196" t="n">
        <v>494</v>
      </c>
      <c r="I168" s="196" t="n">
        <v>263</v>
      </c>
      <c r="J168" s="196" t="n">
        <v>231</v>
      </c>
      <c r="K168" s="196" t="n">
        <v>16</v>
      </c>
      <c r="L168" s="112" t="n">
        <f aca="false">K168/H168*100</f>
        <v>3.23886639676113</v>
      </c>
      <c r="M168" s="196" t="n">
        <v>0</v>
      </c>
      <c r="N168" s="112" t="n">
        <f aca="false">M168/H168*100</f>
        <v>0</v>
      </c>
      <c r="O168" s="196" t="n">
        <v>10.11</v>
      </c>
      <c r="P168" s="196" t="n">
        <v>0</v>
      </c>
      <c r="Q168" s="199" t="s">
        <v>45</v>
      </c>
      <c r="R168" s="200" t="s">
        <v>1563</v>
      </c>
      <c r="S168" s="112"/>
      <c r="T168" s="200"/>
      <c r="U168" s="112"/>
      <c r="V168" s="112"/>
      <c r="W168" s="112"/>
      <c r="X168" s="112"/>
      <c r="Y168" s="112"/>
      <c r="Z168" s="112"/>
      <c r="AA168" s="200" t="s">
        <v>43</v>
      </c>
      <c r="AB168" s="200" t="n">
        <v>3</v>
      </c>
      <c r="AC168" s="204"/>
      <c r="AD168" s="200" t="n">
        <v>23.85</v>
      </c>
      <c r="AE168" s="200" t="n">
        <v>75.64</v>
      </c>
    </row>
    <row r="169" customFormat="false" ht="15.75" hidden="false" customHeight="false" outlineLevel="0" collapsed="false">
      <c r="A169" s="196" t="s">
        <v>415</v>
      </c>
      <c r="B169" s="196" t="s">
        <v>1452</v>
      </c>
      <c r="C169" s="197" t="s">
        <v>1676</v>
      </c>
      <c r="D169" s="198" t="s">
        <v>1677</v>
      </c>
      <c r="E169" s="196" t="s">
        <v>1678</v>
      </c>
      <c r="F169" s="196" t="n">
        <v>681.8</v>
      </c>
      <c r="G169" s="196" t="n">
        <v>236</v>
      </c>
      <c r="H169" s="196" t="n">
        <v>1268</v>
      </c>
      <c r="I169" s="196" t="n">
        <v>639</v>
      </c>
      <c r="J169" s="196" t="n">
        <v>629</v>
      </c>
      <c r="K169" s="196" t="n">
        <v>208</v>
      </c>
      <c r="L169" s="112" t="n">
        <f aca="false">K169/H169*100</f>
        <v>16.403785488959</v>
      </c>
      <c r="M169" s="196" t="n">
        <v>0</v>
      </c>
      <c r="N169" s="112" t="n">
        <f aca="false">M169/H169*100</f>
        <v>0</v>
      </c>
      <c r="O169" s="196" t="n">
        <v>70.71</v>
      </c>
      <c r="P169" s="196" t="n">
        <v>297.34</v>
      </c>
      <c r="Q169" s="201" t="s">
        <v>150</v>
      </c>
      <c r="R169" s="203" t="s">
        <v>1679</v>
      </c>
      <c r="S169" s="112"/>
      <c r="T169" s="201" t="n">
        <v>5</v>
      </c>
      <c r="U169" s="112"/>
      <c r="V169" s="112"/>
      <c r="W169" s="112"/>
      <c r="X169" s="112"/>
      <c r="Y169" s="112"/>
      <c r="Z169" s="112"/>
      <c r="AA169" s="203" t="s">
        <v>891</v>
      </c>
      <c r="AB169" s="203" t="n">
        <v>8</v>
      </c>
      <c r="AC169" s="204"/>
      <c r="AD169" s="201" t="n">
        <v>23.985045</v>
      </c>
      <c r="AE169" s="201" t="n">
        <v>75.873828</v>
      </c>
    </row>
    <row r="170" customFormat="false" ht="15.75" hidden="false" customHeight="false" outlineLevel="0" collapsed="false">
      <c r="A170" s="196" t="s">
        <v>415</v>
      </c>
      <c r="B170" s="196" t="s">
        <v>1452</v>
      </c>
      <c r="C170" s="197" t="s">
        <v>1676</v>
      </c>
      <c r="D170" s="198" t="s">
        <v>1677</v>
      </c>
      <c r="E170" s="196"/>
      <c r="F170" s="196"/>
      <c r="G170" s="196"/>
      <c r="H170" s="196"/>
      <c r="I170" s="196"/>
      <c r="J170" s="196"/>
      <c r="K170" s="196"/>
      <c r="L170" s="112"/>
      <c r="M170" s="196"/>
      <c r="N170" s="112"/>
      <c r="O170" s="196"/>
      <c r="P170" s="196"/>
      <c r="Q170" s="200" t="s">
        <v>150</v>
      </c>
      <c r="R170" s="200" t="s">
        <v>1679</v>
      </c>
      <c r="S170" s="112"/>
      <c r="T170" s="204"/>
      <c r="U170" s="112"/>
      <c r="V170" s="112"/>
      <c r="W170" s="112"/>
      <c r="X170" s="112"/>
      <c r="Y170" s="112"/>
      <c r="Z170" s="112"/>
      <c r="AA170" s="200" t="s">
        <v>82</v>
      </c>
      <c r="AB170" s="200" t="n">
        <v>21</v>
      </c>
      <c r="AC170" s="204"/>
      <c r="AD170" s="200" t="n">
        <v>23.984956</v>
      </c>
      <c r="AE170" s="200" t="n">
        <v>75.874945</v>
      </c>
    </row>
    <row r="171" customFormat="false" ht="15.75" hidden="false" customHeight="false" outlineLevel="0" collapsed="false">
      <c r="A171" s="196" t="s">
        <v>415</v>
      </c>
      <c r="B171" s="196" t="s">
        <v>1452</v>
      </c>
      <c r="C171" s="197" t="s">
        <v>1676</v>
      </c>
      <c r="D171" s="198" t="s">
        <v>1677</v>
      </c>
      <c r="E171" s="196"/>
      <c r="F171" s="196"/>
      <c r="G171" s="196"/>
      <c r="H171" s="196"/>
      <c r="I171" s="196"/>
      <c r="J171" s="196"/>
      <c r="K171" s="196"/>
      <c r="L171" s="112"/>
      <c r="M171" s="196"/>
      <c r="N171" s="112"/>
      <c r="O171" s="196"/>
      <c r="P171" s="196"/>
      <c r="Q171" s="200" t="s">
        <v>150</v>
      </c>
      <c r="R171" s="200" t="s">
        <v>1679</v>
      </c>
      <c r="S171" s="112"/>
      <c r="T171" s="204"/>
      <c r="U171" s="112"/>
      <c r="V171" s="112"/>
      <c r="W171" s="112"/>
      <c r="X171" s="112"/>
      <c r="Y171" s="112"/>
      <c r="Z171" s="112"/>
      <c r="AA171" s="200" t="s">
        <v>82</v>
      </c>
      <c r="AB171" s="200" t="n">
        <v>25</v>
      </c>
      <c r="AC171" s="204"/>
      <c r="AD171" s="200" t="n">
        <v>23.99</v>
      </c>
      <c r="AE171" s="200" t="n">
        <v>75.88</v>
      </c>
    </row>
    <row r="172" customFormat="false" ht="15.75" hidden="false" customHeight="false" outlineLevel="0" collapsed="false">
      <c r="A172" s="196" t="s">
        <v>415</v>
      </c>
      <c r="B172" s="196" t="s">
        <v>1452</v>
      </c>
      <c r="C172" s="197" t="s">
        <v>1676</v>
      </c>
      <c r="D172" s="196" t="s">
        <v>1680</v>
      </c>
      <c r="E172" s="196" t="s">
        <v>1681</v>
      </c>
      <c r="F172" s="196" t="n">
        <v>304.85</v>
      </c>
      <c r="G172" s="196" t="n">
        <v>55</v>
      </c>
      <c r="H172" s="196" t="n">
        <v>272</v>
      </c>
      <c r="I172" s="196" t="n">
        <v>150</v>
      </c>
      <c r="J172" s="196" t="n">
        <v>122</v>
      </c>
      <c r="K172" s="196" t="n">
        <v>131</v>
      </c>
      <c r="L172" s="112" t="n">
        <f aca="false">K172/H172*100</f>
        <v>48.1617647058824</v>
      </c>
      <c r="M172" s="196" t="n">
        <v>0</v>
      </c>
      <c r="N172" s="112" t="n">
        <f aca="false">M172/H172*100</f>
        <v>0</v>
      </c>
      <c r="O172" s="196" t="n">
        <v>25.53</v>
      </c>
      <c r="P172" s="196" t="n">
        <v>125.89</v>
      </c>
      <c r="Q172" s="201" t="s">
        <v>45</v>
      </c>
      <c r="R172" s="203" t="s">
        <v>1679</v>
      </c>
      <c r="S172" s="112"/>
      <c r="T172" s="201" t="n">
        <v>5</v>
      </c>
      <c r="U172" s="112"/>
      <c r="V172" s="112"/>
      <c r="W172" s="112"/>
      <c r="X172" s="112"/>
      <c r="Y172" s="112"/>
      <c r="Z172" s="112"/>
      <c r="AA172" s="203" t="s">
        <v>891</v>
      </c>
      <c r="AB172" s="203" t="n">
        <v>5</v>
      </c>
      <c r="AC172" s="204"/>
      <c r="AD172" s="201" t="n">
        <v>23.946816</v>
      </c>
      <c r="AE172" s="201" t="n">
        <v>75.946816</v>
      </c>
    </row>
    <row r="173" customFormat="false" ht="15.75" hidden="false" customHeight="false" outlineLevel="0" collapsed="false">
      <c r="A173" s="196" t="s">
        <v>415</v>
      </c>
      <c r="B173" s="196" t="s">
        <v>1452</v>
      </c>
      <c r="C173" s="197" t="s">
        <v>1676</v>
      </c>
      <c r="D173" s="196" t="s">
        <v>1680</v>
      </c>
      <c r="E173" s="196"/>
      <c r="F173" s="196"/>
      <c r="G173" s="196"/>
      <c r="H173" s="196"/>
      <c r="I173" s="196"/>
      <c r="J173" s="196"/>
      <c r="K173" s="196"/>
      <c r="L173" s="112"/>
      <c r="M173" s="196"/>
      <c r="N173" s="112"/>
      <c r="O173" s="196"/>
      <c r="P173" s="196"/>
      <c r="Q173" s="200" t="s">
        <v>45</v>
      </c>
      <c r="R173" s="200" t="s">
        <v>1679</v>
      </c>
      <c r="S173" s="112"/>
      <c r="T173" s="200"/>
      <c r="U173" s="112"/>
      <c r="V173" s="112"/>
      <c r="W173" s="112"/>
      <c r="X173" s="112"/>
      <c r="Y173" s="112"/>
      <c r="Z173" s="112"/>
      <c r="AA173" s="200" t="s">
        <v>82</v>
      </c>
      <c r="AB173" s="200" t="n">
        <v>14</v>
      </c>
      <c r="AC173" s="204"/>
      <c r="AD173" s="200" t="n">
        <v>23.950321</v>
      </c>
      <c r="AE173" s="200" t="n">
        <v>75.875586</v>
      </c>
    </row>
    <row r="174" customFormat="false" ht="15.75" hidden="false" customHeight="false" outlineLevel="0" collapsed="false">
      <c r="A174" s="196" t="s">
        <v>415</v>
      </c>
      <c r="B174" s="196" t="s">
        <v>1452</v>
      </c>
      <c r="C174" s="197" t="s">
        <v>1676</v>
      </c>
      <c r="D174" s="196" t="s">
        <v>1682</v>
      </c>
      <c r="E174" s="196" t="s">
        <v>1683</v>
      </c>
      <c r="F174" s="196" t="n">
        <v>191.51</v>
      </c>
      <c r="G174" s="196" t="n">
        <v>0</v>
      </c>
      <c r="H174" s="196" t="n">
        <v>0</v>
      </c>
      <c r="I174" s="196" t="n">
        <v>0</v>
      </c>
      <c r="J174" s="196" t="n">
        <v>0</v>
      </c>
      <c r="K174" s="196" t="n">
        <v>0</v>
      </c>
      <c r="L174" s="112"/>
      <c r="M174" s="196"/>
      <c r="N174" s="112"/>
      <c r="O174" s="196" t="n">
        <v>0</v>
      </c>
      <c r="P174" s="196" t="n">
        <v>110.79</v>
      </c>
      <c r="Q174" s="204"/>
      <c r="R174" s="204"/>
      <c r="S174" s="112"/>
      <c r="T174" s="204"/>
      <c r="U174" s="112"/>
      <c r="V174" s="112"/>
      <c r="W174" s="112"/>
      <c r="X174" s="112"/>
      <c r="Y174" s="112"/>
      <c r="Z174" s="112"/>
      <c r="AA174" s="204"/>
      <c r="AB174" s="204"/>
      <c r="AC174" s="204"/>
      <c r="AD174" s="204"/>
      <c r="AE174" s="204"/>
    </row>
    <row r="175" customFormat="false" ht="15.75" hidden="false" customHeight="false" outlineLevel="0" collapsed="false">
      <c r="A175" s="196" t="s">
        <v>415</v>
      </c>
      <c r="B175" s="196" t="s">
        <v>1452</v>
      </c>
      <c r="C175" s="197" t="s">
        <v>1676</v>
      </c>
      <c r="D175" s="196" t="s">
        <v>1684</v>
      </c>
      <c r="E175" s="196" t="s">
        <v>1685</v>
      </c>
      <c r="F175" s="196" t="n">
        <v>259.18</v>
      </c>
      <c r="G175" s="196" t="n">
        <v>116</v>
      </c>
      <c r="H175" s="196" t="n">
        <v>479</v>
      </c>
      <c r="I175" s="196" t="n">
        <v>248</v>
      </c>
      <c r="J175" s="196" t="n">
        <v>231</v>
      </c>
      <c r="K175" s="196" t="n">
        <v>164</v>
      </c>
      <c r="L175" s="112" t="n">
        <f aca="false">K175/H175*100</f>
        <v>34.2379958246347</v>
      </c>
      <c r="M175" s="196" t="n">
        <v>0</v>
      </c>
      <c r="N175" s="112" t="n">
        <f aca="false">M175/H175*100</f>
        <v>0</v>
      </c>
      <c r="O175" s="196" t="n">
        <v>38.01</v>
      </c>
      <c r="P175" s="196" t="n">
        <v>110.94</v>
      </c>
      <c r="Q175" s="201" t="s">
        <v>45</v>
      </c>
      <c r="R175" s="203" t="s">
        <v>1679</v>
      </c>
      <c r="S175" s="112"/>
      <c r="T175" s="201" t="n">
        <v>10.51</v>
      </c>
      <c r="U175" s="112"/>
      <c r="V175" s="112"/>
      <c r="W175" s="112"/>
      <c r="X175" s="112"/>
      <c r="Y175" s="112"/>
      <c r="Z175" s="112"/>
      <c r="AA175" s="203" t="s">
        <v>891</v>
      </c>
      <c r="AB175" s="203" t="n">
        <v>2</v>
      </c>
      <c r="AC175" s="204"/>
      <c r="AD175" s="201" t="n">
        <v>23.971511</v>
      </c>
      <c r="AE175" s="201" t="n">
        <v>75.860892</v>
      </c>
    </row>
    <row r="176" customFormat="false" ht="15.75" hidden="false" customHeight="false" outlineLevel="0" collapsed="false">
      <c r="A176" s="196" t="s">
        <v>415</v>
      </c>
      <c r="B176" s="196" t="s">
        <v>1452</v>
      </c>
      <c r="C176" s="197" t="s">
        <v>1676</v>
      </c>
      <c r="D176" s="196" t="s">
        <v>1686</v>
      </c>
      <c r="E176" s="196" t="s">
        <v>1687</v>
      </c>
      <c r="F176" s="196" t="n">
        <v>674.27</v>
      </c>
      <c r="G176" s="196" t="n">
        <v>177</v>
      </c>
      <c r="H176" s="196" t="n">
        <v>810</v>
      </c>
      <c r="I176" s="196" t="n">
        <v>430</v>
      </c>
      <c r="J176" s="196" t="n">
        <v>380</v>
      </c>
      <c r="K176" s="196" t="n">
        <v>397</v>
      </c>
      <c r="L176" s="112" t="n">
        <f aca="false">K176/H176*100</f>
        <v>49.0123456790124</v>
      </c>
      <c r="M176" s="196" t="n">
        <v>0</v>
      </c>
      <c r="N176" s="112" t="n">
        <f aca="false">M176/H176*100</f>
        <v>0</v>
      </c>
      <c r="O176" s="196" t="n">
        <v>46.27</v>
      </c>
      <c r="P176" s="196" t="n">
        <v>144.59</v>
      </c>
      <c r="Q176" s="204"/>
      <c r="R176" s="204"/>
      <c r="S176" s="112"/>
      <c r="T176" s="204"/>
      <c r="U176" s="112"/>
      <c r="V176" s="112"/>
      <c r="W176" s="112"/>
      <c r="X176" s="112"/>
      <c r="Y176" s="112"/>
      <c r="Z176" s="112"/>
      <c r="AA176" s="204"/>
      <c r="AB176" s="204"/>
      <c r="AC176" s="204"/>
      <c r="AD176" s="204"/>
      <c r="AE176" s="204"/>
    </row>
    <row r="177" customFormat="false" ht="15.75" hidden="false" customHeight="false" outlineLevel="0" collapsed="false">
      <c r="A177" s="196" t="s">
        <v>415</v>
      </c>
      <c r="B177" s="196" t="s">
        <v>1452</v>
      </c>
      <c r="C177" s="197" t="s">
        <v>1676</v>
      </c>
      <c r="D177" s="196" t="s">
        <v>281</v>
      </c>
      <c r="E177" s="196" t="s">
        <v>1688</v>
      </c>
      <c r="F177" s="196" t="n">
        <v>482.06</v>
      </c>
      <c r="G177" s="196" t="n">
        <v>198</v>
      </c>
      <c r="H177" s="196" t="n">
        <v>924</v>
      </c>
      <c r="I177" s="196" t="n">
        <v>487</v>
      </c>
      <c r="J177" s="196" t="n">
        <v>437</v>
      </c>
      <c r="K177" s="196" t="n">
        <v>505</v>
      </c>
      <c r="L177" s="112" t="n">
        <f aca="false">K177/H177*100</f>
        <v>54.6536796536797</v>
      </c>
      <c r="M177" s="196" t="n">
        <v>2</v>
      </c>
      <c r="N177" s="112" t="n">
        <f aca="false">M177/H177*100</f>
        <v>0.216450216450216</v>
      </c>
      <c r="O177" s="196" t="n">
        <v>76.07</v>
      </c>
      <c r="P177" s="196" t="n">
        <v>137.9</v>
      </c>
      <c r="Q177" s="201" t="s">
        <v>45</v>
      </c>
      <c r="R177" s="203" t="s">
        <v>1679</v>
      </c>
      <c r="S177" s="112"/>
      <c r="T177" s="201" t="n">
        <v>44</v>
      </c>
      <c r="U177" s="112"/>
      <c r="V177" s="112"/>
      <c r="W177" s="112"/>
      <c r="X177" s="112"/>
      <c r="Y177" s="112"/>
      <c r="Z177" s="112"/>
      <c r="AA177" s="203" t="s">
        <v>891</v>
      </c>
      <c r="AB177" s="203" t="n">
        <v>10</v>
      </c>
      <c r="AC177" s="204"/>
      <c r="AD177" s="201" t="n">
        <v>23.976787</v>
      </c>
      <c r="AE177" s="201" t="n">
        <v>75.893168</v>
      </c>
    </row>
    <row r="178" customFormat="false" ht="15.75" hidden="false" customHeight="false" outlineLevel="0" collapsed="false">
      <c r="A178" s="196" t="s">
        <v>415</v>
      </c>
      <c r="B178" s="196" t="s">
        <v>1452</v>
      </c>
      <c r="C178" s="197" t="s">
        <v>1676</v>
      </c>
      <c r="D178" s="196" t="s">
        <v>281</v>
      </c>
      <c r="E178" s="196"/>
      <c r="F178" s="196"/>
      <c r="G178" s="196"/>
      <c r="H178" s="196"/>
      <c r="I178" s="196"/>
      <c r="J178" s="196"/>
      <c r="K178" s="196"/>
      <c r="L178" s="112"/>
      <c r="M178" s="196"/>
      <c r="N178" s="112"/>
      <c r="O178" s="196"/>
      <c r="P178" s="196"/>
      <c r="Q178" s="200" t="s">
        <v>45</v>
      </c>
      <c r="R178" s="200" t="s">
        <v>1679</v>
      </c>
      <c r="S178" s="112"/>
      <c r="T178" s="200" t="n">
        <v>29</v>
      </c>
      <c r="U178" s="112"/>
      <c r="V178" s="112"/>
      <c r="W178" s="112"/>
      <c r="X178" s="112"/>
      <c r="Y178" s="112"/>
      <c r="Z178" s="112"/>
      <c r="AA178" s="200" t="s">
        <v>82</v>
      </c>
      <c r="AB178" s="204"/>
      <c r="AC178" s="204"/>
      <c r="AD178" s="200" t="n">
        <v>23.974905</v>
      </c>
      <c r="AE178" s="200" t="n">
        <v>75.875492</v>
      </c>
    </row>
    <row r="179" customFormat="false" ht="15.75" hidden="false" customHeight="false" outlineLevel="0" collapsed="false">
      <c r="A179" s="196" t="s">
        <v>415</v>
      </c>
      <c r="B179" s="196" t="s">
        <v>1452</v>
      </c>
      <c r="C179" s="197" t="s">
        <v>1676</v>
      </c>
      <c r="D179" s="196" t="s">
        <v>1689</v>
      </c>
      <c r="E179" s="196" t="s">
        <v>1690</v>
      </c>
      <c r="F179" s="196" t="n">
        <v>480.05</v>
      </c>
      <c r="G179" s="196" t="n">
        <v>82</v>
      </c>
      <c r="H179" s="196" t="n">
        <v>380</v>
      </c>
      <c r="I179" s="196" t="n">
        <v>208</v>
      </c>
      <c r="J179" s="196" t="n">
        <v>172</v>
      </c>
      <c r="K179" s="196" t="n">
        <v>80</v>
      </c>
      <c r="L179" s="112" t="n">
        <f aca="false">K179/H179*100</f>
        <v>21.0526315789474</v>
      </c>
      <c r="M179" s="196" t="n">
        <v>0</v>
      </c>
      <c r="N179" s="112" t="n">
        <f aca="false">M179/H179*100</f>
        <v>0</v>
      </c>
      <c r="O179" s="196" t="n">
        <v>67.7</v>
      </c>
      <c r="P179" s="196" t="n">
        <v>134.36</v>
      </c>
      <c r="Q179" s="201" t="s">
        <v>45</v>
      </c>
      <c r="R179" s="203" t="s">
        <v>1679</v>
      </c>
      <c r="S179" s="112"/>
      <c r="T179" s="204" t="n">
        <v>3</v>
      </c>
      <c r="U179" s="112"/>
      <c r="V179" s="112"/>
      <c r="W179" s="112"/>
      <c r="X179" s="112"/>
      <c r="Y179" s="112"/>
      <c r="Z179" s="112"/>
      <c r="AA179" s="204" t="s">
        <v>150</v>
      </c>
      <c r="AB179" s="204" t="n">
        <v>2</v>
      </c>
      <c r="AC179" s="203" t="s">
        <v>971</v>
      </c>
      <c r="AD179" s="201" t="n">
        <v>23.991211</v>
      </c>
      <c r="AE179" s="201" t="n">
        <v>75.886038</v>
      </c>
    </row>
    <row r="180" customFormat="false" ht="15.75" hidden="false" customHeight="false" outlineLevel="0" collapsed="false">
      <c r="A180" s="196" t="s">
        <v>415</v>
      </c>
      <c r="B180" s="196" t="s">
        <v>1452</v>
      </c>
      <c r="C180" s="197" t="s">
        <v>1676</v>
      </c>
      <c r="D180" s="196" t="s">
        <v>1615</v>
      </c>
      <c r="E180" s="196" t="s">
        <v>1691</v>
      </c>
      <c r="F180" s="196" t="n">
        <v>331.62</v>
      </c>
      <c r="G180" s="196" t="n">
        <v>0</v>
      </c>
      <c r="H180" s="196" t="n">
        <v>0</v>
      </c>
      <c r="I180" s="196" t="n">
        <v>0</v>
      </c>
      <c r="J180" s="196" t="n">
        <v>0</v>
      </c>
      <c r="K180" s="196" t="n">
        <v>0</v>
      </c>
      <c r="L180" s="112"/>
      <c r="M180" s="196"/>
      <c r="N180" s="112"/>
      <c r="O180" s="196" t="n">
        <v>10.11</v>
      </c>
      <c r="P180" s="196" t="n">
        <v>8.49</v>
      </c>
      <c r="Q180" s="204"/>
      <c r="R180" s="204"/>
      <c r="S180" s="112"/>
      <c r="T180" s="204"/>
      <c r="U180" s="112"/>
      <c r="V180" s="112"/>
      <c r="W180" s="112"/>
      <c r="X180" s="112"/>
      <c r="Y180" s="112"/>
      <c r="Z180" s="112"/>
      <c r="AA180" s="204"/>
      <c r="AB180" s="204"/>
      <c r="AC180" s="204"/>
      <c r="AD180" s="204"/>
      <c r="AE180" s="204"/>
    </row>
    <row r="181" customFormat="false" ht="15.75" hidden="false" customHeight="false" outlineLevel="0" collapsed="false">
      <c r="A181" s="196" t="s">
        <v>415</v>
      </c>
      <c r="B181" s="196" t="s">
        <v>1452</v>
      </c>
      <c r="C181" s="197" t="s">
        <v>1676</v>
      </c>
      <c r="D181" s="196" t="s">
        <v>1692</v>
      </c>
      <c r="E181" s="196" t="s">
        <v>1693</v>
      </c>
      <c r="F181" s="196" t="n">
        <v>509.23</v>
      </c>
      <c r="G181" s="196" t="n">
        <v>26</v>
      </c>
      <c r="H181" s="196" t="n">
        <v>133</v>
      </c>
      <c r="I181" s="196" t="n">
        <v>75</v>
      </c>
      <c r="J181" s="196" t="n">
        <v>58</v>
      </c>
      <c r="K181" s="196" t="n">
        <v>14</v>
      </c>
      <c r="L181" s="112" t="n">
        <f aca="false">K181/H181*100</f>
        <v>10.5263157894737</v>
      </c>
      <c r="M181" s="196" t="n">
        <v>0</v>
      </c>
      <c r="N181" s="112" t="n">
        <f aca="false">M181/H181*100</f>
        <v>0</v>
      </c>
      <c r="O181" s="196" t="n">
        <v>33.25</v>
      </c>
      <c r="P181" s="196" t="n">
        <v>275.74</v>
      </c>
      <c r="Q181" s="201" t="s">
        <v>150</v>
      </c>
      <c r="R181" s="203" t="s">
        <v>1679</v>
      </c>
      <c r="S181" s="112"/>
      <c r="T181" s="201" t="n">
        <v>0</v>
      </c>
      <c r="U181" s="112"/>
      <c r="V181" s="112"/>
      <c r="W181" s="112"/>
      <c r="X181" s="112"/>
      <c r="Y181" s="112"/>
      <c r="Z181" s="112"/>
      <c r="AA181" s="203" t="s">
        <v>891</v>
      </c>
      <c r="AB181" s="203" t="n">
        <v>2</v>
      </c>
      <c r="AC181" s="204"/>
      <c r="AD181" s="201" t="n">
        <v>23.988114</v>
      </c>
      <c r="AE181" s="201" t="n">
        <v>75.998114</v>
      </c>
    </row>
    <row r="182" customFormat="false" ht="15.75" hidden="false" customHeight="false" outlineLevel="0" collapsed="false">
      <c r="A182" s="196" t="s">
        <v>415</v>
      </c>
      <c r="B182" s="196" t="s">
        <v>1452</v>
      </c>
      <c r="C182" s="197" t="s">
        <v>1676</v>
      </c>
      <c r="D182" s="196" t="s">
        <v>1694</v>
      </c>
      <c r="E182" s="196" t="s">
        <v>1695</v>
      </c>
      <c r="F182" s="196" t="n">
        <v>331.66</v>
      </c>
      <c r="G182" s="196" t="n">
        <v>79</v>
      </c>
      <c r="H182" s="196" t="n">
        <v>391</v>
      </c>
      <c r="I182" s="196" t="n">
        <v>197</v>
      </c>
      <c r="J182" s="196" t="n">
        <v>194</v>
      </c>
      <c r="K182" s="196" t="n">
        <v>67</v>
      </c>
      <c r="L182" s="112" t="n">
        <f aca="false">K182/H182*100</f>
        <v>17.1355498721228</v>
      </c>
      <c r="M182" s="196" t="n">
        <v>3</v>
      </c>
      <c r="N182" s="112" t="n">
        <f aca="false">M182/H182*100</f>
        <v>0.767263427109974</v>
      </c>
      <c r="O182" s="196" t="n">
        <v>29.89</v>
      </c>
      <c r="P182" s="196" t="n">
        <v>106.23</v>
      </c>
      <c r="Q182" s="201" t="s">
        <v>45</v>
      </c>
      <c r="R182" s="203" t="s">
        <v>1679</v>
      </c>
      <c r="S182" s="112"/>
      <c r="T182" s="203" t="n">
        <v>0</v>
      </c>
      <c r="U182" s="112"/>
      <c r="V182" s="112"/>
      <c r="W182" s="112"/>
      <c r="X182" s="112"/>
      <c r="Y182" s="112"/>
      <c r="Z182" s="112"/>
      <c r="AA182" s="203" t="s">
        <v>891</v>
      </c>
      <c r="AB182" s="203" t="n">
        <v>2</v>
      </c>
      <c r="AC182" s="204"/>
      <c r="AD182" s="201" t="n">
        <v>24.012046</v>
      </c>
      <c r="AE182" s="201" t="n">
        <v>75.902364</v>
      </c>
    </row>
    <row r="183" customFormat="false" ht="15.75" hidden="false" customHeight="false" outlineLevel="0" collapsed="false">
      <c r="A183" s="196" t="s">
        <v>415</v>
      </c>
      <c r="B183" s="196" t="s">
        <v>1452</v>
      </c>
      <c r="C183" s="197" t="s">
        <v>1676</v>
      </c>
      <c r="D183" s="196" t="s">
        <v>1694</v>
      </c>
      <c r="E183" s="196"/>
      <c r="F183" s="196"/>
      <c r="G183" s="196"/>
      <c r="H183" s="196"/>
      <c r="I183" s="196"/>
      <c r="J183" s="196"/>
      <c r="K183" s="196"/>
      <c r="L183" s="112"/>
      <c r="M183" s="196"/>
      <c r="N183" s="112"/>
      <c r="O183" s="196"/>
      <c r="P183" s="196"/>
      <c r="Q183" s="200" t="s">
        <v>45</v>
      </c>
      <c r="R183" s="200" t="s">
        <v>1679</v>
      </c>
      <c r="S183" s="112"/>
      <c r="T183" s="200"/>
      <c r="U183" s="112"/>
      <c r="V183" s="112"/>
      <c r="W183" s="112"/>
      <c r="X183" s="112"/>
      <c r="Y183" s="112"/>
      <c r="Z183" s="112"/>
      <c r="AA183" s="200" t="s">
        <v>82</v>
      </c>
      <c r="AB183" s="200" t="n">
        <v>21</v>
      </c>
      <c r="AC183" s="204"/>
      <c r="AD183" s="200" t="n">
        <v>24.01599</v>
      </c>
      <c r="AE183" s="200" t="n">
        <v>75.900875</v>
      </c>
    </row>
    <row r="184" customFormat="false" ht="15.75" hidden="false" customHeight="false" outlineLevel="0" collapsed="false">
      <c r="A184" s="196" t="s">
        <v>415</v>
      </c>
      <c r="B184" s="196" t="s">
        <v>1452</v>
      </c>
      <c r="C184" s="197" t="s">
        <v>1696</v>
      </c>
      <c r="D184" s="198" t="s">
        <v>162</v>
      </c>
      <c r="E184" s="196" t="s">
        <v>1697</v>
      </c>
      <c r="F184" s="196" t="n">
        <v>1350.85</v>
      </c>
      <c r="G184" s="196" t="n">
        <v>365</v>
      </c>
      <c r="H184" s="196" t="n">
        <v>1645</v>
      </c>
      <c r="I184" s="196" t="n">
        <v>827</v>
      </c>
      <c r="J184" s="196" t="n">
        <v>818</v>
      </c>
      <c r="K184" s="196" t="n">
        <v>369</v>
      </c>
      <c r="L184" s="112" t="n">
        <f aca="false">K184/H184*100</f>
        <v>22.4316109422492</v>
      </c>
      <c r="M184" s="196" t="n">
        <v>0</v>
      </c>
      <c r="N184" s="112" t="n">
        <f aca="false">M184/H184*100</f>
        <v>0</v>
      </c>
      <c r="O184" s="196" t="n">
        <v>178.16</v>
      </c>
      <c r="P184" s="196" t="n">
        <v>440.43</v>
      </c>
      <c r="Q184" s="203" t="s">
        <v>150</v>
      </c>
      <c r="R184" s="202" t="n">
        <v>44688</v>
      </c>
      <c r="S184" s="112"/>
      <c r="T184" s="203" t="n">
        <v>114</v>
      </c>
      <c r="U184" s="112"/>
      <c r="V184" s="112"/>
      <c r="W184" s="112"/>
      <c r="X184" s="112"/>
      <c r="Y184" s="112"/>
      <c r="Z184" s="112"/>
      <c r="AA184" s="203" t="s">
        <v>891</v>
      </c>
      <c r="AB184" s="203" t="n">
        <v>64</v>
      </c>
      <c r="AC184" s="204"/>
      <c r="AD184" s="203" t="n">
        <v>23.979902</v>
      </c>
      <c r="AE184" s="203" t="n">
        <v>75.946237</v>
      </c>
    </row>
    <row r="185" customFormat="false" ht="15.75" hidden="false" customHeight="false" outlineLevel="0" collapsed="false">
      <c r="A185" s="196" t="s">
        <v>415</v>
      </c>
      <c r="B185" s="196" t="s">
        <v>1452</v>
      </c>
      <c r="C185" s="197" t="s">
        <v>1696</v>
      </c>
      <c r="D185" s="196" t="s">
        <v>1630</v>
      </c>
      <c r="E185" s="196" t="s">
        <v>1698</v>
      </c>
      <c r="F185" s="196" t="n">
        <v>789.91</v>
      </c>
      <c r="G185" s="196" t="n">
        <v>123</v>
      </c>
      <c r="H185" s="196" t="n">
        <v>654</v>
      </c>
      <c r="I185" s="196" t="n">
        <v>338</v>
      </c>
      <c r="J185" s="196" t="n">
        <v>316</v>
      </c>
      <c r="K185" s="196" t="n">
        <v>73</v>
      </c>
      <c r="L185" s="112" t="n">
        <f aca="false">K185/H185*100</f>
        <v>11.1620795107034</v>
      </c>
      <c r="M185" s="196" t="n">
        <v>0</v>
      </c>
      <c r="N185" s="112" t="n">
        <f aca="false">M185/H185*100</f>
        <v>0</v>
      </c>
      <c r="O185" s="196" t="n">
        <v>65.61</v>
      </c>
      <c r="P185" s="196" t="n">
        <v>304.04</v>
      </c>
      <c r="Q185" s="203" t="s">
        <v>150</v>
      </c>
      <c r="R185" s="202" t="n">
        <v>44688</v>
      </c>
      <c r="S185" s="112"/>
      <c r="T185" s="203" t="n">
        <v>5</v>
      </c>
      <c r="U185" s="112"/>
      <c r="V185" s="112"/>
      <c r="W185" s="112"/>
      <c r="X185" s="112"/>
      <c r="Y185" s="112"/>
      <c r="Z185" s="112"/>
      <c r="AA185" s="203" t="s">
        <v>891</v>
      </c>
      <c r="AB185" s="203" t="n">
        <v>60</v>
      </c>
      <c r="AC185" s="204"/>
      <c r="AD185" s="203" t="n">
        <v>23.980115</v>
      </c>
      <c r="AE185" s="203" t="n">
        <v>75.946102</v>
      </c>
    </row>
    <row r="186" customFormat="false" ht="15.75" hidden="false" customHeight="false" outlineLevel="0" collapsed="false">
      <c r="A186" s="196" t="s">
        <v>415</v>
      </c>
      <c r="B186" s="196" t="s">
        <v>1452</v>
      </c>
      <c r="C186" s="197" t="s">
        <v>1696</v>
      </c>
      <c r="D186" s="196" t="s">
        <v>1699</v>
      </c>
      <c r="E186" s="196" t="s">
        <v>1700</v>
      </c>
      <c r="F186" s="196" t="n">
        <v>647.34</v>
      </c>
      <c r="G186" s="196" t="n">
        <v>132</v>
      </c>
      <c r="H186" s="196" t="n">
        <v>629</v>
      </c>
      <c r="I186" s="196" t="n">
        <v>338</v>
      </c>
      <c r="J186" s="196" t="n">
        <v>291</v>
      </c>
      <c r="K186" s="196" t="n">
        <v>281</v>
      </c>
      <c r="L186" s="112" t="n">
        <f aca="false">K186/H186*100</f>
        <v>44.6740858505564</v>
      </c>
      <c r="M186" s="196" t="n">
        <v>0</v>
      </c>
      <c r="N186" s="112" t="n">
        <f aca="false">M186/H186*100</f>
        <v>0</v>
      </c>
      <c r="O186" s="196" t="n">
        <v>41.93</v>
      </c>
      <c r="P186" s="196" t="n">
        <v>145.49</v>
      </c>
      <c r="Q186" s="203" t="s">
        <v>150</v>
      </c>
      <c r="R186" s="202" t="n">
        <v>44688</v>
      </c>
      <c r="S186" s="112"/>
      <c r="T186" s="203" t="n">
        <v>6</v>
      </c>
      <c r="U186" s="112"/>
      <c r="V186" s="112"/>
      <c r="W186" s="112"/>
      <c r="X186" s="112"/>
      <c r="Y186" s="112"/>
      <c r="Z186" s="112"/>
      <c r="AA186" s="203" t="s">
        <v>891</v>
      </c>
      <c r="AB186" s="203" t="n">
        <v>35</v>
      </c>
      <c r="AC186" s="204"/>
      <c r="AD186" s="203" t="n">
        <v>23.998494</v>
      </c>
      <c r="AE186" s="203" t="n">
        <v>75.940846</v>
      </c>
    </row>
    <row r="187" customFormat="false" ht="15.75" hidden="false" customHeight="false" outlineLevel="0" collapsed="false">
      <c r="A187" s="196" t="s">
        <v>415</v>
      </c>
      <c r="B187" s="196" t="s">
        <v>1452</v>
      </c>
      <c r="C187" s="197" t="s">
        <v>1696</v>
      </c>
      <c r="D187" s="196" t="s">
        <v>393</v>
      </c>
      <c r="E187" s="196" t="s">
        <v>1701</v>
      </c>
      <c r="F187" s="196" t="n">
        <v>460.28</v>
      </c>
      <c r="G187" s="196" t="n">
        <v>74</v>
      </c>
      <c r="H187" s="196" t="n">
        <v>392</v>
      </c>
      <c r="I187" s="196" t="n">
        <v>198</v>
      </c>
      <c r="J187" s="196" t="n">
        <v>194</v>
      </c>
      <c r="K187" s="196" t="n">
        <v>73</v>
      </c>
      <c r="L187" s="112" t="n">
        <f aca="false">K187/H187*100</f>
        <v>18.6224489795918</v>
      </c>
      <c r="M187" s="196" t="n">
        <v>0</v>
      </c>
      <c r="N187" s="112" t="n">
        <f aca="false">M187/H187*100</f>
        <v>0</v>
      </c>
      <c r="O187" s="196" t="n">
        <v>25.8</v>
      </c>
      <c r="P187" s="196" t="n">
        <v>155.1</v>
      </c>
      <c r="Q187" s="203" t="s">
        <v>150</v>
      </c>
      <c r="R187" s="202" t="n">
        <v>44688</v>
      </c>
      <c r="S187" s="112"/>
      <c r="T187" s="203" t="n">
        <v>5</v>
      </c>
      <c r="U187" s="112"/>
      <c r="V187" s="112"/>
      <c r="W187" s="112"/>
      <c r="X187" s="112"/>
      <c r="Y187" s="112"/>
      <c r="Z187" s="112"/>
      <c r="AA187" s="203" t="s">
        <v>891</v>
      </c>
      <c r="AB187" s="203" t="n">
        <v>20</v>
      </c>
      <c r="AC187" s="204"/>
      <c r="AD187" s="203" t="n">
        <v>24.01203</v>
      </c>
      <c r="AE187" s="203" t="n">
        <v>75.950827</v>
      </c>
    </row>
    <row r="188" customFormat="false" ht="15.75" hidden="false" customHeight="false" outlineLevel="0" collapsed="false">
      <c r="A188" s="196" t="s">
        <v>415</v>
      </c>
      <c r="B188" s="196" t="s">
        <v>1452</v>
      </c>
      <c r="C188" s="197" t="s">
        <v>1696</v>
      </c>
      <c r="D188" s="196" t="s">
        <v>393</v>
      </c>
      <c r="E188" s="196"/>
      <c r="F188" s="196"/>
      <c r="G188" s="196"/>
      <c r="H188" s="196"/>
      <c r="I188" s="196"/>
      <c r="J188" s="196"/>
      <c r="K188" s="196"/>
      <c r="L188" s="112"/>
      <c r="M188" s="196"/>
      <c r="N188" s="112"/>
      <c r="O188" s="196"/>
      <c r="P188" s="196"/>
      <c r="Q188" s="206" t="s">
        <v>150</v>
      </c>
      <c r="R188" s="207" t="n">
        <v>44688</v>
      </c>
      <c r="S188" s="112"/>
      <c r="T188" s="206"/>
      <c r="U188" s="112"/>
      <c r="V188" s="112"/>
      <c r="W188" s="112"/>
      <c r="X188" s="112"/>
      <c r="Y188" s="112"/>
      <c r="Z188" s="112"/>
      <c r="AA188" s="206" t="s">
        <v>43</v>
      </c>
      <c r="AB188" s="206" t="n">
        <v>5</v>
      </c>
      <c r="AC188" s="204"/>
      <c r="AD188" s="206" t="n">
        <v>24.012097</v>
      </c>
      <c r="AE188" s="206" t="n">
        <v>75.953906</v>
      </c>
    </row>
    <row r="189" customFormat="false" ht="15.75" hidden="false" customHeight="false" outlineLevel="0" collapsed="false">
      <c r="A189" s="196" t="s">
        <v>415</v>
      </c>
      <c r="B189" s="196" t="s">
        <v>1452</v>
      </c>
      <c r="C189" s="197" t="s">
        <v>1702</v>
      </c>
      <c r="D189" s="198" t="s">
        <v>1703</v>
      </c>
      <c r="E189" s="196" t="s">
        <v>1704</v>
      </c>
      <c r="F189" s="196" t="n">
        <v>362.11</v>
      </c>
      <c r="G189" s="196" t="n">
        <v>177</v>
      </c>
      <c r="H189" s="196" t="n">
        <v>963</v>
      </c>
      <c r="I189" s="196" t="n">
        <v>483</v>
      </c>
      <c r="J189" s="196" t="n">
        <v>480</v>
      </c>
      <c r="K189" s="196" t="n">
        <v>233</v>
      </c>
      <c r="L189" s="112" t="n">
        <f aca="false">K189/H189*100</f>
        <v>24.1952232606438</v>
      </c>
      <c r="M189" s="196" t="n">
        <v>1</v>
      </c>
      <c r="N189" s="112" t="n">
        <f aca="false">M189/H189*100</f>
        <v>0.103842159916926</v>
      </c>
      <c r="O189" s="196" t="n">
        <v>2.33</v>
      </c>
      <c r="P189" s="196" t="n">
        <v>103.2</v>
      </c>
      <c r="Q189" s="200" t="s">
        <v>45</v>
      </c>
      <c r="R189" s="204" t="s">
        <v>57</v>
      </c>
      <c r="S189" s="112"/>
      <c r="T189" s="200" t="n">
        <v>2.3396</v>
      </c>
      <c r="U189" s="112"/>
      <c r="V189" s="112" t="s">
        <v>43</v>
      </c>
      <c r="W189" s="112"/>
      <c r="X189" s="112"/>
      <c r="Y189" s="112"/>
      <c r="Z189" s="112"/>
      <c r="AA189" s="204" t="s">
        <v>43</v>
      </c>
      <c r="AB189" s="216" t="n">
        <v>1</v>
      </c>
      <c r="AC189" s="204"/>
      <c r="AD189" s="204" t="n">
        <v>23.942021</v>
      </c>
      <c r="AE189" s="204" t="n">
        <v>75.802888</v>
      </c>
    </row>
    <row r="190" customFormat="false" ht="15.75" hidden="false" customHeight="false" outlineLevel="0" collapsed="false">
      <c r="A190" s="196" t="s">
        <v>415</v>
      </c>
      <c r="B190" s="196" t="s">
        <v>1452</v>
      </c>
      <c r="C190" s="197" t="s">
        <v>1702</v>
      </c>
      <c r="D190" s="198" t="s">
        <v>1703</v>
      </c>
      <c r="E190" s="196"/>
      <c r="F190" s="196"/>
      <c r="G190" s="196"/>
      <c r="H190" s="196"/>
      <c r="I190" s="196"/>
      <c r="J190" s="196"/>
      <c r="K190" s="196"/>
      <c r="L190" s="112"/>
      <c r="M190" s="196"/>
      <c r="N190" s="112"/>
      <c r="O190" s="196"/>
      <c r="P190" s="196"/>
      <c r="Q190" s="200" t="s">
        <v>45</v>
      </c>
      <c r="R190" s="204" t="s">
        <v>57</v>
      </c>
      <c r="S190" s="112"/>
      <c r="T190" s="200"/>
      <c r="U190" s="112"/>
      <c r="V190" s="112"/>
      <c r="W190" s="112"/>
      <c r="X190" s="112"/>
      <c r="Y190" s="112"/>
      <c r="Z190" s="112"/>
      <c r="AA190" s="204" t="s">
        <v>43</v>
      </c>
      <c r="AB190" s="216" t="n">
        <v>1</v>
      </c>
      <c r="AC190" s="204"/>
      <c r="AD190" s="204" t="n">
        <v>23.942021</v>
      </c>
      <c r="AE190" s="204" t="n">
        <v>75.802888</v>
      </c>
    </row>
    <row r="191" customFormat="false" ht="15.75" hidden="false" customHeight="false" outlineLevel="0" collapsed="false">
      <c r="A191" s="196" t="s">
        <v>415</v>
      </c>
      <c r="B191" s="196" t="s">
        <v>1452</v>
      </c>
      <c r="C191" s="197" t="s">
        <v>1702</v>
      </c>
      <c r="D191" s="196" t="s">
        <v>1705</v>
      </c>
      <c r="E191" s="196" t="s">
        <v>1706</v>
      </c>
      <c r="F191" s="196" t="n">
        <v>449.32</v>
      </c>
      <c r="G191" s="196" t="n">
        <v>135</v>
      </c>
      <c r="H191" s="196" t="n">
        <v>595</v>
      </c>
      <c r="I191" s="196" t="n">
        <v>319</v>
      </c>
      <c r="J191" s="196" t="n">
        <v>276</v>
      </c>
      <c r="K191" s="196" t="n">
        <v>158</v>
      </c>
      <c r="L191" s="112" t="n">
        <f aca="false">K191/H191*100</f>
        <v>26.5546218487395</v>
      </c>
      <c r="M191" s="196" t="n">
        <v>2</v>
      </c>
      <c r="N191" s="112" t="n">
        <f aca="false">M191/H191*100</f>
        <v>0.336134453781513</v>
      </c>
      <c r="O191" s="196" t="n">
        <v>22.71</v>
      </c>
      <c r="P191" s="196" t="n">
        <v>36.84</v>
      </c>
      <c r="Q191" s="203" t="s">
        <v>150</v>
      </c>
      <c r="R191" s="202" t="n">
        <v>44384</v>
      </c>
      <c r="S191" s="112"/>
      <c r="T191" s="203" t="n">
        <v>12.71</v>
      </c>
      <c r="U191" s="112"/>
      <c r="V191" s="112"/>
      <c r="W191" s="112"/>
      <c r="X191" s="112"/>
      <c r="Y191" s="112"/>
      <c r="Z191" s="112"/>
      <c r="AA191" s="203" t="s">
        <v>891</v>
      </c>
      <c r="AB191" s="203" t="n">
        <v>12</v>
      </c>
      <c r="AC191" s="204"/>
      <c r="AD191" s="203" t="n">
        <v>23.946915</v>
      </c>
      <c r="AE191" s="203" t="n">
        <v>75.765679</v>
      </c>
    </row>
    <row r="192" customFormat="false" ht="15.75" hidden="false" customHeight="false" outlineLevel="0" collapsed="false">
      <c r="A192" s="196" t="s">
        <v>415</v>
      </c>
      <c r="B192" s="196" t="s">
        <v>1452</v>
      </c>
      <c r="C192" s="197" t="s">
        <v>1702</v>
      </c>
      <c r="D192" s="196" t="s">
        <v>1705</v>
      </c>
      <c r="E192" s="196"/>
      <c r="F192" s="196"/>
      <c r="G192" s="196"/>
      <c r="H192" s="196"/>
      <c r="I192" s="196"/>
      <c r="J192" s="196"/>
      <c r="K192" s="196"/>
      <c r="L192" s="112"/>
      <c r="M192" s="196"/>
      <c r="N192" s="112"/>
      <c r="O192" s="196"/>
      <c r="P192" s="196"/>
      <c r="Q192" s="200" t="s">
        <v>45</v>
      </c>
      <c r="R192" s="207" t="n">
        <v>44384</v>
      </c>
      <c r="S192" s="112"/>
      <c r="T192" s="206"/>
      <c r="U192" s="112"/>
      <c r="V192" s="112"/>
      <c r="W192" s="112"/>
      <c r="X192" s="112"/>
      <c r="Y192" s="112"/>
      <c r="Z192" s="112"/>
      <c r="AA192" s="206" t="s">
        <v>43</v>
      </c>
      <c r="AB192" s="206" t="n">
        <v>4</v>
      </c>
      <c r="AC192" s="204"/>
      <c r="AD192" s="206" t="n">
        <v>23.946915</v>
      </c>
      <c r="AE192" s="206" t="n">
        <v>75.765679</v>
      </c>
    </row>
    <row r="193" customFormat="false" ht="15.75" hidden="false" customHeight="false" outlineLevel="0" collapsed="false">
      <c r="A193" s="196" t="s">
        <v>415</v>
      </c>
      <c r="B193" s="196" t="s">
        <v>1452</v>
      </c>
      <c r="C193" s="197" t="s">
        <v>1702</v>
      </c>
      <c r="D193" s="196" t="s">
        <v>1705</v>
      </c>
      <c r="E193" s="196"/>
      <c r="F193" s="196"/>
      <c r="G193" s="196"/>
      <c r="H193" s="196"/>
      <c r="I193" s="196"/>
      <c r="J193" s="196"/>
      <c r="K193" s="196"/>
      <c r="L193" s="112"/>
      <c r="M193" s="196"/>
      <c r="N193" s="112"/>
      <c r="O193" s="196"/>
      <c r="P193" s="196"/>
      <c r="Q193" s="200" t="s">
        <v>45</v>
      </c>
      <c r="R193" s="207" t="n">
        <v>44384</v>
      </c>
      <c r="S193" s="112"/>
      <c r="T193" s="206"/>
      <c r="U193" s="112"/>
      <c r="V193" s="112"/>
      <c r="W193" s="112"/>
      <c r="X193" s="112"/>
      <c r="Y193" s="112"/>
      <c r="Z193" s="112"/>
      <c r="AA193" s="206" t="s">
        <v>43</v>
      </c>
      <c r="AB193" s="206" t="n">
        <v>15</v>
      </c>
      <c r="AC193" s="204"/>
      <c r="AD193" s="206" t="n">
        <v>23.946915</v>
      </c>
      <c r="AE193" s="206" t="n">
        <v>75.765679</v>
      </c>
    </row>
    <row r="194" customFormat="false" ht="15.75" hidden="false" customHeight="false" outlineLevel="0" collapsed="false">
      <c r="A194" s="196" t="s">
        <v>415</v>
      </c>
      <c r="B194" s="196" t="s">
        <v>1452</v>
      </c>
      <c r="C194" s="197" t="s">
        <v>1702</v>
      </c>
      <c r="D194" s="196" t="s">
        <v>1707</v>
      </c>
      <c r="E194" s="196" t="s">
        <v>1708</v>
      </c>
      <c r="F194" s="196" t="n">
        <v>419.65</v>
      </c>
      <c r="G194" s="196" t="n">
        <v>126</v>
      </c>
      <c r="H194" s="196" t="n">
        <v>674</v>
      </c>
      <c r="I194" s="196" t="n">
        <v>336</v>
      </c>
      <c r="J194" s="196" t="n">
        <v>338</v>
      </c>
      <c r="K194" s="196" t="n">
        <v>297</v>
      </c>
      <c r="L194" s="112" t="n">
        <f aca="false">K194/H194*100</f>
        <v>44.0652818991098</v>
      </c>
      <c r="M194" s="196" t="n">
        <v>2</v>
      </c>
      <c r="N194" s="112" t="n">
        <f aca="false">M194/H194*100</f>
        <v>0.29673590504451</v>
      </c>
      <c r="O194" s="196" t="n">
        <v>16.55</v>
      </c>
      <c r="P194" s="196" t="n">
        <v>99.97</v>
      </c>
      <c r="Q194" s="203" t="s">
        <v>150</v>
      </c>
      <c r="R194" s="202" t="n">
        <v>44384</v>
      </c>
      <c r="S194" s="112"/>
      <c r="T194" s="203" t="n">
        <v>12.56</v>
      </c>
      <c r="U194" s="112"/>
      <c r="V194" s="112"/>
      <c r="W194" s="112"/>
      <c r="X194" s="112"/>
      <c r="Y194" s="112"/>
      <c r="Z194" s="112"/>
      <c r="AA194" s="203" t="s">
        <v>891</v>
      </c>
      <c r="AB194" s="203" t="n">
        <v>13</v>
      </c>
      <c r="AC194" s="204"/>
      <c r="AD194" s="203" t="n">
        <v>23.960804</v>
      </c>
      <c r="AE194" s="203" t="n">
        <v>75.820002</v>
      </c>
    </row>
    <row r="195" customFormat="false" ht="15.75" hidden="false" customHeight="false" outlineLevel="0" collapsed="false">
      <c r="A195" s="196" t="s">
        <v>415</v>
      </c>
      <c r="B195" s="196" t="s">
        <v>1452</v>
      </c>
      <c r="C195" s="197" t="s">
        <v>1702</v>
      </c>
      <c r="D195" s="196" t="s">
        <v>1707</v>
      </c>
      <c r="E195" s="196"/>
      <c r="F195" s="196"/>
      <c r="G195" s="196"/>
      <c r="H195" s="196"/>
      <c r="I195" s="196"/>
      <c r="J195" s="196"/>
      <c r="K195" s="196"/>
      <c r="L195" s="112"/>
      <c r="M195" s="196"/>
      <c r="N195" s="112"/>
      <c r="O195" s="196"/>
      <c r="P195" s="196"/>
      <c r="Q195" s="200" t="s">
        <v>45</v>
      </c>
      <c r="R195" s="207" t="n">
        <v>44384</v>
      </c>
      <c r="S195" s="112"/>
      <c r="T195" s="206"/>
      <c r="U195" s="112"/>
      <c r="V195" s="112"/>
      <c r="W195" s="112"/>
      <c r="X195" s="112"/>
      <c r="Y195" s="112"/>
      <c r="Z195" s="112"/>
      <c r="AA195" s="206" t="s">
        <v>43</v>
      </c>
      <c r="AB195" s="206" t="n">
        <v>8</v>
      </c>
      <c r="AC195" s="204"/>
      <c r="AD195" s="206" t="n">
        <v>23.960804</v>
      </c>
      <c r="AE195" s="206" t="n">
        <v>75.820002</v>
      </c>
    </row>
    <row r="196" customFormat="false" ht="15.75" hidden="false" customHeight="false" outlineLevel="0" collapsed="false">
      <c r="A196" s="196" t="s">
        <v>415</v>
      </c>
      <c r="B196" s="196" t="s">
        <v>1452</v>
      </c>
      <c r="C196" s="197" t="s">
        <v>1702</v>
      </c>
      <c r="D196" s="196" t="s">
        <v>1707</v>
      </c>
      <c r="E196" s="196"/>
      <c r="F196" s="196"/>
      <c r="G196" s="196"/>
      <c r="H196" s="196"/>
      <c r="I196" s="196"/>
      <c r="J196" s="196"/>
      <c r="K196" s="196"/>
      <c r="L196" s="112"/>
      <c r="M196" s="196"/>
      <c r="N196" s="112"/>
      <c r="O196" s="196"/>
      <c r="P196" s="196"/>
      <c r="Q196" s="200" t="s">
        <v>45</v>
      </c>
      <c r="R196" s="207" t="n">
        <v>44384</v>
      </c>
      <c r="S196" s="112"/>
      <c r="T196" s="206"/>
      <c r="U196" s="112"/>
      <c r="V196" s="112"/>
      <c r="W196" s="112"/>
      <c r="X196" s="112"/>
      <c r="Y196" s="112"/>
      <c r="Z196" s="112"/>
      <c r="AA196" s="206" t="s">
        <v>43</v>
      </c>
      <c r="AB196" s="206" t="n">
        <v>5</v>
      </c>
      <c r="AC196" s="204"/>
      <c r="AD196" s="206" t="n">
        <v>23.960804</v>
      </c>
      <c r="AE196" s="206" t="n">
        <v>75.820002</v>
      </c>
    </row>
    <row r="197" customFormat="false" ht="15.75" hidden="false" customHeight="false" outlineLevel="0" collapsed="false">
      <c r="A197" s="196" t="s">
        <v>415</v>
      </c>
      <c r="B197" s="196" t="s">
        <v>1452</v>
      </c>
      <c r="C197" s="197" t="s">
        <v>1702</v>
      </c>
      <c r="D197" s="196" t="s">
        <v>1709</v>
      </c>
      <c r="E197" s="196" t="s">
        <v>1710</v>
      </c>
      <c r="F197" s="196" t="n">
        <v>524.85</v>
      </c>
      <c r="G197" s="196" t="n">
        <v>146</v>
      </c>
      <c r="H197" s="196" t="n">
        <v>734</v>
      </c>
      <c r="I197" s="196" t="n">
        <v>381</v>
      </c>
      <c r="J197" s="196" t="n">
        <v>353</v>
      </c>
      <c r="K197" s="196" t="n">
        <v>184</v>
      </c>
      <c r="L197" s="112" t="n">
        <f aca="false">K197/H197*100</f>
        <v>25.0681198910082</v>
      </c>
      <c r="M197" s="196" t="n">
        <v>0</v>
      </c>
      <c r="N197" s="112" t="n">
        <f aca="false">M197/H197*100</f>
        <v>0</v>
      </c>
      <c r="O197" s="196" t="n">
        <v>24.12</v>
      </c>
      <c r="P197" s="196" t="n">
        <v>125.1</v>
      </c>
      <c r="Q197" s="203" t="s">
        <v>150</v>
      </c>
      <c r="R197" s="202" t="n">
        <v>44384</v>
      </c>
      <c r="S197" s="112"/>
      <c r="T197" s="203" t="n">
        <v>14</v>
      </c>
      <c r="U197" s="112"/>
      <c r="V197" s="112"/>
      <c r="W197" s="112"/>
      <c r="X197" s="112"/>
      <c r="Y197" s="112"/>
      <c r="Z197" s="112"/>
      <c r="AA197" s="203" t="s">
        <v>891</v>
      </c>
      <c r="AB197" s="203" t="n">
        <v>12</v>
      </c>
      <c r="AC197" s="204"/>
      <c r="AD197" s="203" t="n">
        <v>23.97138</v>
      </c>
      <c r="AE197" s="203" t="n">
        <v>75.829369</v>
      </c>
    </row>
    <row r="198" customFormat="false" ht="15.75" hidden="false" customHeight="false" outlineLevel="0" collapsed="false">
      <c r="A198" s="196" t="s">
        <v>415</v>
      </c>
      <c r="B198" s="196" t="s">
        <v>1452</v>
      </c>
      <c r="C198" s="197" t="s">
        <v>1702</v>
      </c>
      <c r="D198" s="196" t="s">
        <v>1709</v>
      </c>
      <c r="E198" s="196"/>
      <c r="F198" s="196"/>
      <c r="G198" s="196"/>
      <c r="H198" s="196"/>
      <c r="I198" s="196"/>
      <c r="J198" s="196"/>
      <c r="K198" s="196"/>
      <c r="L198" s="112"/>
      <c r="M198" s="196"/>
      <c r="N198" s="112"/>
      <c r="O198" s="196"/>
      <c r="P198" s="196"/>
      <c r="Q198" s="200" t="s">
        <v>45</v>
      </c>
      <c r="R198" s="207" t="n">
        <v>44384</v>
      </c>
      <c r="S198" s="112"/>
      <c r="T198" s="206"/>
      <c r="U198" s="112"/>
      <c r="V198" s="112"/>
      <c r="W198" s="112"/>
      <c r="X198" s="112"/>
      <c r="Y198" s="112"/>
      <c r="Z198" s="112"/>
      <c r="AA198" s="206" t="s">
        <v>43</v>
      </c>
      <c r="AB198" s="206" t="n">
        <v>5</v>
      </c>
      <c r="AC198" s="204"/>
      <c r="AD198" s="206" t="n">
        <v>23.97138</v>
      </c>
      <c r="AE198" s="206" t="n">
        <v>75.829369</v>
      </c>
    </row>
    <row r="199" customFormat="false" ht="15.75" hidden="false" customHeight="false" outlineLevel="0" collapsed="false">
      <c r="A199" s="196" t="s">
        <v>415</v>
      </c>
      <c r="B199" s="196" t="s">
        <v>1452</v>
      </c>
      <c r="C199" s="197" t="s">
        <v>1702</v>
      </c>
      <c r="D199" s="196" t="s">
        <v>1709</v>
      </c>
      <c r="E199" s="196"/>
      <c r="F199" s="196"/>
      <c r="G199" s="196"/>
      <c r="H199" s="196"/>
      <c r="I199" s="196"/>
      <c r="J199" s="196"/>
      <c r="K199" s="196"/>
      <c r="L199" s="112"/>
      <c r="M199" s="196"/>
      <c r="N199" s="112"/>
      <c r="O199" s="196"/>
      <c r="P199" s="196"/>
      <c r="Q199" s="200" t="s">
        <v>45</v>
      </c>
      <c r="R199" s="207" t="n">
        <v>44384</v>
      </c>
      <c r="S199" s="112"/>
      <c r="T199" s="206"/>
      <c r="U199" s="112"/>
      <c r="V199" s="112"/>
      <c r="W199" s="112"/>
      <c r="X199" s="112"/>
      <c r="Y199" s="112"/>
      <c r="Z199" s="112"/>
      <c r="AA199" s="206" t="s">
        <v>43</v>
      </c>
      <c r="AB199" s="206" t="n">
        <v>18</v>
      </c>
      <c r="AC199" s="204"/>
      <c r="AD199" s="206" t="n">
        <v>23.97138</v>
      </c>
      <c r="AE199" s="206" t="n">
        <v>75.829369</v>
      </c>
    </row>
    <row r="200" customFormat="false" ht="15.75" hidden="false" customHeight="false" outlineLevel="0" collapsed="false">
      <c r="A200" s="196" t="s">
        <v>415</v>
      </c>
      <c r="B200" s="196" t="s">
        <v>1452</v>
      </c>
      <c r="C200" s="197" t="s">
        <v>1702</v>
      </c>
      <c r="D200" s="196" t="s">
        <v>1711</v>
      </c>
      <c r="E200" s="196" t="s">
        <v>1712</v>
      </c>
      <c r="F200" s="196" t="n">
        <v>509.92</v>
      </c>
      <c r="G200" s="196" t="n">
        <v>153</v>
      </c>
      <c r="H200" s="196" t="n">
        <v>796</v>
      </c>
      <c r="I200" s="196" t="n">
        <v>407</v>
      </c>
      <c r="J200" s="196" t="n">
        <v>389</v>
      </c>
      <c r="K200" s="196" t="n">
        <v>114</v>
      </c>
      <c r="L200" s="112" t="n">
        <f aca="false">K200/H200*100</f>
        <v>14.321608040201</v>
      </c>
      <c r="M200" s="196" t="n">
        <v>0</v>
      </c>
      <c r="N200" s="112" t="n">
        <f aca="false">M200/H200*100</f>
        <v>0</v>
      </c>
      <c r="O200" s="196" t="n">
        <v>32.02</v>
      </c>
      <c r="P200" s="196" t="n">
        <v>21.67</v>
      </c>
      <c r="Q200" s="200" t="s">
        <v>45</v>
      </c>
      <c r="R200" s="204" t="s">
        <v>57</v>
      </c>
      <c r="S200" s="112"/>
      <c r="T200" s="200" t="n">
        <v>32.5392</v>
      </c>
      <c r="U200" s="112"/>
      <c r="V200" s="112"/>
      <c r="W200" s="112"/>
      <c r="X200" s="112"/>
      <c r="Y200" s="112"/>
      <c r="Z200" s="112"/>
      <c r="AA200" s="200" t="s">
        <v>43</v>
      </c>
      <c r="AB200" s="204" t="n">
        <v>9</v>
      </c>
      <c r="AC200" s="204"/>
      <c r="AD200" s="204" t="n">
        <v>23.974213</v>
      </c>
      <c r="AE200" s="204" t="n">
        <v>75.809126</v>
      </c>
    </row>
    <row r="201" customFormat="false" ht="15.75" hidden="false" customHeight="false" outlineLevel="0" collapsed="false">
      <c r="A201" s="196" t="s">
        <v>415</v>
      </c>
      <c r="B201" s="196" t="s">
        <v>1452</v>
      </c>
      <c r="C201" s="197" t="s">
        <v>1702</v>
      </c>
      <c r="D201" s="196" t="s">
        <v>1711</v>
      </c>
      <c r="E201" s="196"/>
      <c r="F201" s="196"/>
      <c r="G201" s="196"/>
      <c r="H201" s="196"/>
      <c r="I201" s="196"/>
      <c r="J201" s="196"/>
      <c r="K201" s="196"/>
      <c r="L201" s="112"/>
      <c r="M201" s="196"/>
      <c r="N201" s="112"/>
      <c r="O201" s="196"/>
      <c r="P201" s="196"/>
      <c r="Q201" s="200" t="s">
        <v>45</v>
      </c>
      <c r="R201" s="204" t="s">
        <v>57</v>
      </c>
      <c r="S201" s="112"/>
      <c r="T201" s="200"/>
      <c r="U201" s="112"/>
      <c r="V201" s="112"/>
      <c r="W201" s="112"/>
      <c r="X201" s="112"/>
      <c r="Y201" s="112"/>
      <c r="Z201" s="112"/>
      <c r="AA201" s="200" t="s">
        <v>43</v>
      </c>
      <c r="AB201" s="204" t="n">
        <v>20</v>
      </c>
      <c r="AC201" s="204"/>
      <c r="AD201" s="204" t="n">
        <v>23.974213</v>
      </c>
      <c r="AE201" s="204" t="n">
        <v>75.809126</v>
      </c>
    </row>
    <row r="202" customFormat="false" ht="15.75" hidden="false" customHeight="false" outlineLevel="0" collapsed="false">
      <c r="A202" s="196" t="s">
        <v>415</v>
      </c>
      <c r="B202" s="196" t="s">
        <v>1452</v>
      </c>
      <c r="C202" s="197" t="s">
        <v>1702</v>
      </c>
      <c r="D202" s="196" t="s">
        <v>1713</v>
      </c>
      <c r="E202" s="196" t="s">
        <v>1714</v>
      </c>
      <c r="F202" s="196" t="n">
        <v>424.74</v>
      </c>
      <c r="G202" s="196" t="n">
        <v>94</v>
      </c>
      <c r="H202" s="196" t="n">
        <v>417</v>
      </c>
      <c r="I202" s="196" t="n">
        <v>226</v>
      </c>
      <c r="J202" s="196" t="n">
        <v>191</v>
      </c>
      <c r="K202" s="196" t="n">
        <v>207</v>
      </c>
      <c r="L202" s="112" t="n">
        <f aca="false">K202/H202*100</f>
        <v>49.6402877697842</v>
      </c>
      <c r="M202" s="196" t="n">
        <v>0</v>
      </c>
      <c r="N202" s="112" t="n">
        <f aca="false">M202/H202*100</f>
        <v>0</v>
      </c>
      <c r="O202" s="196" t="n">
        <v>24.72</v>
      </c>
      <c r="P202" s="196" t="n">
        <v>175.39</v>
      </c>
      <c r="Q202" s="200" t="s">
        <v>45</v>
      </c>
      <c r="R202" s="204" t="s">
        <v>57</v>
      </c>
      <c r="S202" s="112"/>
      <c r="T202" s="200" t="n">
        <v>24.7238</v>
      </c>
      <c r="U202" s="112"/>
      <c r="V202" s="112"/>
      <c r="W202" s="112"/>
      <c r="X202" s="112"/>
      <c r="Y202" s="112"/>
      <c r="Z202" s="112"/>
      <c r="AA202" s="204" t="s">
        <v>43</v>
      </c>
      <c r="AB202" s="216" t="n">
        <v>7</v>
      </c>
      <c r="AC202" s="204"/>
      <c r="AD202" s="204" t="n">
        <v>23.983134</v>
      </c>
      <c r="AE202" s="204" t="n">
        <v>75.828723</v>
      </c>
    </row>
    <row r="203" customFormat="false" ht="15.75" hidden="false" customHeight="false" outlineLevel="0" collapsed="false">
      <c r="A203" s="196" t="s">
        <v>415</v>
      </c>
      <c r="B203" s="196" t="s">
        <v>1452</v>
      </c>
      <c r="C203" s="197" t="s">
        <v>1702</v>
      </c>
      <c r="D203" s="196" t="s">
        <v>1713</v>
      </c>
      <c r="E203" s="196"/>
      <c r="F203" s="196"/>
      <c r="G203" s="196"/>
      <c r="H203" s="196"/>
      <c r="I203" s="196"/>
      <c r="J203" s="196"/>
      <c r="K203" s="196"/>
      <c r="L203" s="112"/>
      <c r="M203" s="196"/>
      <c r="N203" s="112"/>
      <c r="O203" s="196"/>
      <c r="P203" s="196"/>
      <c r="Q203" s="200" t="s">
        <v>45</v>
      </c>
      <c r="R203" s="204" t="s">
        <v>57</v>
      </c>
      <c r="S203" s="112"/>
      <c r="T203" s="200"/>
      <c r="U203" s="112"/>
      <c r="V203" s="112"/>
      <c r="W203" s="112"/>
      <c r="X203" s="112"/>
      <c r="Y203" s="112"/>
      <c r="Z203" s="112"/>
      <c r="AA203" s="204" t="s">
        <v>43</v>
      </c>
      <c r="AB203" s="216" t="n">
        <v>18</v>
      </c>
      <c r="AC203" s="204"/>
      <c r="AD203" s="204" t="n">
        <v>23.983134</v>
      </c>
      <c r="AE203" s="204" t="n">
        <v>75.828723</v>
      </c>
    </row>
    <row r="204" customFormat="false" ht="15.75" hidden="false" customHeight="false" outlineLevel="0" collapsed="false">
      <c r="A204" s="196" t="s">
        <v>415</v>
      </c>
      <c r="B204" s="196" t="s">
        <v>1452</v>
      </c>
      <c r="C204" s="197" t="s">
        <v>1715</v>
      </c>
      <c r="D204" s="198" t="s">
        <v>1716</v>
      </c>
      <c r="E204" s="196" t="s">
        <v>1717</v>
      </c>
      <c r="F204" s="196" t="n">
        <v>387.11</v>
      </c>
      <c r="G204" s="196" t="n">
        <v>113</v>
      </c>
      <c r="H204" s="196" t="n">
        <v>531</v>
      </c>
      <c r="I204" s="196" t="n">
        <v>274</v>
      </c>
      <c r="J204" s="196" t="n">
        <v>257</v>
      </c>
      <c r="K204" s="196" t="n">
        <v>102</v>
      </c>
      <c r="L204" s="112" t="n">
        <f aca="false">K204/H204*100</f>
        <v>19.2090395480226</v>
      </c>
      <c r="M204" s="196" t="n">
        <v>15</v>
      </c>
      <c r="N204" s="112" t="n">
        <f aca="false">M204/H204*100</f>
        <v>2.82485875706215</v>
      </c>
      <c r="O204" s="196" t="n">
        <v>31.2</v>
      </c>
      <c r="P204" s="196" t="n">
        <v>6.17</v>
      </c>
      <c r="Q204" s="204"/>
      <c r="R204" s="204"/>
      <c r="S204" s="112"/>
      <c r="T204" s="204"/>
      <c r="U204" s="112"/>
      <c r="V204" s="112"/>
      <c r="W204" s="112"/>
      <c r="X204" s="112"/>
      <c r="Y204" s="112"/>
      <c r="Z204" s="112"/>
      <c r="AA204" s="204"/>
      <c r="AB204" s="204"/>
      <c r="AC204" s="204"/>
      <c r="AD204" s="204"/>
      <c r="AE204" s="204"/>
    </row>
    <row r="205" customFormat="false" ht="15.75" hidden="false" customHeight="false" outlineLevel="0" collapsed="false">
      <c r="A205" s="196" t="s">
        <v>415</v>
      </c>
      <c r="B205" s="196" t="s">
        <v>1452</v>
      </c>
      <c r="C205" s="197" t="s">
        <v>1715</v>
      </c>
      <c r="D205" s="196" t="s">
        <v>1718</v>
      </c>
      <c r="E205" s="196" t="s">
        <v>1719</v>
      </c>
      <c r="F205" s="196" t="n">
        <v>326.76</v>
      </c>
      <c r="G205" s="196" t="n">
        <v>84</v>
      </c>
      <c r="H205" s="196" t="n">
        <v>352</v>
      </c>
      <c r="I205" s="196" t="n">
        <v>181</v>
      </c>
      <c r="J205" s="196" t="n">
        <v>171</v>
      </c>
      <c r="K205" s="196" t="n">
        <v>43</v>
      </c>
      <c r="L205" s="112" t="n">
        <f aca="false">K205/H205*100</f>
        <v>12.2159090909091</v>
      </c>
      <c r="M205" s="196" t="n">
        <v>0</v>
      </c>
      <c r="N205" s="112" t="n">
        <f aca="false">M205/H205*100</f>
        <v>0</v>
      </c>
      <c r="O205" s="196" t="n">
        <v>0</v>
      </c>
      <c r="P205" s="196" t="n">
        <v>52.04</v>
      </c>
      <c r="Q205" s="204"/>
      <c r="R205" s="204"/>
      <c r="S205" s="112"/>
      <c r="T205" s="204"/>
      <c r="U205" s="112"/>
      <c r="V205" s="112"/>
      <c r="W205" s="112"/>
      <c r="X205" s="112"/>
      <c r="Y205" s="112"/>
      <c r="Z205" s="112"/>
      <c r="AA205" s="204"/>
      <c r="AB205" s="204"/>
      <c r="AC205" s="204"/>
      <c r="AD205" s="204"/>
      <c r="AE205" s="204"/>
    </row>
    <row r="206" customFormat="false" ht="15.75" hidden="false" customHeight="false" outlineLevel="0" collapsed="false">
      <c r="A206" s="196" t="s">
        <v>415</v>
      </c>
      <c r="B206" s="196" t="s">
        <v>1452</v>
      </c>
      <c r="C206" s="197" t="s">
        <v>1715</v>
      </c>
      <c r="D206" s="196" t="s">
        <v>1720</v>
      </c>
      <c r="E206" s="196" t="s">
        <v>1721</v>
      </c>
      <c r="F206" s="196" t="n">
        <v>846.35</v>
      </c>
      <c r="G206" s="196" t="n">
        <v>189</v>
      </c>
      <c r="H206" s="196" t="n">
        <v>870</v>
      </c>
      <c r="I206" s="196" t="n">
        <v>437</v>
      </c>
      <c r="J206" s="196" t="n">
        <v>433</v>
      </c>
      <c r="K206" s="196" t="n">
        <v>112</v>
      </c>
      <c r="L206" s="112" t="n">
        <f aca="false">K206/H206*100</f>
        <v>12.8735632183908</v>
      </c>
      <c r="M206" s="196" t="n">
        <v>0</v>
      </c>
      <c r="N206" s="112" t="n">
        <f aca="false">M206/H206*100</f>
        <v>0</v>
      </c>
      <c r="O206" s="196" t="n">
        <v>66.18</v>
      </c>
      <c r="P206" s="196" t="n">
        <v>84.43</v>
      </c>
      <c r="Q206" s="203" t="s">
        <v>150</v>
      </c>
      <c r="R206" s="203" t="s">
        <v>1308</v>
      </c>
      <c r="S206" s="112"/>
      <c r="T206" s="203" t="n">
        <v>8.46</v>
      </c>
      <c r="U206" s="112"/>
      <c r="V206" s="112"/>
      <c r="W206" s="112"/>
      <c r="X206" s="112"/>
      <c r="Y206" s="112"/>
      <c r="Z206" s="112"/>
      <c r="AA206" s="203" t="s">
        <v>891</v>
      </c>
      <c r="AB206" s="203" t="n">
        <v>20.54</v>
      </c>
      <c r="AC206" s="204"/>
      <c r="AD206" s="203" t="n">
        <v>23.9698741</v>
      </c>
      <c r="AE206" s="203" t="n">
        <v>75.4798992</v>
      </c>
    </row>
    <row r="207" customFormat="false" ht="15.75" hidden="false" customHeight="false" outlineLevel="0" collapsed="false">
      <c r="A207" s="196" t="s">
        <v>415</v>
      </c>
      <c r="B207" s="196" t="s">
        <v>1452</v>
      </c>
      <c r="C207" s="197" t="s">
        <v>1715</v>
      </c>
      <c r="D207" s="196" t="s">
        <v>1722</v>
      </c>
      <c r="E207" s="196" t="s">
        <v>1723</v>
      </c>
      <c r="F207" s="196" t="n">
        <v>281.86</v>
      </c>
      <c r="G207" s="196" t="n">
        <v>97</v>
      </c>
      <c r="H207" s="196" t="n">
        <v>453</v>
      </c>
      <c r="I207" s="196" t="n">
        <v>241</v>
      </c>
      <c r="J207" s="196" t="n">
        <v>212</v>
      </c>
      <c r="K207" s="196" t="n">
        <v>91</v>
      </c>
      <c r="L207" s="112" t="n">
        <f aca="false">K207/H207*100</f>
        <v>20.0883002207506</v>
      </c>
      <c r="M207" s="196" t="n">
        <v>0</v>
      </c>
      <c r="N207" s="112" t="n">
        <f aca="false">M207/H207*100</f>
        <v>0</v>
      </c>
      <c r="O207" s="196" t="n">
        <v>22.68</v>
      </c>
      <c r="P207" s="196" t="n">
        <v>43.14</v>
      </c>
      <c r="Q207" s="203" t="s">
        <v>150</v>
      </c>
      <c r="R207" s="203" t="s">
        <v>1308</v>
      </c>
      <c r="S207" s="112"/>
      <c r="T207" s="203" t="n">
        <v>2</v>
      </c>
      <c r="U207" s="112"/>
      <c r="V207" s="112"/>
      <c r="W207" s="112"/>
      <c r="X207" s="112"/>
      <c r="Y207" s="112"/>
      <c r="Z207" s="112"/>
      <c r="AA207" s="203" t="s">
        <v>891</v>
      </c>
      <c r="AB207" s="203" t="n">
        <v>20</v>
      </c>
      <c r="AC207" s="204"/>
      <c r="AD207" s="203" t="n">
        <v>23.995816</v>
      </c>
      <c r="AE207" s="203" t="n">
        <v>75.52628</v>
      </c>
    </row>
    <row r="208" customFormat="false" ht="15.75" hidden="false" customHeight="false" outlineLevel="0" collapsed="false">
      <c r="A208" s="196" t="s">
        <v>415</v>
      </c>
      <c r="B208" s="196" t="s">
        <v>1452</v>
      </c>
      <c r="C208" s="197" t="s">
        <v>1715</v>
      </c>
      <c r="D208" s="196" t="s">
        <v>1724</v>
      </c>
      <c r="E208" s="196" t="s">
        <v>1725</v>
      </c>
      <c r="F208" s="196" t="n">
        <v>307.4</v>
      </c>
      <c r="G208" s="196" t="n">
        <v>81</v>
      </c>
      <c r="H208" s="196" t="n">
        <v>397</v>
      </c>
      <c r="I208" s="196" t="n">
        <v>209</v>
      </c>
      <c r="J208" s="196" t="n">
        <v>188</v>
      </c>
      <c r="K208" s="196" t="n">
        <v>59</v>
      </c>
      <c r="L208" s="112" t="n">
        <f aca="false">K208/H208*100</f>
        <v>14.8614609571788</v>
      </c>
      <c r="M208" s="196" t="n">
        <v>0</v>
      </c>
      <c r="N208" s="112" t="n">
        <f aca="false">M208/H208*100</f>
        <v>0</v>
      </c>
      <c r="O208" s="196" t="n">
        <v>0.93</v>
      </c>
      <c r="P208" s="196" t="n">
        <v>14.29</v>
      </c>
      <c r="Q208" s="200" t="s">
        <v>150</v>
      </c>
      <c r="R208" s="200" t="s">
        <v>1308</v>
      </c>
      <c r="S208" s="112"/>
      <c r="T208" s="200"/>
      <c r="U208" s="112"/>
      <c r="V208" s="112"/>
      <c r="W208" s="112"/>
      <c r="X208" s="112"/>
      <c r="Y208" s="112"/>
      <c r="Z208" s="112"/>
      <c r="AA208" s="200" t="s">
        <v>150</v>
      </c>
      <c r="AB208" s="200" t="n">
        <v>1.915</v>
      </c>
      <c r="AC208" s="204"/>
      <c r="AD208" s="200" t="n">
        <v>23.97068</v>
      </c>
      <c r="AE208" s="200" t="n">
        <v>75.47951</v>
      </c>
    </row>
    <row r="209" customFormat="false" ht="15.75" hidden="false" customHeight="false" outlineLevel="0" collapsed="false">
      <c r="A209" s="196" t="s">
        <v>415</v>
      </c>
      <c r="B209" s="196" t="s">
        <v>1452</v>
      </c>
      <c r="C209" s="197" t="s">
        <v>1715</v>
      </c>
      <c r="D209" s="196" t="s">
        <v>1726</v>
      </c>
      <c r="E209" s="196" t="s">
        <v>1727</v>
      </c>
      <c r="F209" s="196" t="n">
        <v>493.31</v>
      </c>
      <c r="G209" s="196" t="n">
        <v>152</v>
      </c>
      <c r="H209" s="196" t="n">
        <v>822</v>
      </c>
      <c r="I209" s="196" t="n">
        <v>425</v>
      </c>
      <c r="J209" s="196" t="n">
        <v>397</v>
      </c>
      <c r="K209" s="196" t="n">
        <v>388</v>
      </c>
      <c r="L209" s="112" t="n">
        <f aca="false">K209/H209*100</f>
        <v>47.2019464720195</v>
      </c>
      <c r="M209" s="196" t="n">
        <v>0</v>
      </c>
      <c r="N209" s="112" t="n">
        <f aca="false">M209/H209*100</f>
        <v>0</v>
      </c>
      <c r="O209" s="196" t="n">
        <v>27.07</v>
      </c>
      <c r="P209" s="196" t="n">
        <v>0</v>
      </c>
      <c r="Q209" s="203" t="s">
        <v>150</v>
      </c>
      <c r="R209" s="203" t="s">
        <v>1308</v>
      </c>
      <c r="S209" s="112"/>
      <c r="T209" s="203" t="n">
        <v>0</v>
      </c>
      <c r="U209" s="112"/>
      <c r="V209" s="112"/>
      <c r="W209" s="112"/>
      <c r="X209" s="112"/>
      <c r="Y209" s="112"/>
      <c r="Z209" s="112"/>
      <c r="AA209" s="203" t="s">
        <v>891</v>
      </c>
      <c r="AB209" s="203" t="n">
        <v>29</v>
      </c>
      <c r="AC209" s="204"/>
      <c r="AD209" s="203" t="n">
        <v>23.987988</v>
      </c>
      <c r="AE209" s="203" t="n">
        <v>75.499422</v>
      </c>
    </row>
    <row r="210" customFormat="false" ht="15.75" hidden="false" customHeight="false" outlineLevel="0" collapsed="false">
      <c r="A210" s="196" t="s">
        <v>415</v>
      </c>
      <c r="B210" s="196" t="s">
        <v>1452</v>
      </c>
      <c r="C210" s="197" t="s">
        <v>1715</v>
      </c>
      <c r="D210" s="196" t="s">
        <v>1098</v>
      </c>
      <c r="E210" s="196" t="s">
        <v>1728</v>
      </c>
      <c r="F210" s="196" t="n">
        <v>301.26</v>
      </c>
      <c r="G210" s="196" t="n">
        <v>106</v>
      </c>
      <c r="H210" s="196" t="n">
        <v>517</v>
      </c>
      <c r="I210" s="196" t="n">
        <v>261</v>
      </c>
      <c r="J210" s="196" t="n">
        <v>256</v>
      </c>
      <c r="K210" s="196" t="n">
        <v>185</v>
      </c>
      <c r="L210" s="112" t="n">
        <f aca="false">K210/H210*100</f>
        <v>35.7833655705996</v>
      </c>
      <c r="M210" s="196" t="n">
        <v>1</v>
      </c>
      <c r="N210" s="112" t="n">
        <f aca="false">M210/H210*100</f>
        <v>0.193423597678917</v>
      </c>
      <c r="O210" s="196" t="n">
        <v>13.69</v>
      </c>
      <c r="P210" s="196" t="n">
        <v>61.01</v>
      </c>
      <c r="Q210" s="203" t="s">
        <v>150</v>
      </c>
      <c r="R210" s="203" t="s">
        <v>1308</v>
      </c>
      <c r="S210" s="112"/>
      <c r="T210" s="204"/>
      <c r="U210" s="112"/>
      <c r="V210" s="112"/>
      <c r="W210" s="112"/>
      <c r="X210" s="112"/>
      <c r="Y210" s="112"/>
      <c r="Z210" s="112"/>
      <c r="AA210" s="203" t="s">
        <v>891</v>
      </c>
      <c r="AB210" s="203" t="n">
        <v>10</v>
      </c>
      <c r="AC210" s="204"/>
      <c r="AD210" s="203" t="n">
        <v>23.996586</v>
      </c>
      <c r="AE210" s="203" t="n">
        <v>75.539875</v>
      </c>
    </row>
    <row r="211" customFormat="false" ht="15.75" hidden="false" customHeight="false" outlineLevel="0" collapsed="false">
      <c r="A211" s="196" t="s">
        <v>415</v>
      </c>
      <c r="B211" s="196" t="s">
        <v>1452</v>
      </c>
      <c r="C211" s="197" t="s">
        <v>1729</v>
      </c>
      <c r="D211" s="198" t="s">
        <v>1730</v>
      </c>
      <c r="E211" s="196" t="s">
        <v>1731</v>
      </c>
      <c r="F211" s="196" t="n">
        <v>804.79</v>
      </c>
      <c r="G211" s="196" t="n">
        <v>255</v>
      </c>
      <c r="H211" s="196" t="n">
        <v>1298</v>
      </c>
      <c r="I211" s="196" t="n">
        <v>658</v>
      </c>
      <c r="J211" s="196" t="n">
        <v>640</v>
      </c>
      <c r="K211" s="196" t="n">
        <v>116</v>
      </c>
      <c r="L211" s="112" t="n">
        <f aca="false">K211/H211*100</f>
        <v>8.93682588597843</v>
      </c>
      <c r="M211" s="196" t="n">
        <v>0</v>
      </c>
      <c r="N211" s="112" t="n">
        <f aca="false">M211/H211*100</f>
        <v>0</v>
      </c>
      <c r="O211" s="196" t="n">
        <v>83.72</v>
      </c>
      <c r="P211" s="196" t="n">
        <v>0</v>
      </c>
      <c r="Q211" s="204"/>
      <c r="R211" s="204"/>
      <c r="S211" s="112"/>
      <c r="T211" s="204"/>
      <c r="U211" s="112"/>
      <c r="V211" s="112"/>
      <c r="W211" s="112"/>
      <c r="X211" s="112"/>
      <c r="Y211" s="112"/>
      <c r="Z211" s="112"/>
      <c r="AA211" s="204"/>
      <c r="AB211" s="204"/>
      <c r="AC211" s="204"/>
      <c r="AD211" s="204"/>
      <c r="AE211" s="204"/>
    </row>
    <row r="212" customFormat="false" ht="15.75" hidden="false" customHeight="false" outlineLevel="0" collapsed="false">
      <c r="A212" s="196" t="s">
        <v>415</v>
      </c>
      <c r="B212" s="196" t="s">
        <v>1452</v>
      </c>
      <c r="C212" s="197" t="s">
        <v>1729</v>
      </c>
      <c r="D212" s="196" t="s">
        <v>1732</v>
      </c>
      <c r="E212" s="196" t="s">
        <v>1733</v>
      </c>
      <c r="F212" s="196" t="n">
        <v>266.82</v>
      </c>
      <c r="G212" s="196" t="n">
        <v>85</v>
      </c>
      <c r="H212" s="196" t="n">
        <v>441</v>
      </c>
      <c r="I212" s="196" t="n">
        <v>222</v>
      </c>
      <c r="J212" s="196" t="n">
        <v>219</v>
      </c>
      <c r="K212" s="196" t="n">
        <v>118</v>
      </c>
      <c r="L212" s="112" t="n">
        <f aca="false">K212/H212*100</f>
        <v>26.7573696145125</v>
      </c>
      <c r="M212" s="196" t="n">
        <v>0</v>
      </c>
      <c r="N212" s="112" t="n">
        <f aca="false">M212/H212*100</f>
        <v>0</v>
      </c>
      <c r="O212" s="196" t="n">
        <v>48.62</v>
      </c>
      <c r="P212" s="196" t="n">
        <v>0</v>
      </c>
      <c r="Q212" s="200" t="s">
        <v>45</v>
      </c>
      <c r="R212" s="200" t="s">
        <v>1555</v>
      </c>
      <c r="S212" s="112"/>
      <c r="T212" s="200" t="n">
        <v>48.5477</v>
      </c>
      <c r="U212" s="112"/>
      <c r="V212" s="112"/>
      <c r="W212" s="112"/>
      <c r="X212" s="112"/>
      <c r="Y212" s="112"/>
      <c r="Z212" s="112"/>
      <c r="AA212" s="200" t="s">
        <v>82</v>
      </c>
      <c r="AB212" s="200" t="n">
        <v>2</v>
      </c>
      <c r="AC212" s="204"/>
      <c r="AD212" s="200" t="n">
        <v>23.88623</v>
      </c>
      <c r="AE212" s="200" t="n">
        <v>75.54741</v>
      </c>
    </row>
    <row r="213" customFormat="false" ht="15.75" hidden="false" customHeight="false" outlineLevel="0" collapsed="false">
      <c r="A213" s="196" t="s">
        <v>415</v>
      </c>
      <c r="B213" s="196" t="s">
        <v>1452</v>
      </c>
      <c r="C213" s="197" t="s">
        <v>1729</v>
      </c>
      <c r="D213" s="196" t="s">
        <v>1734</v>
      </c>
      <c r="E213" s="196" t="s">
        <v>1735</v>
      </c>
      <c r="F213" s="196" t="n">
        <v>324.42</v>
      </c>
      <c r="G213" s="196" t="n">
        <v>114</v>
      </c>
      <c r="H213" s="196" t="n">
        <v>574</v>
      </c>
      <c r="I213" s="196" t="n">
        <v>289</v>
      </c>
      <c r="J213" s="196" t="n">
        <v>285</v>
      </c>
      <c r="K213" s="196" t="n">
        <v>252</v>
      </c>
      <c r="L213" s="112" t="n">
        <f aca="false">K213/H213*100</f>
        <v>43.9024390243903</v>
      </c>
      <c r="M213" s="196" t="n">
        <v>0</v>
      </c>
      <c r="N213" s="112" t="n">
        <f aca="false">M213/H213*100</f>
        <v>0</v>
      </c>
      <c r="O213" s="196" t="n">
        <v>35.06</v>
      </c>
      <c r="P213" s="196" t="n">
        <v>12.4</v>
      </c>
      <c r="Q213" s="204"/>
      <c r="R213" s="204"/>
      <c r="S213" s="112"/>
      <c r="T213" s="200"/>
      <c r="U213" s="112"/>
      <c r="V213" s="112"/>
      <c r="W213" s="112"/>
      <c r="X213" s="112"/>
      <c r="Y213" s="112"/>
      <c r="Z213" s="112"/>
      <c r="AA213" s="200"/>
      <c r="AB213" s="200"/>
      <c r="AC213" s="204"/>
      <c r="AD213" s="204"/>
      <c r="AE213" s="204"/>
    </row>
    <row r="214" customFormat="false" ht="15.75" hidden="false" customHeight="false" outlineLevel="0" collapsed="false">
      <c r="A214" s="196" t="s">
        <v>415</v>
      </c>
      <c r="B214" s="196" t="s">
        <v>1452</v>
      </c>
      <c r="C214" s="197" t="s">
        <v>1729</v>
      </c>
      <c r="D214" s="196" t="s">
        <v>1736</v>
      </c>
      <c r="E214" s="196" t="s">
        <v>1737</v>
      </c>
      <c r="F214" s="196" t="n">
        <v>397.55</v>
      </c>
      <c r="G214" s="196" t="n">
        <v>198</v>
      </c>
      <c r="H214" s="196" t="n">
        <v>877</v>
      </c>
      <c r="I214" s="196" t="n">
        <v>451</v>
      </c>
      <c r="J214" s="196" t="n">
        <v>426</v>
      </c>
      <c r="K214" s="196" t="n">
        <v>382</v>
      </c>
      <c r="L214" s="112" t="n">
        <f aca="false">K214/H214*100</f>
        <v>43.557582668187</v>
      </c>
      <c r="M214" s="196" t="n">
        <v>0</v>
      </c>
      <c r="N214" s="112" t="n">
        <f aca="false">M214/H214*100</f>
        <v>0</v>
      </c>
      <c r="O214" s="196" t="n">
        <v>41.27</v>
      </c>
      <c r="P214" s="196" t="n">
        <v>8.48</v>
      </c>
      <c r="Q214" s="200" t="s">
        <v>45</v>
      </c>
      <c r="R214" s="200" t="s">
        <v>1555</v>
      </c>
      <c r="S214" s="112"/>
      <c r="T214" s="200"/>
      <c r="U214" s="112"/>
      <c r="V214" s="112"/>
      <c r="W214" s="112"/>
      <c r="X214" s="112"/>
      <c r="Y214" s="112"/>
      <c r="Z214" s="112"/>
      <c r="AA214" s="200"/>
      <c r="AB214" s="200"/>
      <c r="AC214" s="204"/>
      <c r="AD214" s="200"/>
      <c r="AE214" s="200"/>
    </row>
    <row r="215" customFormat="false" ht="15.75" hidden="false" customHeight="false" outlineLevel="0" collapsed="false">
      <c r="A215" s="196" t="s">
        <v>415</v>
      </c>
      <c r="B215" s="196" t="s">
        <v>1452</v>
      </c>
      <c r="C215" s="197" t="s">
        <v>1729</v>
      </c>
      <c r="D215" s="196" t="s">
        <v>1738</v>
      </c>
      <c r="E215" s="196" t="s">
        <v>1739</v>
      </c>
      <c r="F215" s="196" t="n">
        <v>421.31</v>
      </c>
      <c r="G215" s="196" t="n">
        <v>121</v>
      </c>
      <c r="H215" s="196" t="n">
        <v>712</v>
      </c>
      <c r="I215" s="196" t="n">
        <v>360</v>
      </c>
      <c r="J215" s="196" t="n">
        <v>352</v>
      </c>
      <c r="K215" s="196" t="n">
        <v>183</v>
      </c>
      <c r="L215" s="112" t="n">
        <f aca="false">K215/H215*100</f>
        <v>25.7022471910112</v>
      </c>
      <c r="M215" s="196" t="n">
        <v>0</v>
      </c>
      <c r="N215" s="112" t="n">
        <f aca="false">M215/H215*100</f>
        <v>0</v>
      </c>
      <c r="O215" s="196" t="n">
        <v>32.26</v>
      </c>
      <c r="P215" s="196" t="n">
        <v>0</v>
      </c>
      <c r="Q215" s="200" t="s">
        <v>45</v>
      </c>
      <c r="R215" s="200" t="s">
        <v>1555</v>
      </c>
      <c r="S215" s="112"/>
      <c r="T215" s="200" t="n">
        <v>30.981</v>
      </c>
      <c r="U215" s="112"/>
      <c r="V215" s="112"/>
      <c r="W215" s="112"/>
      <c r="X215" s="112"/>
      <c r="Y215" s="112"/>
      <c r="Z215" s="112"/>
      <c r="AA215" s="200" t="s">
        <v>82</v>
      </c>
      <c r="AB215" s="200" t="n">
        <v>1.28</v>
      </c>
      <c r="AC215" s="204"/>
      <c r="AD215" s="200" t="n">
        <v>23.928135</v>
      </c>
      <c r="AE215" s="200" t="n">
        <v>75.554606</v>
      </c>
    </row>
    <row r="216" customFormat="false" ht="15.75" hidden="false" customHeight="false" outlineLevel="0" collapsed="false">
      <c r="A216" s="196" t="s">
        <v>415</v>
      </c>
      <c r="B216" s="196" t="s">
        <v>1452</v>
      </c>
      <c r="C216" s="197" t="s">
        <v>1729</v>
      </c>
      <c r="D216" s="196" t="s">
        <v>1740</v>
      </c>
      <c r="E216" s="196" t="s">
        <v>1741</v>
      </c>
      <c r="F216" s="196" t="n">
        <v>217.74</v>
      </c>
      <c r="G216" s="196" t="n">
        <v>138</v>
      </c>
      <c r="H216" s="196" t="n">
        <v>566</v>
      </c>
      <c r="I216" s="196" t="n">
        <v>281</v>
      </c>
      <c r="J216" s="196" t="n">
        <v>285</v>
      </c>
      <c r="K216" s="196" t="n">
        <v>46</v>
      </c>
      <c r="L216" s="112" t="n">
        <f aca="false">K216/H216*100</f>
        <v>8.12720848056537</v>
      </c>
      <c r="M216" s="196" t="n">
        <v>0</v>
      </c>
      <c r="N216" s="112" t="n">
        <f aca="false">M216/H216*100</f>
        <v>0</v>
      </c>
      <c r="O216" s="196" t="n">
        <v>27.6</v>
      </c>
      <c r="P216" s="196" t="n">
        <v>0</v>
      </c>
      <c r="Q216" s="200" t="s">
        <v>45</v>
      </c>
      <c r="R216" s="200" t="s">
        <v>1555</v>
      </c>
      <c r="S216" s="112"/>
      <c r="T216" s="200" t="n">
        <v>26.8071</v>
      </c>
      <c r="U216" s="112"/>
      <c r="V216" s="112"/>
      <c r="W216" s="112"/>
      <c r="X216" s="112"/>
      <c r="Y216" s="112"/>
      <c r="Z216" s="112"/>
      <c r="AA216" s="200" t="s">
        <v>82</v>
      </c>
      <c r="AB216" s="200" t="n">
        <v>0.8</v>
      </c>
      <c r="AC216" s="204"/>
      <c r="AD216" s="200" t="n">
        <v>23.94742</v>
      </c>
      <c r="AE216" s="200" t="n">
        <v>75.581304</v>
      </c>
    </row>
    <row r="217" customFormat="false" ht="15.75" hidden="false" customHeight="false" outlineLevel="0" collapsed="false">
      <c r="A217" s="196" t="s">
        <v>415</v>
      </c>
      <c r="B217" s="196" t="s">
        <v>1452</v>
      </c>
      <c r="C217" s="197" t="s">
        <v>1742</v>
      </c>
      <c r="D217" s="198" t="s">
        <v>1743</v>
      </c>
      <c r="E217" s="196" t="s">
        <v>1744</v>
      </c>
      <c r="F217" s="196" t="n">
        <v>273.41</v>
      </c>
      <c r="G217" s="196" t="n">
        <v>296</v>
      </c>
      <c r="H217" s="196" t="n">
        <v>1662</v>
      </c>
      <c r="I217" s="196" t="n">
        <v>853</v>
      </c>
      <c r="J217" s="196" t="n">
        <v>809</v>
      </c>
      <c r="K217" s="196" t="n">
        <v>278</v>
      </c>
      <c r="L217" s="112" t="n">
        <f aca="false">K217/H217*100</f>
        <v>16.7268351383875</v>
      </c>
      <c r="M217" s="196" t="n">
        <v>0</v>
      </c>
      <c r="N217" s="112" t="n">
        <f aca="false">M217/H217*100</f>
        <v>0</v>
      </c>
      <c r="O217" s="196" t="n">
        <v>0</v>
      </c>
      <c r="P217" s="196" t="n">
        <v>0</v>
      </c>
      <c r="Q217" s="201"/>
      <c r="R217" s="202"/>
      <c r="S217" s="112"/>
      <c r="T217" s="203"/>
      <c r="U217" s="112"/>
      <c r="V217" s="112"/>
      <c r="W217" s="112" t="s">
        <v>43</v>
      </c>
      <c r="X217" s="112" t="s">
        <v>43</v>
      </c>
      <c r="Y217" s="112" t="s">
        <v>43</v>
      </c>
      <c r="Z217" s="112" t="s">
        <v>43</v>
      </c>
      <c r="AA217" s="203"/>
      <c r="AB217" s="203"/>
      <c r="AC217" s="204"/>
      <c r="AD217" s="201"/>
      <c r="AE217" s="201"/>
    </row>
    <row r="218" customFormat="false" ht="15.75" hidden="false" customHeight="false" outlineLevel="0" collapsed="false">
      <c r="A218" s="196" t="s">
        <v>415</v>
      </c>
      <c r="B218" s="196" t="s">
        <v>1452</v>
      </c>
      <c r="C218" s="197" t="s">
        <v>1742</v>
      </c>
      <c r="D218" s="196" t="s">
        <v>1745</v>
      </c>
      <c r="E218" s="196" t="s">
        <v>1746</v>
      </c>
      <c r="F218" s="196" t="n">
        <v>292.01</v>
      </c>
      <c r="G218" s="196" t="n">
        <v>67</v>
      </c>
      <c r="H218" s="196" t="n">
        <v>359</v>
      </c>
      <c r="I218" s="196" t="n">
        <v>184</v>
      </c>
      <c r="J218" s="196" t="n">
        <v>175</v>
      </c>
      <c r="K218" s="196" t="n">
        <v>47</v>
      </c>
      <c r="L218" s="112" t="n">
        <f aca="false">K218/H218*100</f>
        <v>13.091922005571</v>
      </c>
      <c r="M218" s="196" t="n">
        <v>0</v>
      </c>
      <c r="N218" s="112" t="n">
        <f aca="false">M218/H218*100</f>
        <v>0</v>
      </c>
      <c r="O218" s="196" t="n">
        <v>35.57</v>
      </c>
      <c r="P218" s="196" t="n">
        <v>63.95</v>
      </c>
      <c r="Q218" s="201" t="s">
        <v>45</v>
      </c>
      <c r="R218" s="202" t="n">
        <v>45141</v>
      </c>
      <c r="S218" s="112"/>
      <c r="T218" s="203" t="n">
        <v>52</v>
      </c>
      <c r="U218" s="112"/>
      <c r="V218" s="112"/>
      <c r="W218" s="112"/>
      <c r="X218" s="112"/>
      <c r="Y218" s="112"/>
      <c r="Z218" s="112"/>
      <c r="AA218" s="203" t="s">
        <v>891</v>
      </c>
      <c r="AB218" s="203" t="n">
        <v>5</v>
      </c>
      <c r="AC218" s="204"/>
      <c r="AD218" s="201" t="n">
        <v>23.976476</v>
      </c>
      <c r="AE218" s="201" t="n">
        <v>75.819112</v>
      </c>
    </row>
    <row r="219" customFormat="false" ht="15.75" hidden="false" customHeight="false" outlineLevel="0" collapsed="false">
      <c r="A219" s="196" t="s">
        <v>415</v>
      </c>
      <c r="B219" s="196" t="s">
        <v>1452</v>
      </c>
      <c r="C219" s="197" t="s">
        <v>1742</v>
      </c>
      <c r="D219" s="196" t="s">
        <v>1747</v>
      </c>
      <c r="E219" s="196" t="s">
        <v>1748</v>
      </c>
      <c r="F219" s="196" t="n">
        <v>201.17</v>
      </c>
      <c r="G219" s="196" t="n">
        <v>87</v>
      </c>
      <c r="H219" s="196" t="n">
        <v>427</v>
      </c>
      <c r="I219" s="196" t="n">
        <v>232</v>
      </c>
      <c r="J219" s="196" t="n">
        <v>195</v>
      </c>
      <c r="K219" s="196" t="n">
        <v>41</v>
      </c>
      <c r="L219" s="112" t="n">
        <f aca="false">K219/H219*100</f>
        <v>9.60187353629977</v>
      </c>
      <c r="M219" s="196" t="n">
        <v>0</v>
      </c>
      <c r="N219" s="112" t="n">
        <f aca="false">M219/H219*100</f>
        <v>0</v>
      </c>
      <c r="O219" s="196" t="n">
        <v>33.1</v>
      </c>
      <c r="P219" s="196" t="n">
        <v>32.73</v>
      </c>
      <c r="Q219" s="201" t="s">
        <v>45</v>
      </c>
      <c r="R219" s="202" t="n">
        <v>45141</v>
      </c>
      <c r="S219" s="112"/>
      <c r="T219" s="203" t="n">
        <v>80</v>
      </c>
      <c r="U219" s="112"/>
      <c r="V219" s="112"/>
      <c r="W219" s="112"/>
      <c r="X219" s="112"/>
      <c r="Y219" s="112"/>
      <c r="Z219" s="112"/>
      <c r="AA219" s="203" t="s">
        <v>891</v>
      </c>
      <c r="AB219" s="203" t="n">
        <v>5</v>
      </c>
      <c r="AC219" s="204"/>
      <c r="AD219" s="201" t="n">
        <v>24.075884</v>
      </c>
      <c r="AE219" s="201" t="n">
        <v>75.939973</v>
      </c>
    </row>
    <row r="220" customFormat="false" ht="15.75" hidden="false" customHeight="false" outlineLevel="0" collapsed="false">
      <c r="A220" s="196" t="s">
        <v>415</v>
      </c>
      <c r="B220" s="196" t="s">
        <v>1452</v>
      </c>
      <c r="C220" s="197" t="s">
        <v>1742</v>
      </c>
      <c r="D220" s="196" t="s">
        <v>1749</v>
      </c>
      <c r="E220" s="196" t="s">
        <v>1750</v>
      </c>
      <c r="F220" s="196" t="n">
        <v>333.09</v>
      </c>
      <c r="G220" s="196" t="n">
        <v>44</v>
      </c>
      <c r="H220" s="196" t="n">
        <v>220</v>
      </c>
      <c r="I220" s="196" t="n">
        <v>119</v>
      </c>
      <c r="J220" s="196" t="n">
        <v>101</v>
      </c>
      <c r="K220" s="196" t="n">
        <v>0</v>
      </c>
      <c r="L220" s="112" t="n">
        <f aca="false">K220/H220*100</f>
        <v>0</v>
      </c>
      <c r="M220" s="196" t="n">
        <v>0</v>
      </c>
      <c r="N220" s="112" t="n">
        <f aca="false">M220/H220*100</f>
        <v>0</v>
      </c>
      <c r="O220" s="196" t="n">
        <v>34.75</v>
      </c>
      <c r="P220" s="196" t="n">
        <v>87.73</v>
      </c>
      <c r="Q220" s="201" t="s">
        <v>150</v>
      </c>
      <c r="R220" s="202" t="n">
        <v>45141</v>
      </c>
      <c r="S220" s="112"/>
      <c r="T220" s="203" t="n">
        <v>29</v>
      </c>
      <c r="U220" s="112"/>
      <c r="V220" s="112"/>
      <c r="W220" s="112"/>
      <c r="X220" s="112"/>
      <c r="Y220" s="112"/>
      <c r="Z220" s="112"/>
      <c r="AA220" s="203" t="s">
        <v>891</v>
      </c>
      <c r="AB220" s="203" t="n">
        <v>5</v>
      </c>
      <c r="AC220" s="204"/>
      <c r="AD220" s="201" t="n">
        <v>24.8143</v>
      </c>
      <c r="AE220" s="201" t="n">
        <v>75.797284</v>
      </c>
    </row>
    <row r="221" customFormat="false" ht="15.75" hidden="false" customHeight="false" outlineLevel="0" collapsed="false">
      <c r="A221" s="196" t="s">
        <v>415</v>
      </c>
      <c r="B221" s="196" t="s">
        <v>1452</v>
      </c>
      <c r="C221" s="197" t="s">
        <v>1742</v>
      </c>
      <c r="D221" s="196" t="s">
        <v>1751</v>
      </c>
      <c r="E221" s="196" t="s">
        <v>1752</v>
      </c>
      <c r="F221" s="196" t="n">
        <v>235.27</v>
      </c>
      <c r="G221" s="196" t="n">
        <v>1</v>
      </c>
      <c r="H221" s="196" t="n">
        <v>10</v>
      </c>
      <c r="I221" s="196" t="n">
        <v>6</v>
      </c>
      <c r="J221" s="196" t="n">
        <v>4</v>
      </c>
      <c r="K221" s="196" t="n">
        <v>10</v>
      </c>
      <c r="L221" s="112" t="n">
        <f aca="false">K221/H221*100</f>
        <v>100</v>
      </c>
      <c r="M221" s="196" t="n">
        <v>0</v>
      </c>
      <c r="N221" s="112" t="n">
        <f aca="false">M221/H221*100</f>
        <v>0</v>
      </c>
      <c r="O221" s="196" t="n">
        <v>75.84</v>
      </c>
      <c r="P221" s="196" t="n">
        <v>64.56</v>
      </c>
      <c r="Q221" s="201" t="s">
        <v>45</v>
      </c>
      <c r="R221" s="202" t="n">
        <v>45141</v>
      </c>
      <c r="S221" s="112"/>
      <c r="T221" s="203" t="n">
        <v>52</v>
      </c>
      <c r="U221" s="112"/>
      <c r="V221" s="112"/>
      <c r="W221" s="112"/>
      <c r="X221" s="112"/>
      <c r="Y221" s="112"/>
      <c r="Z221" s="112"/>
      <c r="AA221" s="203" t="s">
        <v>891</v>
      </c>
      <c r="AB221" s="203" t="n">
        <v>5</v>
      </c>
      <c r="AC221" s="204"/>
      <c r="AD221" s="201" t="n">
        <v>23.976476</v>
      </c>
      <c r="AE221" s="201" t="n">
        <v>75.819112</v>
      </c>
    </row>
    <row r="222" customFormat="false" ht="15.75" hidden="false" customHeight="false" outlineLevel="0" collapsed="false">
      <c r="A222" s="196" t="s">
        <v>415</v>
      </c>
      <c r="B222" s="196" t="s">
        <v>1452</v>
      </c>
      <c r="C222" s="197" t="s">
        <v>1742</v>
      </c>
      <c r="D222" s="196" t="s">
        <v>226</v>
      </c>
      <c r="E222" s="196" t="s">
        <v>1753</v>
      </c>
      <c r="F222" s="196" t="n">
        <v>800.87</v>
      </c>
      <c r="G222" s="196" t="n">
        <v>221</v>
      </c>
      <c r="H222" s="196" t="n">
        <v>987</v>
      </c>
      <c r="I222" s="196" t="n">
        <v>523</v>
      </c>
      <c r="J222" s="196" t="n">
        <v>464</v>
      </c>
      <c r="K222" s="196" t="n">
        <v>348</v>
      </c>
      <c r="L222" s="112" t="n">
        <f aca="false">K222/H222*100</f>
        <v>35.258358662614</v>
      </c>
      <c r="M222" s="196" t="n">
        <v>0</v>
      </c>
      <c r="N222" s="112" t="n">
        <f aca="false">M222/H222*100</f>
        <v>0</v>
      </c>
      <c r="O222" s="196" t="n">
        <v>68.32</v>
      </c>
      <c r="P222" s="196" t="n">
        <v>0</v>
      </c>
      <c r="Q222" s="201" t="s">
        <v>45</v>
      </c>
      <c r="R222" s="202" t="n">
        <v>45141</v>
      </c>
      <c r="S222" s="112"/>
      <c r="T222" s="203" t="n">
        <v>58</v>
      </c>
      <c r="U222" s="112"/>
      <c r="V222" s="112"/>
      <c r="W222" s="112"/>
      <c r="X222" s="112"/>
      <c r="Y222" s="112"/>
      <c r="Z222" s="112"/>
      <c r="AA222" s="203" t="s">
        <v>891</v>
      </c>
      <c r="AB222" s="203" t="n">
        <v>10</v>
      </c>
      <c r="AC222" s="204"/>
      <c r="AD222" s="201" t="n">
        <v>24.0045492</v>
      </c>
      <c r="AE222" s="201" t="n">
        <v>75.783525</v>
      </c>
    </row>
    <row r="223" customFormat="false" ht="15.75" hidden="false" customHeight="false" outlineLevel="0" collapsed="false">
      <c r="A223" s="196" t="s">
        <v>415</v>
      </c>
      <c r="B223" s="196" t="s">
        <v>1452</v>
      </c>
      <c r="C223" s="197" t="s">
        <v>1742</v>
      </c>
      <c r="D223" s="196" t="s">
        <v>1754</v>
      </c>
      <c r="E223" s="196" t="s">
        <v>1755</v>
      </c>
      <c r="F223" s="196" t="n">
        <v>383.18</v>
      </c>
      <c r="G223" s="196" t="n">
        <v>93</v>
      </c>
      <c r="H223" s="196" t="n">
        <v>503</v>
      </c>
      <c r="I223" s="196" t="n">
        <v>259</v>
      </c>
      <c r="J223" s="196" t="n">
        <v>244</v>
      </c>
      <c r="K223" s="196" t="n">
        <v>182</v>
      </c>
      <c r="L223" s="112" t="n">
        <f aca="false">K223/H223*100</f>
        <v>36.182902584493</v>
      </c>
      <c r="M223" s="196" t="n">
        <v>0</v>
      </c>
      <c r="N223" s="112" t="n">
        <f aca="false">M223/H223*100</f>
        <v>0</v>
      </c>
      <c r="O223" s="196" t="n">
        <v>36.33</v>
      </c>
      <c r="P223" s="196" t="n">
        <v>127.6</v>
      </c>
      <c r="Q223" s="201" t="s">
        <v>45</v>
      </c>
      <c r="R223" s="202" t="n">
        <v>45141</v>
      </c>
      <c r="S223" s="112"/>
      <c r="T223" s="203" t="n">
        <v>33</v>
      </c>
      <c r="U223" s="112"/>
      <c r="V223" s="112"/>
      <c r="W223" s="112"/>
      <c r="X223" s="112"/>
      <c r="Y223" s="112"/>
      <c r="Z223" s="112"/>
      <c r="AA223" s="203" t="s">
        <v>891</v>
      </c>
      <c r="AB223" s="203" t="n">
        <v>3</v>
      </c>
      <c r="AC223" s="204"/>
      <c r="AD223" s="201" t="n">
        <v>24.02234</v>
      </c>
      <c r="AE223" s="201" t="n">
        <v>75.810746</v>
      </c>
    </row>
    <row r="224" customFormat="false" ht="15.75" hidden="false" customHeight="false" outlineLevel="0" collapsed="false">
      <c r="A224" s="196" t="s">
        <v>415</v>
      </c>
      <c r="B224" s="196" t="s">
        <v>1452</v>
      </c>
      <c r="C224" s="197" t="s">
        <v>1742</v>
      </c>
      <c r="D224" s="196" t="s">
        <v>1756</v>
      </c>
      <c r="E224" s="196" t="s">
        <v>1757</v>
      </c>
      <c r="F224" s="196" t="n">
        <v>563.54</v>
      </c>
      <c r="G224" s="196" t="n">
        <v>154</v>
      </c>
      <c r="H224" s="196" t="n">
        <v>803</v>
      </c>
      <c r="I224" s="196" t="n">
        <v>398</v>
      </c>
      <c r="J224" s="196" t="n">
        <v>405</v>
      </c>
      <c r="K224" s="196" t="n">
        <v>324</v>
      </c>
      <c r="L224" s="112" t="n">
        <f aca="false">K224/H224*100</f>
        <v>40.3486924034869</v>
      </c>
      <c r="M224" s="196" t="n">
        <v>0</v>
      </c>
      <c r="N224" s="112" t="n">
        <f aca="false">M224/H224*100</f>
        <v>0</v>
      </c>
      <c r="O224" s="196" t="n">
        <v>44.98</v>
      </c>
      <c r="P224" s="196" t="n">
        <v>0</v>
      </c>
      <c r="Q224" s="201" t="s">
        <v>45</v>
      </c>
      <c r="R224" s="202" t="n">
        <v>45141</v>
      </c>
      <c r="S224" s="112"/>
      <c r="T224" s="203" t="n">
        <v>40</v>
      </c>
      <c r="U224" s="112"/>
      <c r="V224" s="112"/>
      <c r="W224" s="112"/>
      <c r="X224" s="112"/>
      <c r="Y224" s="112"/>
      <c r="Z224" s="112"/>
      <c r="AA224" s="203" t="s">
        <v>891</v>
      </c>
      <c r="AB224" s="203" t="n">
        <v>5</v>
      </c>
      <c r="AC224" s="204"/>
      <c r="AD224" s="201" t="n">
        <v>24.041852</v>
      </c>
      <c r="AE224" s="201" t="n">
        <v>75.790114</v>
      </c>
    </row>
    <row r="225" customFormat="false" ht="15.75" hidden="false" customHeight="false" outlineLevel="0" collapsed="false">
      <c r="A225" s="196" t="s">
        <v>415</v>
      </c>
      <c r="B225" s="196" t="s">
        <v>1452</v>
      </c>
      <c r="C225" s="197" t="s">
        <v>1758</v>
      </c>
      <c r="D225" s="198" t="s">
        <v>1101</v>
      </c>
      <c r="E225" s="196" t="s">
        <v>1759</v>
      </c>
      <c r="F225" s="196" t="n">
        <v>959.85</v>
      </c>
      <c r="G225" s="196" t="n">
        <v>340</v>
      </c>
      <c r="H225" s="196" t="n">
        <v>1727</v>
      </c>
      <c r="I225" s="196" t="n">
        <v>867</v>
      </c>
      <c r="J225" s="196" t="n">
        <v>860</v>
      </c>
      <c r="K225" s="196" t="n">
        <v>388</v>
      </c>
      <c r="L225" s="112" t="n">
        <f aca="false">K225/H225*100</f>
        <v>22.466705269253</v>
      </c>
      <c r="M225" s="196" t="n">
        <v>1</v>
      </c>
      <c r="N225" s="112" t="n">
        <f aca="false">M225/H225*100</f>
        <v>0.0579038795599305</v>
      </c>
      <c r="O225" s="196" t="n">
        <v>88.85</v>
      </c>
      <c r="P225" s="196" t="n">
        <v>0</v>
      </c>
      <c r="Q225" s="203" t="s">
        <v>150</v>
      </c>
      <c r="R225" s="202" t="n">
        <v>44294</v>
      </c>
      <c r="S225" s="112"/>
      <c r="T225" s="203" t="n">
        <v>87.88</v>
      </c>
      <c r="U225" s="112"/>
      <c r="V225" s="112"/>
      <c r="W225" s="112"/>
      <c r="X225" s="112"/>
      <c r="Y225" s="112"/>
      <c r="Z225" s="112"/>
      <c r="AA225" s="203" t="s">
        <v>891</v>
      </c>
      <c r="AB225" s="203" t="n">
        <v>5</v>
      </c>
      <c r="AC225" s="204"/>
      <c r="AD225" s="203" t="n">
        <v>23.830362</v>
      </c>
      <c r="AE225" s="203" t="n">
        <v>75.709235</v>
      </c>
    </row>
    <row r="226" customFormat="false" ht="15.75" hidden="false" customHeight="false" outlineLevel="0" collapsed="false">
      <c r="A226" s="196" t="s">
        <v>415</v>
      </c>
      <c r="B226" s="196" t="s">
        <v>1452</v>
      </c>
      <c r="C226" s="197" t="s">
        <v>1758</v>
      </c>
      <c r="D226" s="196" t="s">
        <v>1760</v>
      </c>
      <c r="E226" s="196" t="s">
        <v>1761</v>
      </c>
      <c r="F226" s="196" t="n">
        <v>672.51</v>
      </c>
      <c r="G226" s="196" t="n">
        <v>338</v>
      </c>
      <c r="H226" s="196" t="n">
        <v>1695</v>
      </c>
      <c r="I226" s="196" t="n">
        <v>852</v>
      </c>
      <c r="J226" s="196" t="n">
        <v>843</v>
      </c>
      <c r="K226" s="196" t="n">
        <v>565</v>
      </c>
      <c r="L226" s="112" t="n">
        <f aca="false">K226/H226*100</f>
        <v>33.3333333333333</v>
      </c>
      <c r="M226" s="196" t="n">
        <v>0</v>
      </c>
      <c r="N226" s="112" t="n">
        <f aca="false">M226/H226*100</f>
        <v>0</v>
      </c>
      <c r="O226" s="196" t="n">
        <v>81.63</v>
      </c>
      <c r="P226" s="196" t="n">
        <v>0</v>
      </c>
      <c r="Q226" s="203" t="s">
        <v>150</v>
      </c>
      <c r="R226" s="202" t="n">
        <v>44294</v>
      </c>
      <c r="S226" s="112"/>
      <c r="T226" s="203" t="n">
        <v>80</v>
      </c>
      <c r="U226" s="112"/>
      <c r="V226" s="112"/>
      <c r="W226" s="112"/>
      <c r="X226" s="112"/>
      <c r="Y226" s="112"/>
      <c r="Z226" s="112"/>
      <c r="AA226" s="203" t="s">
        <v>891</v>
      </c>
      <c r="AB226" s="203" t="n">
        <v>3</v>
      </c>
      <c r="AC226" s="204"/>
      <c r="AD226" s="203" t="n">
        <v>23.834596</v>
      </c>
      <c r="AE226" s="203" t="n">
        <v>75.69396</v>
      </c>
    </row>
    <row r="227" customFormat="false" ht="15.75" hidden="false" customHeight="false" outlineLevel="0" collapsed="false">
      <c r="A227" s="196" t="s">
        <v>415</v>
      </c>
      <c r="B227" s="196" t="s">
        <v>1452</v>
      </c>
      <c r="C227" s="197" t="s">
        <v>1758</v>
      </c>
      <c r="D227" s="196" t="s">
        <v>1762</v>
      </c>
      <c r="E227" s="196" t="s">
        <v>1763</v>
      </c>
      <c r="F227" s="196" t="n">
        <v>534.18</v>
      </c>
      <c r="G227" s="196" t="n">
        <v>215</v>
      </c>
      <c r="H227" s="196" t="n">
        <v>1109</v>
      </c>
      <c r="I227" s="196" t="n">
        <v>559</v>
      </c>
      <c r="J227" s="196" t="n">
        <v>550</v>
      </c>
      <c r="K227" s="196" t="n">
        <v>454</v>
      </c>
      <c r="L227" s="112" t="n">
        <f aca="false">K227/H227*100</f>
        <v>40.9377817853922</v>
      </c>
      <c r="M227" s="196" t="n">
        <v>1</v>
      </c>
      <c r="N227" s="112" t="n">
        <f aca="false">M227/H227*100</f>
        <v>0.0901713255184851</v>
      </c>
      <c r="O227" s="196" t="n">
        <v>77.66</v>
      </c>
      <c r="P227" s="196" t="n">
        <v>0</v>
      </c>
      <c r="Q227" s="203" t="s">
        <v>150</v>
      </c>
      <c r="R227" s="202" t="n">
        <v>44294</v>
      </c>
      <c r="S227" s="112"/>
      <c r="T227" s="203" t="n">
        <v>73.77</v>
      </c>
      <c r="U227" s="112"/>
      <c r="V227" s="112"/>
      <c r="W227" s="112"/>
      <c r="X227" s="112"/>
      <c r="Y227" s="112"/>
      <c r="Z227" s="112"/>
      <c r="AA227" s="203" t="s">
        <v>891</v>
      </c>
      <c r="AB227" s="203" t="n">
        <v>15</v>
      </c>
      <c r="AC227" s="204"/>
      <c r="AD227" s="203" t="n">
        <v>23.75513</v>
      </c>
      <c r="AE227" s="203" t="n">
        <v>75.679056</v>
      </c>
    </row>
    <row r="228" customFormat="false" ht="15.75" hidden="false" customHeight="false" outlineLevel="0" collapsed="false">
      <c r="A228" s="196" t="s">
        <v>415</v>
      </c>
      <c r="B228" s="196" t="s">
        <v>1452</v>
      </c>
      <c r="C228" s="197" t="s">
        <v>1764</v>
      </c>
      <c r="D228" s="198" t="s">
        <v>1765</v>
      </c>
      <c r="E228" s="196" t="s">
        <v>1766</v>
      </c>
      <c r="F228" s="196" t="n">
        <v>538</v>
      </c>
      <c r="G228" s="196" t="n">
        <v>192</v>
      </c>
      <c r="H228" s="196" t="n">
        <v>861</v>
      </c>
      <c r="I228" s="196" t="n">
        <v>431</v>
      </c>
      <c r="J228" s="196" t="n">
        <v>430</v>
      </c>
      <c r="K228" s="196" t="n">
        <v>80</v>
      </c>
      <c r="L228" s="112" t="n">
        <f aca="false">K228/H228*100</f>
        <v>9.29152148664344</v>
      </c>
      <c r="M228" s="196" t="n">
        <v>0</v>
      </c>
      <c r="N228" s="112" t="n">
        <f aca="false">M228/H228*100</f>
        <v>0</v>
      </c>
      <c r="O228" s="196" t="n">
        <v>55</v>
      </c>
      <c r="P228" s="196" t="n">
        <v>0</v>
      </c>
      <c r="Q228" s="203" t="s">
        <v>150</v>
      </c>
      <c r="R228" s="202" t="n">
        <v>44323</v>
      </c>
      <c r="S228" s="112"/>
      <c r="T228" s="204"/>
      <c r="U228" s="112"/>
      <c r="V228" s="112"/>
      <c r="W228" s="112"/>
      <c r="X228" s="112"/>
      <c r="Y228" s="112"/>
      <c r="Z228" s="112"/>
      <c r="AA228" s="204"/>
      <c r="AB228" s="204"/>
      <c r="AC228" s="204"/>
      <c r="AD228" s="203" t="n">
        <v>23.950627</v>
      </c>
      <c r="AE228" s="203" t="n">
        <v>75.553295</v>
      </c>
    </row>
    <row r="229" customFormat="false" ht="15.75" hidden="false" customHeight="false" outlineLevel="0" collapsed="false">
      <c r="A229" s="196" t="s">
        <v>415</v>
      </c>
      <c r="B229" s="196" t="s">
        <v>1452</v>
      </c>
      <c r="C229" s="197" t="s">
        <v>1764</v>
      </c>
      <c r="D229" s="196" t="s">
        <v>1767</v>
      </c>
      <c r="E229" s="196" t="s">
        <v>1768</v>
      </c>
      <c r="F229" s="196" t="n">
        <v>426</v>
      </c>
      <c r="G229" s="196" t="n">
        <v>120</v>
      </c>
      <c r="H229" s="196" t="n">
        <v>553</v>
      </c>
      <c r="I229" s="196" t="n">
        <v>291</v>
      </c>
      <c r="J229" s="196" t="n">
        <v>262</v>
      </c>
      <c r="K229" s="196" t="n">
        <v>29</v>
      </c>
      <c r="L229" s="112" t="n">
        <f aca="false">K229/H229*100</f>
        <v>5.24412296564195</v>
      </c>
      <c r="M229" s="196" t="n">
        <v>0</v>
      </c>
      <c r="N229" s="112" t="n">
        <f aca="false">M229/H229*100</f>
        <v>0</v>
      </c>
      <c r="O229" s="196" t="n">
        <v>42</v>
      </c>
      <c r="P229" s="196" t="n">
        <v>0</v>
      </c>
      <c r="Q229" s="203" t="s">
        <v>150</v>
      </c>
      <c r="R229" s="202" t="n">
        <v>44323</v>
      </c>
      <c r="S229" s="112"/>
      <c r="T229" s="204"/>
      <c r="U229" s="112"/>
      <c r="V229" s="112"/>
      <c r="W229" s="112"/>
      <c r="X229" s="112"/>
      <c r="Y229" s="112"/>
      <c r="Z229" s="112"/>
      <c r="AA229" s="204"/>
      <c r="AB229" s="204"/>
      <c r="AC229" s="204"/>
      <c r="AD229" s="203" t="n">
        <v>23.953003</v>
      </c>
      <c r="AE229" s="203" t="n">
        <v>75.544642</v>
      </c>
    </row>
    <row r="230" customFormat="false" ht="15.75" hidden="false" customHeight="false" outlineLevel="0" collapsed="false">
      <c r="A230" s="196" t="s">
        <v>415</v>
      </c>
      <c r="B230" s="196" t="s">
        <v>1452</v>
      </c>
      <c r="C230" s="197" t="s">
        <v>1764</v>
      </c>
      <c r="D230" s="196" t="s">
        <v>1769</v>
      </c>
      <c r="E230" s="196" t="s">
        <v>1770</v>
      </c>
      <c r="F230" s="196" t="n">
        <v>609</v>
      </c>
      <c r="G230" s="196" t="n">
        <v>237</v>
      </c>
      <c r="H230" s="196" t="n">
        <v>1165</v>
      </c>
      <c r="I230" s="196" t="n">
        <v>584</v>
      </c>
      <c r="J230" s="196" t="n">
        <v>581</v>
      </c>
      <c r="K230" s="196" t="n">
        <v>259</v>
      </c>
      <c r="L230" s="112" t="n">
        <f aca="false">K230/H230*100</f>
        <v>22.2317596566524</v>
      </c>
      <c r="M230" s="196" t="n">
        <v>0</v>
      </c>
      <c r="N230" s="112" t="n">
        <f aca="false">M230/H230*100</f>
        <v>0</v>
      </c>
      <c r="O230" s="196" t="n">
        <v>10</v>
      </c>
      <c r="P230" s="196" t="n">
        <v>0</v>
      </c>
      <c r="Q230" s="203" t="s">
        <v>150</v>
      </c>
      <c r="R230" s="202" t="n">
        <v>44323</v>
      </c>
      <c r="S230" s="112"/>
      <c r="T230" s="204"/>
      <c r="U230" s="112"/>
      <c r="V230" s="112"/>
      <c r="W230" s="112"/>
      <c r="X230" s="112"/>
      <c r="Y230" s="112"/>
      <c r="Z230" s="112"/>
      <c r="AA230" s="204"/>
      <c r="AB230" s="204"/>
      <c r="AC230" s="204"/>
      <c r="AD230" s="203" t="n">
        <v>23.961979</v>
      </c>
      <c r="AE230" s="203" t="n">
        <v>75.597002</v>
      </c>
    </row>
    <row r="231" customFormat="false" ht="15.75" hidden="false" customHeight="false" outlineLevel="0" collapsed="false">
      <c r="A231" s="196" t="s">
        <v>415</v>
      </c>
      <c r="B231" s="196" t="s">
        <v>1452</v>
      </c>
      <c r="C231" s="197" t="s">
        <v>1764</v>
      </c>
      <c r="D231" s="196" t="s">
        <v>321</v>
      </c>
      <c r="E231" s="196" t="s">
        <v>1771</v>
      </c>
      <c r="F231" s="196" t="n">
        <v>196</v>
      </c>
      <c r="G231" s="196" t="n">
        <v>42</v>
      </c>
      <c r="H231" s="196" t="n">
        <v>186</v>
      </c>
      <c r="I231" s="196" t="n">
        <v>92</v>
      </c>
      <c r="J231" s="196" t="n">
        <v>94</v>
      </c>
      <c r="K231" s="196" t="n">
        <v>48</v>
      </c>
      <c r="L231" s="112" t="n">
        <f aca="false">K231/H231*100</f>
        <v>25.8064516129032</v>
      </c>
      <c r="M231" s="196" t="n">
        <v>0</v>
      </c>
      <c r="N231" s="112" t="n">
        <f aca="false">M231/H231*100</f>
        <v>0</v>
      </c>
      <c r="O231" s="196" t="n">
        <v>14</v>
      </c>
      <c r="P231" s="196" t="n">
        <v>0</v>
      </c>
      <c r="Q231" s="203" t="s">
        <v>150</v>
      </c>
      <c r="R231" s="202" t="n">
        <v>44323</v>
      </c>
      <c r="S231" s="112"/>
      <c r="T231" s="204"/>
      <c r="U231" s="112"/>
      <c r="V231" s="112"/>
      <c r="W231" s="112"/>
      <c r="X231" s="112"/>
      <c r="Y231" s="112"/>
      <c r="Z231" s="112"/>
      <c r="AA231" s="204"/>
      <c r="AB231" s="204"/>
      <c r="AC231" s="204"/>
      <c r="AD231" s="203" t="n">
        <v>23.977208</v>
      </c>
      <c r="AE231" s="203" t="n">
        <v>75.561296</v>
      </c>
    </row>
    <row r="232" customFormat="false" ht="15.75" hidden="false" customHeight="false" outlineLevel="0" collapsed="false">
      <c r="A232" s="196" t="s">
        <v>415</v>
      </c>
      <c r="B232" s="196" t="s">
        <v>1452</v>
      </c>
      <c r="C232" s="197" t="s">
        <v>1764</v>
      </c>
      <c r="D232" s="196" t="s">
        <v>71</v>
      </c>
      <c r="E232" s="196" t="s">
        <v>1772</v>
      </c>
      <c r="F232" s="196" t="n">
        <v>234</v>
      </c>
      <c r="G232" s="196" t="n">
        <v>80</v>
      </c>
      <c r="H232" s="196" t="n">
        <v>383</v>
      </c>
      <c r="I232" s="196" t="n">
        <v>185</v>
      </c>
      <c r="J232" s="196" t="n">
        <v>198</v>
      </c>
      <c r="K232" s="196" t="n">
        <v>48</v>
      </c>
      <c r="L232" s="112" t="n">
        <f aca="false">K232/H232*100</f>
        <v>12.532637075718</v>
      </c>
      <c r="M232" s="196" t="n">
        <v>0</v>
      </c>
      <c r="N232" s="112" t="n">
        <f aca="false">M232/H232*100</f>
        <v>0</v>
      </c>
      <c r="O232" s="196" t="n">
        <v>24</v>
      </c>
      <c r="P232" s="196" t="n">
        <v>29</v>
      </c>
      <c r="Q232" s="203" t="s">
        <v>150</v>
      </c>
      <c r="R232" s="202" t="n">
        <v>44323</v>
      </c>
      <c r="S232" s="112"/>
      <c r="T232" s="204"/>
      <c r="U232" s="112"/>
      <c r="V232" s="112"/>
      <c r="W232" s="112"/>
      <c r="X232" s="112"/>
      <c r="Y232" s="112"/>
      <c r="Z232" s="112"/>
      <c r="AA232" s="204"/>
      <c r="AB232" s="204"/>
      <c r="AC232" s="204"/>
      <c r="AD232" s="203" t="n">
        <v>23.982979</v>
      </c>
      <c r="AE232" s="203" t="n">
        <v>75.552199</v>
      </c>
    </row>
    <row r="233" customFormat="false" ht="15.75" hidden="false" customHeight="false" outlineLevel="0" collapsed="false">
      <c r="A233" s="196" t="s">
        <v>415</v>
      </c>
      <c r="B233" s="196" t="s">
        <v>1452</v>
      </c>
      <c r="C233" s="197" t="s">
        <v>1764</v>
      </c>
      <c r="D233" s="196" t="s">
        <v>71</v>
      </c>
      <c r="E233" s="196"/>
      <c r="F233" s="196"/>
      <c r="G233" s="196"/>
      <c r="H233" s="196"/>
      <c r="I233" s="196"/>
      <c r="J233" s="196"/>
      <c r="K233" s="196"/>
      <c r="L233" s="112"/>
      <c r="M233" s="196"/>
      <c r="N233" s="112"/>
      <c r="O233" s="196"/>
      <c r="P233" s="196"/>
      <c r="Q233" s="200" t="s">
        <v>43</v>
      </c>
      <c r="R233" s="217" t="n">
        <v>44323</v>
      </c>
      <c r="S233" s="112"/>
      <c r="T233" s="204"/>
      <c r="U233" s="112"/>
      <c r="V233" s="112"/>
      <c r="W233" s="112"/>
      <c r="X233" s="112"/>
      <c r="Y233" s="112"/>
      <c r="Z233" s="112"/>
      <c r="AA233" s="204"/>
      <c r="AB233" s="204"/>
      <c r="AC233" s="204"/>
      <c r="AD233" s="204" t="n">
        <v>23.981833</v>
      </c>
      <c r="AE233" s="204" t="n">
        <v>75.5542255</v>
      </c>
    </row>
    <row r="234" customFormat="false" ht="15.75" hidden="false" customHeight="false" outlineLevel="0" collapsed="false">
      <c r="A234" s="196" t="s">
        <v>415</v>
      </c>
      <c r="B234" s="196" t="s">
        <v>1452</v>
      </c>
      <c r="C234" s="197" t="s">
        <v>1764</v>
      </c>
      <c r="D234" s="196" t="s">
        <v>1773</v>
      </c>
      <c r="E234" s="196" t="s">
        <v>1774</v>
      </c>
      <c r="F234" s="196" t="n">
        <v>392</v>
      </c>
      <c r="G234" s="196" t="n">
        <v>152</v>
      </c>
      <c r="H234" s="196" t="n">
        <v>779</v>
      </c>
      <c r="I234" s="196" t="n">
        <v>389</v>
      </c>
      <c r="J234" s="196" t="n">
        <v>390</v>
      </c>
      <c r="K234" s="196" t="n">
        <v>560</v>
      </c>
      <c r="L234" s="112" t="n">
        <f aca="false">K234/H234*100</f>
        <v>71.8870346598203</v>
      </c>
      <c r="M234" s="196" t="n">
        <v>1</v>
      </c>
      <c r="N234" s="112" t="n">
        <f aca="false">M234/H234*100</f>
        <v>0.128369704749679</v>
      </c>
      <c r="O234" s="196" t="n">
        <v>9</v>
      </c>
      <c r="P234" s="196" t="n">
        <v>77</v>
      </c>
      <c r="Q234" s="203" t="s">
        <v>150</v>
      </c>
      <c r="R234" s="202" t="n">
        <v>44323</v>
      </c>
      <c r="S234" s="112"/>
      <c r="T234" s="204"/>
      <c r="U234" s="112"/>
      <c r="V234" s="112"/>
      <c r="W234" s="112"/>
      <c r="X234" s="112"/>
      <c r="Y234" s="112"/>
      <c r="Z234" s="112"/>
      <c r="AA234" s="204"/>
      <c r="AB234" s="204"/>
      <c r="AC234" s="204"/>
      <c r="AD234" s="203" t="n">
        <v>23.984251</v>
      </c>
      <c r="AE234" s="203" t="n">
        <v>75.577394</v>
      </c>
    </row>
    <row r="235" customFormat="false" ht="15.75" hidden="false" customHeight="false" outlineLevel="0" collapsed="false">
      <c r="A235" s="196" t="s">
        <v>415</v>
      </c>
      <c r="B235" s="196" t="s">
        <v>1452</v>
      </c>
      <c r="C235" s="197" t="s">
        <v>1764</v>
      </c>
      <c r="D235" s="196" t="s">
        <v>1775</v>
      </c>
      <c r="E235" s="196" t="s">
        <v>1776</v>
      </c>
      <c r="F235" s="196" t="n">
        <v>159</v>
      </c>
      <c r="G235" s="196" t="n">
        <v>49</v>
      </c>
      <c r="H235" s="196" t="n">
        <v>267</v>
      </c>
      <c r="I235" s="196" t="n">
        <v>135</v>
      </c>
      <c r="J235" s="196" t="n">
        <v>132</v>
      </c>
      <c r="K235" s="196" t="n">
        <v>30</v>
      </c>
      <c r="L235" s="112" t="n">
        <f aca="false">K235/H235*100</f>
        <v>11.2359550561798</v>
      </c>
      <c r="M235" s="196" t="n">
        <v>0</v>
      </c>
      <c r="N235" s="112" t="n">
        <f aca="false">M235/H235*100</f>
        <v>0</v>
      </c>
      <c r="O235" s="196" t="n">
        <v>24</v>
      </c>
      <c r="P235" s="196" t="n">
        <v>23</v>
      </c>
      <c r="Q235" s="203" t="s">
        <v>150</v>
      </c>
      <c r="R235" s="202" t="n">
        <v>44323</v>
      </c>
      <c r="S235" s="112"/>
      <c r="T235" s="204"/>
      <c r="U235" s="112"/>
      <c r="V235" s="112"/>
      <c r="W235" s="112"/>
      <c r="X235" s="112"/>
      <c r="Y235" s="112"/>
      <c r="Z235" s="112"/>
      <c r="AA235" s="204"/>
      <c r="AB235" s="204"/>
      <c r="AC235" s="204"/>
      <c r="AD235" s="203" t="n">
        <v>23.887357</v>
      </c>
      <c r="AE235" s="203" t="n">
        <v>75.523257</v>
      </c>
    </row>
    <row r="236" customFormat="false" ht="15.75" hidden="false" customHeight="false" outlineLevel="0" collapsed="false">
      <c r="A236" s="196" t="s">
        <v>415</v>
      </c>
      <c r="B236" s="196" t="s">
        <v>1452</v>
      </c>
      <c r="C236" s="197" t="s">
        <v>1764</v>
      </c>
      <c r="D236" s="196" t="s">
        <v>1777</v>
      </c>
      <c r="E236" s="196" t="s">
        <v>1778</v>
      </c>
      <c r="F236" s="196" t="n">
        <v>291</v>
      </c>
      <c r="G236" s="196" t="n">
        <v>55</v>
      </c>
      <c r="H236" s="196" t="n">
        <v>218</v>
      </c>
      <c r="I236" s="196" t="n">
        <v>118</v>
      </c>
      <c r="J236" s="196" t="n">
        <v>100</v>
      </c>
      <c r="K236" s="196" t="n">
        <v>33</v>
      </c>
      <c r="L236" s="112" t="n">
        <f aca="false">K236/H236*100</f>
        <v>15.1376146788991</v>
      </c>
      <c r="M236" s="196" t="n">
        <v>0</v>
      </c>
      <c r="N236" s="112" t="n">
        <f aca="false">M236/H236*100</f>
        <v>0</v>
      </c>
      <c r="O236" s="196" t="n">
        <v>15</v>
      </c>
      <c r="P236" s="196" t="n">
        <v>58</v>
      </c>
      <c r="Q236" s="203" t="s">
        <v>150</v>
      </c>
      <c r="R236" s="202" t="n">
        <v>44323</v>
      </c>
      <c r="S236" s="112"/>
      <c r="T236" s="204"/>
      <c r="U236" s="112"/>
      <c r="V236" s="112"/>
      <c r="W236" s="112"/>
      <c r="X236" s="112"/>
      <c r="Y236" s="112"/>
      <c r="Z236" s="112"/>
      <c r="AA236" s="204"/>
      <c r="AB236" s="204"/>
      <c r="AC236" s="204"/>
      <c r="AD236" s="203" t="n">
        <v>24.014201</v>
      </c>
      <c r="AE236" s="203" t="n">
        <v>75.548959</v>
      </c>
    </row>
    <row r="237" customFormat="false" ht="15.75" hidden="false" customHeight="false" outlineLevel="0" collapsed="false">
      <c r="A237" s="196" t="s">
        <v>415</v>
      </c>
      <c r="B237" s="196" t="s">
        <v>1452</v>
      </c>
      <c r="C237" s="197" t="s">
        <v>1764</v>
      </c>
      <c r="D237" s="196" t="s">
        <v>1777</v>
      </c>
      <c r="E237" s="196"/>
      <c r="F237" s="196"/>
      <c r="G237" s="196"/>
      <c r="H237" s="196"/>
      <c r="I237" s="196"/>
      <c r="J237" s="196"/>
      <c r="K237" s="196"/>
      <c r="L237" s="112"/>
      <c r="M237" s="196"/>
      <c r="N237" s="112"/>
      <c r="O237" s="196"/>
      <c r="P237" s="196"/>
      <c r="Q237" s="200" t="s">
        <v>43</v>
      </c>
      <c r="R237" s="217" t="n">
        <v>44323</v>
      </c>
      <c r="S237" s="112"/>
      <c r="T237" s="204"/>
      <c r="U237" s="112"/>
      <c r="V237" s="112"/>
      <c r="W237" s="112"/>
      <c r="X237" s="112"/>
      <c r="Y237" s="112"/>
      <c r="Z237" s="112"/>
      <c r="AA237" s="204" t="s">
        <v>82</v>
      </c>
      <c r="AB237" s="204" t="n">
        <v>5</v>
      </c>
      <c r="AC237" s="204"/>
      <c r="AD237" s="204" t="n">
        <v>23.9914994</v>
      </c>
      <c r="AE237" s="204" t="n">
        <v>75.5583319</v>
      </c>
    </row>
    <row r="238" customFormat="false" ht="15.75" hidden="false" customHeight="false" outlineLevel="0" collapsed="false">
      <c r="A238" s="196" t="s">
        <v>415</v>
      </c>
      <c r="B238" s="196" t="s">
        <v>1452</v>
      </c>
      <c r="C238" s="197" t="s">
        <v>1779</v>
      </c>
      <c r="D238" s="198" t="s">
        <v>1780</v>
      </c>
      <c r="E238" s="196" t="s">
        <v>1781</v>
      </c>
      <c r="F238" s="196" t="n">
        <v>270.42</v>
      </c>
      <c r="G238" s="196" t="n">
        <v>168</v>
      </c>
      <c r="H238" s="196" t="n">
        <v>800</v>
      </c>
      <c r="I238" s="196" t="n">
        <v>403</v>
      </c>
      <c r="J238" s="196" t="n">
        <v>397</v>
      </c>
      <c r="K238" s="196" t="n">
        <v>162</v>
      </c>
      <c r="L238" s="112" t="n">
        <f aca="false">K238/H238*100</f>
        <v>20.25</v>
      </c>
      <c r="M238" s="196" t="n">
        <v>39</v>
      </c>
      <c r="N238" s="112" t="n">
        <f aca="false">M238/H238*100</f>
        <v>4.875</v>
      </c>
      <c r="O238" s="196" t="n">
        <v>29.1</v>
      </c>
      <c r="P238" s="196" t="n">
        <v>0</v>
      </c>
      <c r="Q238" s="199" t="s">
        <v>45</v>
      </c>
      <c r="R238" s="204" t="s">
        <v>57</v>
      </c>
      <c r="S238" s="112"/>
      <c r="T238" s="204" t="n">
        <v>15.7321</v>
      </c>
      <c r="U238" s="112"/>
      <c r="V238" s="112"/>
      <c r="W238" s="112"/>
      <c r="X238" s="112"/>
      <c r="Y238" s="112"/>
      <c r="Z238" s="112"/>
      <c r="AA238" s="204" t="s">
        <v>47</v>
      </c>
      <c r="AB238" s="204" t="n">
        <v>0</v>
      </c>
      <c r="AC238" s="204"/>
      <c r="AD238" s="204"/>
      <c r="AE238" s="204"/>
    </row>
    <row r="239" customFormat="false" ht="15.75" hidden="false" customHeight="false" outlineLevel="0" collapsed="false">
      <c r="A239" s="196" t="s">
        <v>415</v>
      </c>
      <c r="B239" s="196" t="s">
        <v>1452</v>
      </c>
      <c r="C239" s="197" t="s">
        <v>1779</v>
      </c>
      <c r="D239" s="196" t="s">
        <v>1782</v>
      </c>
      <c r="E239" s="196" t="s">
        <v>1783</v>
      </c>
      <c r="F239" s="196" t="n">
        <v>304.77</v>
      </c>
      <c r="G239" s="196" t="n">
        <v>139</v>
      </c>
      <c r="H239" s="196" t="n">
        <v>657</v>
      </c>
      <c r="I239" s="196" t="n">
        <v>311</v>
      </c>
      <c r="J239" s="196" t="n">
        <v>346</v>
      </c>
      <c r="K239" s="196" t="n">
        <v>383</v>
      </c>
      <c r="L239" s="112" t="n">
        <f aca="false">K239/H239*100</f>
        <v>58.2952815829528</v>
      </c>
      <c r="M239" s="196" t="n">
        <v>0</v>
      </c>
      <c r="N239" s="112" t="n">
        <f aca="false">M239/H239*100</f>
        <v>0</v>
      </c>
      <c r="O239" s="196" t="n">
        <v>31.17</v>
      </c>
      <c r="P239" s="196" t="n">
        <v>46.18</v>
      </c>
      <c r="Q239" s="199" t="s">
        <v>45</v>
      </c>
      <c r="R239" s="204" t="s">
        <v>57</v>
      </c>
      <c r="S239" s="112"/>
      <c r="T239" s="200" t="n">
        <v>10.623</v>
      </c>
      <c r="U239" s="112"/>
      <c r="V239" s="112"/>
      <c r="W239" s="112"/>
      <c r="X239" s="112"/>
      <c r="Y239" s="112"/>
      <c r="Z239" s="112"/>
      <c r="AA239" s="200" t="s">
        <v>47</v>
      </c>
      <c r="AB239" s="218" t="n">
        <v>0</v>
      </c>
      <c r="AC239" s="204"/>
      <c r="AD239" s="219"/>
      <c r="AE239" s="219"/>
    </row>
    <row r="240" customFormat="false" ht="15.75" hidden="false" customHeight="false" outlineLevel="0" collapsed="false">
      <c r="A240" s="196" t="s">
        <v>415</v>
      </c>
      <c r="B240" s="196" t="s">
        <v>1452</v>
      </c>
      <c r="C240" s="197" t="s">
        <v>1779</v>
      </c>
      <c r="D240" s="196" t="s">
        <v>1784</v>
      </c>
      <c r="E240" s="196" t="s">
        <v>1785</v>
      </c>
      <c r="F240" s="196" t="n">
        <v>322.54</v>
      </c>
      <c r="G240" s="196" t="n">
        <v>48</v>
      </c>
      <c r="H240" s="196" t="n">
        <v>240</v>
      </c>
      <c r="I240" s="196" t="n">
        <v>114</v>
      </c>
      <c r="J240" s="196" t="n">
        <v>126</v>
      </c>
      <c r="K240" s="196" t="n">
        <v>30</v>
      </c>
      <c r="L240" s="112" t="n">
        <f aca="false">K240/H240*100</f>
        <v>12.5</v>
      </c>
      <c r="M240" s="196" t="n">
        <v>0</v>
      </c>
      <c r="N240" s="112" t="n">
        <f aca="false">M240/H240*100</f>
        <v>0</v>
      </c>
      <c r="O240" s="196" t="n">
        <v>27.82</v>
      </c>
      <c r="P240" s="196" t="n">
        <v>63.7</v>
      </c>
      <c r="Q240" s="199" t="s">
        <v>45</v>
      </c>
      <c r="R240" s="204" t="s">
        <v>57</v>
      </c>
      <c r="S240" s="112"/>
      <c r="T240" s="200" t="n">
        <v>8.5743</v>
      </c>
      <c r="U240" s="112"/>
      <c r="V240" s="112"/>
      <c r="W240" s="112"/>
      <c r="X240" s="112"/>
      <c r="Y240" s="112"/>
      <c r="Z240" s="112"/>
      <c r="AA240" s="200" t="s">
        <v>47</v>
      </c>
      <c r="AB240" s="218" t="n">
        <v>0</v>
      </c>
      <c r="AC240" s="204"/>
      <c r="AD240" s="218"/>
      <c r="AE240" s="218"/>
    </row>
    <row r="241" customFormat="false" ht="15.75" hidden="false" customHeight="false" outlineLevel="0" collapsed="false">
      <c r="A241" s="196" t="s">
        <v>415</v>
      </c>
      <c r="B241" s="196" t="s">
        <v>1452</v>
      </c>
      <c r="C241" s="197" t="s">
        <v>1779</v>
      </c>
      <c r="D241" s="196" t="s">
        <v>1786</v>
      </c>
      <c r="E241" s="196" t="s">
        <v>1787</v>
      </c>
      <c r="F241" s="196" t="n">
        <v>213.55</v>
      </c>
      <c r="G241" s="196" t="n">
        <v>28</v>
      </c>
      <c r="H241" s="196" t="n">
        <v>128</v>
      </c>
      <c r="I241" s="196" t="n">
        <v>67</v>
      </c>
      <c r="J241" s="196" t="n">
        <v>61</v>
      </c>
      <c r="K241" s="196" t="n">
        <v>35</v>
      </c>
      <c r="L241" s="112" t="n">
        <f aca="false">K241/H241*100</f>
        <v>27.34375</v>
      </c>
      <c r="M241" s="196" t="n">
        <v>0</v>
      </c>
      <c r="N241" s="112" t="n">
        <f aca="false">M241/H241*100</f>
        <v>0</v>
      </c>
      <c r="O241" s="196" t="n">
        <v>15.95</v>
      </c>
      <c r="P241" s="196" t="n">
        <v>57.09</v>
      </c>
      <c r="Q241" s="199" t="s">
        <v>45</v>
      </c>
      <c r="R241" s="204" t="s">
        <v>57</v>
      </c>
      <c r="S241" s="112"/>
      <c r="T241" s="204" t="n">
        <v>9.8768</v>
      </c>
      <c r="U241" s="112"/>
      <c r="V241" s="112"/>
      <c r="W241" s="112"/>
      <c r="X241" s="112"/>
      <c r="Y241" s="112"/>
      <c r="Z241" s="112"/>
      <c r="AA241" s="204" t="s">
        <v>47</v>
      </c>
      <c r="AB241" s="204" t="n">
        <v>0</v>
      </c>
      <c r="AC241" s="204"/>
      <c r="AD241" s="204"/>
      <c r="AE241" s="204"/>
    </row>
    <row r="242" customFormat="false" ht="15.75" hidden="false" customHeight="false" outlineLevel="0" collapsed="false">
      <c r="A242" s="196" t="s">
        <v>415</v>
      </c>
      <c r="B242" s="196" t="s">
        <v>1452</v>
      </c>
      <c r="C242" s="197" t="s">
        <v>1779</v>
      </c>
      <c r="D242" s="196" t="s">
        <v>1788</v>
      </c>
      <c r="E242" s="196" t="s">
        <v>1789</v>
      </c>
      <c r="F242" s="196" t="n">
        <v>398.2</v>
      </c>
      <c r="G242" s="196" t="n">
        <v>67</v>
      </c>
      <c r="H242" s="196" t="n">
        <v>326</v>
      </c>
      <c r="I242" s="196" t="n">
        <v>173</v>
      </c>
      <c r="J242" s="196" t="n">
        <v>153</v>
      </c>
      <c r="K242" s="196" t="n">
        <v>0</v>
      </c>
      <c r="L242" s="112" t="n">
        <f aca="false">K242/H242*100</f>
        <v>0</v>
      </c>
      <c r="M242" s="196" t="n">
        <v>0</v>
      </c>
      <c r="N242" s="112" t="n">
        <f aca="false">M242/H242*100</f>
        <v>0</v>
      </c>
      <c r="O242" s="196" t="n">
        <v>37.25</v>
      </c>
      <c r="P242" s="196" t="n">
        <v>129.09</v>
      </c>
      <c r="Q242" s="199" t="s">
        <v>45</v>
      </c>
      <c r="R242" s="204" t="s">
        <v>57</v>
      </c>
      <c r="S242" s="112"/>
      <c r="T242" s="200" t="n">
        <v>14.3284</v>
      </c>
      <c r="U242" s="112"/>
      <c r="V242" s="112"/>
      <c r="W242" s="112"/>
      <c r="X242" s="112"/>
      <c r="Y242" s="112"/>
      <c r="Z242" s="112"/>
      <c r="AA242" s="200" t="s">
        <v>47</v>
      </c>
      <c r="AB242" s="204" t="n">
        <v>0</v>
      </c>
      <c r="AC242" s="204"/>
      <c r="AD242" s="204"/>
      <c r="AE242" s="204"/>
    </row>
    <row r="243" customFormat="false" ht="15.75" hidden="false" customHeight="false" outlineLevel="0" collapsed="false">
      <c r="A243" s="196" t="s">
        <v>415</v>
      </c>
      <c r="B243" s="196" t="s">
        <v>1452</v>
      </c>
      <c r="C243" s="197" t="s">
        <v>1779</v>
      </c>
      <c r="D243" s="196" t="s">
        <v>1790</v>
      </c>
      <c r="E243" s="196" t="s">
        <v>1791</v>
      </c>
      <c r="F243" s="196" t="n">
        <v>340.91</v>
      </c>
      <c r="G243" s="196" t="n">
        <v>131</v>
      </c>
      <c r="H243" s="196" t="n">
        <v>611</v>
      </c>
      <c r="I243" s="196" t="n">
        <v>335</v>
      </c>
      <c r="J243" s="196" t="n">
        <v>276</v>
      </c>
      <c r="K243" s="196" t="n">
        <v>193</v>
      </c>
      <c r="L243" s="112" t="n">
        <f aca="false">K243/H243*100</f>
        <v>31.5875613747954</v>
      </c>
      <c r="M243" s="196" t="n">
        <v>0</v>
      </c>
      <c r="N243" s="112" t="n">
        <f aca="false">M243/H243*100</f>
        <v>0</v>
      </c>
      <c r="O243" s="196" t="n">
        <v>56.73</v>
      </c>
      <c r="P243" s="196" t="n">
        <v>18.52</v>
      </c>
      <c r="Q243" s="199" t="s">
        <v>45</v>
      </c>
      <c r="R243" s="204" t="s">
        <v>57</v>
      </c>
      <c r="S243" s="112"/>
      <c r="T243" s="220" t="n">
        <v>27.8853</v>
      </c>
      <c r="U243" s="112"/>
      <c r="V243" s="112"/>
      <c r="W243" s="112"/>
      <c r="X243" s="112"/>
      <c r="Y243" s="112"/>
      <c r="Z243" s="112"/>
      <c r="AA243" s="200" t="s">
        <v>47</v>
      </c>
      <c r="AB243" s="218" t="n">
        <v>0</v>
      </c>
      <c r="AC243" s="204"/>
      <c r="AD243" s="218"/>
      <c r="AE243" s="218"/>
    </row>
    <row r="244" customFormat="false" ht="15.75" hidden="false" customHeight="false" outlineLevel="0" collapsed="false">
      <c r="A244" s="196" t="s">
        <v>415</v>
      </c>
      <c r="B244" s="196" t="s">
        <v>1452</v>
      </c>
      <c r="C244" s="197" t="s">
        <v>1779</v>
      </c>
      <c r="D244" s="196" t="s">
        <v>1792</v>
      </c>
      <c r="E244" s="196" t="s">
        <v>1793</v>
      </c>
      <c r="F244" s="196" t="n">
        <v>294.01</v>
      </c>
      <c r="G244" s="196" t="n">
        <v>97</v>
      </c>
      <c r="H244" s="196" t="n">
        <v>413</v>
      </c>
      <c r="I244" s="196" t="n">
        <v>217</v>
      </c>
      <c r="J244" s="196" t="n">
        <v>196</v>
      </c>
      <c r="K244" s="196" t="n">
        <v>170</v>
      </c>
      <c r="L244" s="112" t="n">
        <f aca="false">K244/H244*100</f>
        <v>41.1622276029056</v>
      </c>
      <c r="M244" s="196" t="n">
        <v>20</v>
      </c>
      <c r="N244" s="112" t="n">
        <f aca="false">M244/H244*100</f>
        <v>4.84261501210654</v>
      </c>
      <c r="O244" s="196" t="n">
        <v>33.18</v>
      </c>
      <c r="P244" s="196" t="n">
        <v>36.45</v>
      </c>
      <c r="Q244" s="199" t="s">
        <v>45</v>
      </c>
      <c r="R244" s="204" t="s">
        <v>57</v>
      </c>
      <c r="S244" s="112"/>
      <c r="T244" s="220" t="n">
        <v>9.7251</v>
      </c>
      <c r="U244" s="112"/>
      <c r="V244" s="112"/>
      <c r="W244" s="112"/>
      <c r="X244" s="112"/>
      <c r="Y244" s="112"/>
      <c r="Z244" s="112"/>
      <c r="AA244" s="200" t="s">
        <v>47</v>
      </c>
      <c r="AB244" s="218" t="n">
        <v>0</v>
      </c>
      <c r="AC244" s="204"/>
      <c r="AD244" s="218"/>
      <c r="AE244" s="218"/>
    </row>
    <row r="245" customFormat="false" ht="15.75" hidden="false" customHeight="false" outlineLevel="0" collapsed="false">
      <c r="A245" s="196" t="s">
        <v>415</v>
      </c>
      <c r="B245" s="196" t="s">
        <v>1452</v>
      </c>
      <c r="C245" s="197" t="s">
        <v>1779</v>
      </c>
      <c r="D245" s="196" t="s">
        <v>1794</v>
      </c>
      <c r="E245" s="196" t="s">
        <v>1795</v>
      </c>
      <c r="F245" s="196" t="n">
        <v>280.83</v>
      </c>
      <c r="G245" s="196" t="n">
        <v>93</v>
      </c>
      <c r="H245" s="196" t="n">
        <v>388</v>
      </c>
      <c r="I245" s="196" t="n">
        <v>205</v>
      </c>
      <c r="J245" s="196" t="n">
        <v>183</v>
      </c>
      <c r="K245" s="196" t="n">
        <v>175</v>
      </c>
      <c r="L245" s="112" t="n">
        <f aca="false">K245/H245*100</f>
        <v>45.1030927835052</v>
      </c>
      <c r="M245" s="196" t="n">
        <v>1</v>
      </c>
      <c r="N245" s="112" t="n">
        <f aca="false">M245/H245*100</f>
        <v>0.257731958762887</v>
      </c>
      <c r="O245" s="196" t="n">
        <v>16.56</v>
      </c>
      <c r="P245" s="196" t="n">
        <v>77.31</v>
      </c>
      <c r="Q245" s="199" t="s">
        <v>45</v>
      </c>
      <c r="R245" s="204" t="s">
        <v>57</v>
      </c>
      <c r="S245" s="112"/>
      <c r="T245" s="200" t="n">
        <v>8.9157</v>
      </c>
      <c r="U245" s="112"/>
      <c r="V245" s="112"/>
      <c r="W245" s="112"/>
      <c r="X245" s="112"/>
      <c r="Y245" s="112"/>
      <c r="Z245" s="112"/>
      <c r="AA245" s="200" t="s">
        <v>47</v>
      </c>
      <c r="AB245" s="204" t="n">
        <v>0</v>
      </c>
      <c r="AC245" s="204"/>
      <c r="AD245" s="204"/>
      <c r="AE245" s="204"/>
    </row>
    <row r="246" customFormat="false" ht="15.75" hidden="false" customHeight="false" outlineLevel="0" collapsed="false">
      <c r="A246" s="196" t="s">
        <v>415</v>
      </c>
      <c r="B246" s="196" t="s">
        <v>1452</v>
      </c>
      <c r="C246" s="197" t="s">
        <v>1779</v>
      </c>
      <c r="D246" s="196" t="s">
        <v>1796</v>
      </c>
      <c r="E246" s="196" t="s">
        <v>1797</v>
      </c>
      <c r="F246" s="196" t="n">
        <v>642.67</v>
      </c>
      <c r="G246" s="196" t="n">
        <v>157</v>
      </c>
      <c r="H246" s="196" t="n">
        <v>755</v>
      </c>
      <c r="I246" s="196" t="n">
        <v>390</v>
      </c>
      <c r="J246" s="196" t="n">
        <v>365</v>
      </c>
      <c r="K246" s="196" t="n">
        <v>31</v>
      </c>
      <c r="L246" s="112" t="n">
        <f aca="false">K246/H246*100</f>
        <v>4.10596026490066</v>
      </c>
      <c r="M246" s="196" t="n">
        <v>0</v>
      </c>
      <c r="N246" s="112" t="n">
        <f aca="false">M246/H246*100</f>
        <v>0</v>
      </c>
      <c r="O246" s="196" t="n">
        <v>71.48</v>
      </c>
      <c r="P246" s="196" t="n">
        <v>31.42</v>
      </c>
      <c r="Q246" s="199" t="s">
        <v>45</v>
      </c>
      <c r="R246" s="204" t="s">
        <v>57</v>
      </c>
      <c r="S246" s="112"/>
      <c r="T246" s="200" t="n">
        <v>17.2118</v>
      </c>
      <c r="U246" s="112"/>
      <c r="V246" s="112"/>
      <c r="W246" s="112"/>
      <c r="X246" s="112"/>
      <c r="Y246" s="112"/>
      <c r="Z246" s="112"/>
      <c r="AA246" s="200" t="s">
        <v>47</v>
      </c>
      <c r="AB246" s="200" t="n">
        <v>0</v>
      </c>
      <c r="AC246" s="204"/>
      <c r="AD246" s="200"/>
      <c r="AE246" s="200"/>
    </row>
    <row r="247" customFormat="false" ht="15.75" hidden="false" customHeight="false" outlineLevel="0" collapsed="false">
      <c r="A247" s="196" t="s">
        <v>415</v>
      </c>
      <c r="B247" s="196" t="s">
        <v>1452</v>
      </c>
      <c r="C247" s="197" t="s">
        <v>1779</v>
      </c>
      <c r="D247" s="196" t="s">
        <v>1798</v>
      </c>
      <c r="E247" s="196" t="s">
        <v>1799</v>
      </c>
      <c r="F247" s="196" t="n">
        <v>217.82</v>
      </c>
      <c r="G247" s="196" t="n">
        <v>89</v>
      </c>
      <c r="H247" s="196" t="n">
        <v>398</v>
      </c>
      <c r="I247" s="196" t="n">
        <v>192</v>
      </c>
      <c r="J247" s="196" t="n">
        <v>206</v>
      </c>
      <c r="K247" s="196" t="n">
        <v>71</v>
      </c>
      <c r="L247" s="112" t="n">
        <f aca="false">K247/H247*100</f>
        <v>17.8391959798995</v>
      </c>
      <c r="M247" s="196" t="n">
        <v>3</v>
      </c>
      <c r="N247" s="112" t="n">
        <f aca="false">M247/H247*100</f>
        <v>0.753768844221105</v>
      </c>
      <c r="O247" s="196" t="n">
        <v>21.9</v>
      </c>
      <c r="P247" s="196" t="n">
        <v>0</v>
      </c>
      <c r="Q247" s="199" t="s">
        <v>45</v>
      </c>
      <c r="R247" s="204" t="s">
        <v>57</v>
      </c>
      <c r="S247" s="112"/>
      <c r="T247" s="200" t="n">
        <v>8.4731</v>
      </c>
      <c r="U247" s="112"/>
      <c r="V247" s="112"/>
      <c r="W247" s="112"/>
      <c r="X247" s="112"/>
      <c r="Y247" s="112"/>
      <c r="Z247" s="112"/>
      <c r="AA247" s="200" t="s">
        <v>47</v>
      </c>
      <c r="AB247" s="200" t="n">
        <v>0</v>
      </c>
      <c r="AC247" s="204"/>
      <c r="AD247" s="200"/>
      <c r="AE247" s="200"/>
    </row>
    <row r="248" customFormat="false" ht="15.75" hidden="false" customHeight="false" outlineLevel="0" collapsed="false">
      <c r="A248" s="196" t="s">
        <v>415</v>
      </c>
      <c r="B248" s="196" t="s">
        <v>1452</v>
      </c>
      <c r="C248" s="197" t="s">
        <v>1800</v>
      </c>
      <c r="D248" s="198" t="s">
        <v>1801</v>
      </c>
      <c r="E248" s="196" t="s">
        <v>1802</v>
      </c>
      <c r="F248" s="196" t="n">
        <v>794.57</v>
      </c>
      <c r="G248" s="196" t="n">
        <v>333</v>
      </c>
      <c r="H248" s="196" t="n">
        <v>1637</v>
      </c>
      <c r="I248" s="196" t="n">
        <v>821</v>
      </c>
      <c r="J248" s="196" t="n">
        <v>816</v>
      </c>
      <c r="K248" s="196" t="n">
        <v>288</v>
      </c>
      <c r="L248" s="112" t="n">
        <f aca="false">K248/H248*100</f>
        <v>17.5931582162492</v>
      </c>
      <c r="M248" s="196" t="n">
        <v>6</v>
      </c>
      <c r="N248" s="112" t="n">
        <f aca="false">M248/H248*100</f>
        <v>0.366524129505192</v>
      </c>
      <c r="O248" s="196" t="n">
        <v>88.55</v>
      </c>
      <c r="P248" s="196" t="n">
        <v>70.62</v>
      </c>
      <c r="Q248" s="200" t="s">
        <v>82</v>
      </c>
      <c r="R248" s="205" t="n">
        <v>44693</v>
      </c>
      <c r="S248" s="112"/>
      <c r="T248" s="200" t="n">
        <v>79</v>
      </c>
      <c r="U248" s="112"/>
      <c r="V248" s="112"/>
      <c r="W248" s="112"/>
      <c r="X248" s="112"/>
      <c r="Y248" s="112"/>
      <c r="Z248" s="112"/>
      <c r="AA248" s="200" t="s">
        <v>82</v>
      </c>
      <c r="AB248" s="200" t="n">
        <v>9</v>
      </c>
      <c r="AC248" s="204"/>
      <c r="AD248" s="200" t="n">
        <v>23.94943</v>
      </c>
      <c r="AE248" s="200" t="n">
        <v>75.688804</v>
      </c>
    </row>
    <row r="249" customFormat="false" ht="15.75" hidden="false" customHeight="false" outlineLevel="0" collapsed="false">
      <c r="A249" s="196" t="s">
        <v>415</v>
      </c>
      <c r="B249" s="196" t="s">
        <v>1452</v>
      </c>
      <c r="C249" s="197" t="s">
        <v>1800</v>
      </c>
      <c r="D249" s="198" t="s">
        <v>1801</v>
      </c>
      <c r="E249" s="196"/>
      <c r="F249" s="196"/>
      <c r="G249" s="196"/>
      <c r="H249" s="196"/>
      <c r="I249" s="196"/>
      <c r="J249" s="196"/>
      <c r="K249" s="196"/>
      <c r="L249" s="112"/>
      <c r="M249" s="196"/>
      <c r="N249" s="112"/>
      <c r="O249" s="196"/>
      <c r="P249" s="196"/>
      <c r="Q249" s="200" t="s">
        <v>82</v>
      </c>
      <c r="R249" s="205" t="n">
        <v>44693</v>
      </c>
      <c r="S249" s="112"/>
      <c r="T249" s="200"/>
      <c r="U249" s="112"/>
      <c r="V249" s="112"/>
      <c r="W249" s="112"/>
      <c r="X249" s="112"/>
      <c r="Y249" s="112"/>
      <c r="Z249" s="112"/>
      <c r="AA249" s="200" t="s">
        <v>82</v>
      </c>
      <c r="AB249" s="200" t="n">
        <v>2</v>
      </c>
      <c r="AC249" s="204"/>
      <c r="AD249" s="200" t="n">
        <v>23.95393</v>
      </c>
      <c r="AE249" s="200" t="n">
        <v>75.68349</v>
      </c>
    </row>
    <row r="250" customFormat="false" ht="15.75" hidden="false" customHeight="false" outlineLevel="0" collapsed="false">
      <c r="A250" s="196" t="s">
        <v>415</v>
      </c>
      <c r="B250" s="196" t="s">
        <v>1452</v>
      </c>
      <c r="C250" s="197" t="s">
        <v>1800</v>
      </c>
      <c r="D250" s="198" t="s">
        <v>1801</v>
      </c>
      <c r="E250" s="196"/>
      <c r="F250" s="196"/>
      <c r="G250" s="196"/>
      <c r="H250" s="196"/>
      <c r="I250" s="196"/>
      <c r="J250" s="196"/>
      <c r="K250" s="196"/>
      <c r="L250" s="112"/>
      <c r="M250" s="196"/>
      <c r="N250" s="112"/>
      <c r="O250" s="196"/>
      <c r="P250" s="196"/>
      <c r="Q250" s="200" t="s">
        <v>82</v>
      </c>
      <c r="R250" s="205" t="n">
        <v>44693</v>
      </c>
      <c r="S250" s="112"/>
      <c r="T250" s="200"/>
      <c r="U250" s="112"/>
      <c r="V250" s="112"/>
      <c r="W250" s="112"/>
      <c r="X250" s="112"/>
      <c r="Y250" s="112"/>
      <c r="Z250" s="112"/>
      <c r="AA250" s="200" t="s">
        <v>82</v>
      </c>
      <c r="AB250" s="200" t="n">
        <v>2</v>
      </c>
      <c r="AC250" s="204"/>
      <c r="AD250" s="200" t="n">
        <v>23.95393</v>
      </c>
      <c r="AE250" s="200" t="n">
        <v>75.68349</v>
      </c>
    </row>
    <row r="251" customFormat="false" ht="15.75" hidden="false" customHeight="false" outlineLevel="0" collapsed="false">
      <c r="A251" s="196" t="s">
        <v>415</v>
      </c>
      <c r="B251" s="196" t="s">
        <v>1452</v>
      </c>
      <c r="C251" s="197" t="s">
        <v>1800</v>
      </c>
      <c r="D251" s="198" t="s">
        <v>1801</v>
      </c>
      <c r="E251" s="196"/>
      <c r="F251" s="196"/>
      <c r="G251" s="196"/>
      <c r="H251" s="196"/>
      <c r="I251" s="196"/>
      <c r="J251" s="196"/>
      <c r="K251" s="196"/>
      <c r="L251" s="112"/>
      <c r="M251" s="196"/>
      <c r="N251" s="112"/>
      <c r="O251" s="196"/>
      <c r="P251" s="196"/>
      <c r="Q251" s="200" t="s">
        <v>82</v>
      </c>
      <c r="R251" s="205" t="n">
        <v>44693</v>
      </c>
      <c r="S251" s="112"/>
      <c r="T251" s="200"/>
      <c r="U251" s="112"/>
      <c r="V251" s="112"/>
      <c r="W251" s="112"/>
      <c r="X251" s="112"/>
      <c r="Y251" s="112"/>
      <c r="Z251" s="112"/>
      <c r="AA251" s="200" t="s">
        <v>82</v>
      </c>
      <c r="AB251" s="200" t="n">
        <v>2.8</v>
      </c>
      <c r="AC251" s="204"/>
      <c r="AD251" s="200" t="n">
        <v>23.95526</v>
      </c>
      <c r="AE251" s="200" t="n">
        <v>75.68104</v>
      </c>
    </row>
    <row r="252" customFormat="false" ht="15.75" hidden="false" customHeight="false" outlineLevel="0" collapsed="false">
      <c r="A252" s="196" t="s">
        <v>415</v>
      </c>
      <c r="B252" s="196" t="s">
        <v>1452</v>
      </c>
      <c r="C252" s="197" t="s">
        <v>1800</v>
      </c>
      <c r="D252" s="198" t="s">
        <v>1801</v>
      </c>
      <c r="E252" s="196"/>
      <c r="F252" s="196"/>
      <c r="G252" s="196"/>
      <c r="H252" s="196"/>
      <c r="I252" s="196"/>
      <c r="J252" s="196"/>
      <c r="K252" s="196"/>
      <c r="L252" s="112"/>
      <c r="M252" s="196"/>
      <c r="N252" s="112"/>
      <c r="O252" s="196"/>
      <c r="P252" s="196"/>
      <c r="Q252" s="200" t="s">
        <v>43</v>
      </c>
      <c r="R252" s="221" t="n">
        <v>44693</v>
      </c>
      <c r="S252" s="112"/>
      <c r="T252" s="213"/>
      <c r="U252" s="112"/>
      <c r="V252" s="112"/>
      <c r="W252" s="112"/>
      <c r="X252" s="112"/>
      <c r="Y252" s="112"/>
      <c r="Z252" s="112"/>
      <c r="AA252" s="213" t="s">
        <v>82</v>
      </c>
      <c r="AB252" s="213" t="n">
        <v>7</v>
      </c>
      <c r="AC252" s="204"/>
      <c r="AD252" s="214" t="n">
        <v>23.96549</v>
      </c>
      <c r="AE252" s="214" t="n">
        <v>75.70055</v>
      </c>
    </row>
    <row r="253" customFormat="false" ht="15.75" hidden="false" customHeight="false" outlineLevel="0" collapsed="false">
      <c r="A253" s="196" t="s">
        <v>415</v>
      </c>
      <c r="B253" s="196" t="s">
        <v>1452</v>
      </c>
      <c r="C253" s="197" t="s">
        <v>1800</v>
      </c>
      <c r="D253" s="198" t="s">
        <v>1801</v>
      </c>
      <c r="E253" s="196"/>
      <c r="F253" s="196"/>
      <c r="G253" s="196"/>
      <c r="H253" s="196"/>
      <c r="I253" s="196"/>
      <c r="J253" s="196"/>
      <c r="K253" s="196"/>
      <c r="L253" s="112"/>
      <c r="M253" s="196"/>
      <c r="N253" s="112"/>
      <c r="O253" s="196"/>
      <c r="P253" s="196"/>
      <c r="Q253" s="200" t="s">
        <v>43</v>
      </c>
      <c r="R253" s="221" t="n">
        <v>44693</v>
      </c>
      <c r="S253" s="112"/>
      <c r="T253" s="213"/>
      <c r="U253" s="112"/>
      <c r="V253" s="112"/>
      <c r="W253" s="112"/>
      <c r="X253" s="112"/>
      <c r="Y253" s="112"/>
      <c r="Z253" s="112"/>
      <c r="AA253" s="213" t="s">
        <v>82</v>
      </c>
      <c r="AB253" s="213" t="n">
        <v>2.8</v>
      </c>
      <c r="AC253" s="204"/>
      <c r="AD253" s="214" t="n">
        <v>23.96493</v>
      </c>
      <c r="AE253" s="214" t="n">
        <v>75.69184</v>
      </c>
    </row>
    <row r="254" customFormat="false" ht="15.75" hidden="false" customHeight="false" outlineLevel="0" collapsed="false">
      <c r="A254" s="196" t="s">
        <v>415</v>
      </c>
      <c r="B254" s="196" t="s">
        <v>1452</v>
      </c>
      <c r="C254" s="197" t="s">
        <v>1800</v>
      </c>
      <c r="D254" s="198" t="s">
        <v>1801</v>
      </c>
      <c r="E254" s="196"/>
      <c r="F254" s="196"/>
      <c r="G254" s="196"/>
      <c r="H254" s="196"/>
      <c r="I254" s="196"/>
      <c r="J254" s="196"/>
      <c r="K254" s="196"/>
      <c r="L254" s="112"/>
      <c r="M254" s="196"/>
      <c r="N254" s="112"/>
      <c r="O254" s="196"/>
      <c r="P254" s="196"/>
      <c r="Q254" s="200" t="s">
        <v>43</v>
      </c>
      <c r="R254" s="221" t="n">
        <v>44693</v>
      </c>
      <c r="S254" s="112"/>
      <c r="T254" s="213"/>
      <c r="U254" s="112"/>
      <c r="V254" s="112"/>
      <c r="W254" s="112"/>
      <c r="X254" s="112"/>
      <c r="Y254" s="112"/>
      <c r="Z254" s="112"/>
      <c r="AA254" s="213" t="s">
        <v>82</v>
      </c>
      <c r="AB254" s="213" t="n">
        <v>12</v>
      </c>
      <c r="AC254" s="204"/>
      <c r="AD254" s="214" t="n">
        <v>23.96372</v>
      </c>
      <c r="AE254" s="214" t="n">
        <v>75.69189</v>
      </c>
    </row>
    <row r="255" customFormat="false" ht="15.75" hidden="false" customHeight="false" outlineLevel="0" collapsed="false">
      <c r="A255" s="196" t="s">
        <v>415</v>
      </c>
      <c r="B255" s="196" t="s">
        <v>1452</v>
      </c>
      <c r="C255" s="197" t="s">
        <v>1800</v>
      </c>
      <c r="D255" s="198" t="s">
        <v>1801</v>
      </c>
      <c r="E255" s="196"/>
      <c r="F255" s="196"/>
      <c r="G255" s="196"/>
      <c r="H255" s="196"/>
      <c r="I255" s="196"/>
      <c r="J255" s="196"/>
      <c r="K255" s="196"/>
      <c r="L255" s="112"/>
      <c r="M255" s="196"/>
      <c r="N255" s="112"/>
      <c r="O255" s="196"/>
      <c r="P255" s="196"/>
      <c r="Q255" s="200" t="s">
        <v>43</v>
      </c>
      <c r="R255" s="221" t="n">
        <v>44693</v>
      </c>
      <c r="S255" s="112"/>
      <c r="T255" s="200"/>
      <c r="U255" s="112"/>
      <c r="V255" s="112"/>
      <c r="W255" s="112"/>
      <c r="X255" s="112"/>
      <c r="Y255" s="112"/>
      <c r="Z255" s="112"/>
      <c r="AA255" s="200" t="s">
        <v>82</v>
      </c>
      <c r="AB255" s="200" t="n">
        <v>8</v>
      </c>
      <c r="AC255" s="204"/>
      <c r="AD255" s="200" t="n">
        <v>23.96318</v>
      </c>
      <c r="AE255" s="200" t="n">
        <v>75.70118</v>
      </c>
    </row>
    <row r="256" customFormat="false" ht="15.75" hidden="false" customHeight="false" outlineLevel="0" collapsed="false">
      <c r="A256" s="196" t="s">
        <v>415</v>
      </c>
      <c r="B256" s="196" t="s">
        <v>1452</v>
      </c>
      <c r="C256" s="197" t="s">
        <v>1800</v>
      </c>
      <c r="D256" s="198" t="s">
        <v>1801</v>
      </c>
      <c r="E256" s="196"/>
      <c r="F256" s="196"/>
      <c r="G256" s="196"/>
      <c r="H256" s="196"/>
      <c r="I256" s="196"/>
      <c r="J256" s="196"/>
      <c r="K256" s="196"/>
      <c r="L256" s="112"/>
      <c r="M256" s="196"/>
      <c r="N256" s="112"/>
      <c r="O256" s="196"/>
      <c r="P256" s="196"/>
      <c r="Q256" s="200" t="s">
        <v>43</v>
      </c>
      <c r="R256" s="221" t="n">
        <v>44693</v>
      </c>
      <c r="S256" s="112"/>
      <c r="T256" s="213"/>
      <c r="U256" s="112"/>
      <c r="V256" s="112"/>
      <c r="W256" s="112"/>
      <c r="X256" s="112"/>
      <c r="Y256" s="112"/>
      <c r="Z256" s="112"/>
      <c r="AA256" s="213" t="s">
        <v>82</v>
      </c>
      <c r="AB256" s="213" t="n">
        <v>4.8</v>
      </c>
      <c r="AC256" s="204"/>
      <c r="AD256" s="214" t="n">
        <v>23.95322</v>
      </c>
      <c r="AE256" s="214" t="n">
        <v>75.67774</v>
      </c>
    </row>
    <row r="257" customFormat="false" ht="15.75" hidden="false" customHeight="false" outlineLevel="0" collapsed="false">
      <c r="A257" s="196" t="s">
        <v>415</v>
      </c>
      <c r="B257" s="196" t="s">
        <v>1452</v>
      </c>
      <c r="C257" s="197" t="s">
        <v>1800</v>
      </c>
      <c r="D257" s="198" t="s">
        <v>1801</v>
      </c>
      <c r="E257" s="196"/>
      <c r="F257" s="196"/>
      <c r="G257" s="196"/>
      <c r="H257" s="196"/>
      <c r="I257" s="196"/>
      <c r="J257" s="196"/>
      <c r="K257" s="196"/>
      <c r="L257" s="112"/>
      <c r="M257" s="196"/>
      <c r="N257" s="112"/>
      <c r="O257" s="196"/>
      <c r="P257" s="196"/>
      <c r="Q257" s="200" t="s">
        <v>43</v>
      </c>
      <c r="R257" s="205" t="n">
        <v>44693</v>
      </c>
      <c r="S257" s="112"/>
      <c r="T257" s="200"/>
      <c r="U257" s="112"/>
      <c r="V257" s="112"/>
      <c r="W257" s="112"/>
      <c r="X257" s="112"/>
      <c r="Y257" s="112"/>
      <c r="Z257" s="112"/>
      <c r="AA257" s="200" t="s">
        <v>82</v>
      </c>
      <c r="AB257" s="200" t="n">
        <v>2.8</v>
      </c>
      <c r="AC257" s="204"/>
      <c r="AD257" s="200" t="n">
        <v>23.96544</v>
      </c>
      <c r="AE257" s="200" t="n">
        <v>75.69495</v>
      </c>
    </row>
    <row r="258" customFormat="false" ht="15.75" hidden="false" customHeight="false" outlineLevel="0" collapsed="false">
      <c r="A258" s="196" t="s">
        <v>415</v>
      </c>
      <c r="B258" s="196" t="s">
        <v>1452</v>
      </c>
      <c r="C258" s="197" t="s">
        <v>1800</v>
      </c>
      <c r="D258" s="198" t="s">
        <v>1801</v>
      </c>
      <c r="E258" s="196"/>
      <c r="F258" s="196"/>
      <c r="G258" s="196"/>
      <c r="H258" s="196"/>
      <c r="I258" s="196"/>
      <c r="J258" s="196"/>
      <c r="K258" s="196"/>
      <c r="L258" s="112"/>
      <c r="M258" s="196"/>
      <c r="N258" s="112"/>
      <c r="O258" s="196"/>
      <c r="P258" s="196"/>
      <c r="Q258" s="200" t="s">
        <v>43</v>
      </c>
      <c r="R258" s="205" t="n">
        <v>44693</v>
      </c>
      <c r="S258" s="112"/>
      <c r="T258" s="200"/>
      <c r="U258" s="112"/>
      <c r="V258" s="112"/>
      <c r="W258" s="112"/>
      <c r="X258" s="112"/>
      <c r="Y258" s="112"/>
      <c r="Z258" s="112"/>
      <c r="AA258" s="200" t="s">
        <v>82</v>
      </c>
      <c r="AB258" s="200" t="n">
        <v>8</v>
      </c>
      <c r="AC258" s="204"/>
      <c r="AD258" s="200" t="n">
        <v>23.9651</v>
      </c>
      <c r="AE258" s="200" t="n">
        <v>75.69538</v>
      </c>
    </row>
    <row r="259" customFormat="false" ht="15.75" hidden="false" customHeight="false" outlineLevel="0" collapsed="false">
      <c r="A259" s="196" t="s">
        <v>415</v>
      </c>
      <c r="B259" s="196" t="s">
        <v>1452</v>
      </c>
      <c r="C259" s="197" t="s">
        <v>1800</v>
      </c>
      <c r="D259" s="198" t="s">
        <v>1801</v>
      </c>
      <c r="E259" s="196"/>
      <c r="F259" s="196"/>
      <c r="G259" s="196"/>
      <c r="H259" s="196"/>
      <c r="I259" s="196"/>
      <c r="J259" s="196"/>
      <c r="K259" s="196"/>
      <c r="L259" s="112"/>
      <c r="M259" s="196"/>
      <c r="N259" s="112"/>
      <c r="O259" s="196"/>
      <c r="P259" s="196"/>
      <c r="Q259" s="200" t="s">
        <v>43</v>
      </c>
      <c r="R259" s="205" t="n">
        <v>44693</v>
      </c>
      <c r="S259" s="112"/>
      <c r="T259" s="200"/>
      <c r="U259" s="112"/>
      <c r="V259" s="112"/>
      <c r="W259" s="112"/>
      <c r="X259" s="112"/>
      <c r="Y259" s="112"/>
      <c r="Z259" s="112"/>
      <c r="AA259" s="200" t="s">
        <v>82</v>
      </c>
      <c r="AB259" s="200" t="n">
        <v>5.6</v>
      </c>
      <c r="AC259" s="204"/>
      <c r="AD259" s="200" t="n">
        <v>23.96656</v>
      </c>
      <c r="AE259" s="200" t="n">
        <v>75.69141</v>
      </c>
    </row>
    <row r="260" customFormat="false" ht="15.75" hidden="false" customHeight="false" outlineLevel="0" collapsed="false">
      <c r="A260" s="196" t="s">
        <v>415</v>
      </c>
      <c r="B260" s="196" t="s">
        <v>1452</v>
      </c>
      <c r="C260" s="197" t="s">
        <v>1800</v>
      </c>
      <c r="D260" s="198" t="s">
        <v>1801</v>
      </c>
      <c r="E260" s="196"/>
      <c r="F260" s="196"/>
      <c r="G260" s="196"/>
      <c r="H260" s="196"/>
      <c r="I260" s="196"/>
      <c r="J260" s="196"/>
      <c r="K260" s="196"/>
      <c r="L260" s="112"/>
      <c r="M260" s="196"/>
      <c r="N260" s="112"/>
      <c r="O260" s="196"/>
      <c r="P260" s="196"/>
      <c r="Q260" s="200" t="s">
        <v>43</v>
      </c>
      <c r="R260" s="205" t="s">
        <v>1803</v>
      </c>
      <c r="S260" s="112"/>
      <c r="T260" s="200"/>
      <c r="U260" s="112"/>
      <c r="V260" s="112"/>
      <c r="W260" s="112"/>
      <c r="X260" s="112"/>
      <c r="Y260" s="112"/>
      <c r="Z260" s="112"/>
      <c r="AA260" s="200" t="s">
        <v>82</v>
      </c>
      <c r="AB260" s="200" t="n">
        <v>10</v>
      </c>
      <c r="AC260" s="204"/>
      <c r="AD260" s="200" t="n">
        <v>23.96457</v>
      </c>
      <c r="AE260" s="200" t="n">
        <v>75.69418</v>
      </c>
    </row>
    <row r="261" customFormat="false" ht="15.75" hidden="false" customHeight="false" outlineLevel="0" collapsed="false">
      <c r="A261" s="196" t="s">
        <v>415</v>
      </c>
      <c r="B261" s="196" t="s">
        <v>1452</v>
      </c>
      <c r="C261" s="197" t="s">
        <v>1800</v>
      </c>
      <c r="D261" s="198" t="s">
        <v>1801</v>
      </c>
      <c r="E261" s="196"/>
      <c r="F261" s="196"/>
      <c r="G261" s="196"/>
      <c r="H261" s="196"/>
      <c r="I261" s="196"/>
      <c r="J261" s="196"/>
      <c r="K261" s="196"/>
      <c r="L261" s="112"/>
      <c r="M261" s="196"/>
      <c r="N261" s="112"/>
      <c r="O261" s="196"/>
      <c r="P261" s="196"/>
      <c r="Q261" s="200" t="s">
        <v>43</v>
      </c>
      <c r="R261" s="204" t="s">
        <v>1803</v>
      </c>
      <c r="S261" s="112"/>
      <c r="T261" s="200"/>
      <c r="U261" s="112"/>
      <c r="V261" s="112"/>
      <c r="W261" s="112"/>
      <c r="X261" s="112"/>
      <c r="Y261" s="112"/>
      <c r="Z261" s="112"/>
      <c r="AA261" s="200" t="s">
        <v>82</v>
      </c>
      <c r="AB261" s="200" t="n">
        <v>2</v>
      </c>
      <c r="AC261" s="204"/>
      <c r="AD261" s="200" t="n">
        <v>23.96856</v>
      </c>
      <c r="AE261" s="200" t="n">
        <v>75.68276</v>
      </c>
    </row>
    <row r="262" customFormat="false" ht="15.75" hidden="false" customHeight="false" outlineLevel="0" collapsed="false">
      <c r="A262" s="196" t="s">
        <v>415</v>
      </c>
      <c r="B262" s="196" t="s">
        <v>1452</v>
      </c>
      <c r="C262" s="197" t="s">
        <v>1800</v>
      </c>
      <c r="D262" s="196" t="s">
        <v>1499</v>
      </c>
      <c r="E262" s="196" t="s">
        <v>1804</v>
      </c>
      <c r="F262" s="196" t="n">
        <v>356.43</v>
      </c>
      <c r="G262" s="196" t="n">
        <v>114</v>
      </c>
      <c r="H262" s="196" t="n">
        <v>548</v>
      </c>
      <c r="I262" s="196" t="n">
        <v>271</v>
      </c>
      <c r="J262" s="196" t="n">
        <v>277</v>
      </c>
      <c r="K262" s="196" t="n">
        <v>170</v>
      </c>
      <c r="L262" s="112" t="n">
        <f aca="false">K262/H262*100</f>
        <v>31.021897810219</v>
      </c>
      <c r="M262" s="196" t="n">
        <v>0</v>
      </c>
      <c r="N262" s="112" t="n">
        <f aca="false">M262/H262*100</f>
        <v>0</v>
      </c>
      <c r="O262" s="196" t="n">
        <v>37.72</v>
      </c>
      <c r="P262" s="196" t="n">
        <v>0</v>
      </c>
      <c r="Q262" s="200" t="s">
        <v>45</v>
      </c>
      <c r="R262" s="205" t="n">
        <v>44693</v>
      </c>
      <c r="S262" s="112"/>
      <c r="T262" s="200" t="n">
        <v>37</v>
      </c>
      <c r="U262" s="112"/>
      <c r="V262" s="112"/>
      <c r="W262" s="112"/>
      <c r="X262" s="112"/>
      <c r="Y262" s="112"/>
      <c r="Z262" s="112"/>
      <c r="AA262" s="200" t="s">
        <v>82</v>
      </c>
      <c r="AB262" s="200" t="n">
        <v>6</v>
      </c>
      <c r="AC262" s="204"/>
      <c r="AD262" s="200" t="n">
        <v>23.943182</v>
      </c>
      <c r="AE262" s="200" t="n">
        <v>75.651075</v>
      </c>
    </row>
    <row r="263" customFormat="false" ht="15.75" hidden="false" customHeight="false" outlineLevel="0" collapsed="false">
      <c r="A263" s="196" t="s">
        <v>415</v>
      </c>
      <c r="B263" s="196" t="s">
        <v>1452</v>
      </c>
      <c r="C263" s="197" t="s">
        <v>1800</v>
      </c>
      <c r="D263" s="196" t="s">
        <v>1499</v>
      </c>
      <c r="E263" s="196"/>
      <c r="F263" s="196"/>
      <c r="G263" s="196"/>
      <c r="H263" s="196"/>
      <c r="I263" s="196"/>
      <c r="J263" s="196"/>
      <c r="K263" s="196"/>
      <c r="L263" s="112"/>
      <c r="M263" s="196"/>
      <c r="N263" s="112"/>
      <c r="O263" s="196"/>
      <c r="P263" s="196"/>
      <c r="Q263" s="200" t="s">
        <v>43</v>
      </c>
      <c r="R263" s="221" t="n">
        <v>44693</v>
      </c>
      <c r="S263" s="112"/>
      <c r="T263" s="213"/>
      <c r="U263" s="112"/>
      <c r="V263" s="112"/>
      <c r="W263" s="112"/>
      <c r="X263" s="112"/>
      <c r="Y263" s="112"/>
      <c r="Z263" s="112"/>
      <c r="AA263" s="213" t="s">
        <v>82</v>
      </c>
      <c r="AB263" s="213" t="n">
        <v>4.8</v>
      </c>
      <c r="AC263" s="204"/>
      <c r="AD263" s="214" t="n">
        <v>23.94562</v>
      </c>
      <c r="AE263" s="214" t="n">
        <v>75.66373</v>
      </c>
    </row>
    <row r="264" customFormat="false" ht="15.75" hidden="false" customHeight="false" outlineLevel="0" collapsed="false">
      <c r="A264" s="196" t="s">
        <v>415</v>
      </c>
      <c r="B264" s="196" t="s">
        <v>1452</v>
      </c>
      <c r="C264" s="197" t="s">
        <v>1800</v>
      </c>
      <c r="D264" s="196" t="s">
        <v>1499</v>
      </c>
      <c r="E264" s="196"/>
      <c r="F264" s="196"/>
      <c r="G264" s="196"/>
      <c r="H264" s="196"/>
      <c r="I264" s="196"/>
      <c r="J264" s="196"/>
      <c r="K264" s="196"/>
      <c r="L264" s="112"/>
      <c r="M264" s="196"/>
      <c r="N264" s="112"/>
      <c r="O264" s="196"/>
      <c r="P264" s="196"/>
      <c r="Q264" s="200" t="s">
        <v>43</v>
      </c>
      <c r="R264" s="221" t="n">
        <v>44693</v>
      </c>
      <c r="S264" s="112"/>
      <c r="T264" s="213"/>
      <c r="U264" s="112"/>
      <c r="V264" s="112"/>
      <c r="W264" s="112"/>
      <c r="X264" s="112"/>
      <c r="Y264" s="112"/>
      <c r="Z264" s="112"/>
      <c r="AA264" s="213" t="s">
        <v>82</v>
      </c>
      <c r="AB264" s="213" t="n">
        <v>8</v>
      </c>
      <c r="AC264" s="204"/>
      <c r="AD264" s="214" t="n">
        <v>23.94295</v>
      </c>
      <c r="AE264" s="214" t="n">
        <v>75.65099</v>
      </c>
    </row>
    <row r="265" customFormat="false" ht="15.75" hidden="false" customHeight="false" outlineLevel="0" collapsed="false">
      <c r="A265" s="196" t="s">
        <v>415</v>
      </c>
      <c r="B265" s="196" t="s">
        <v>1452</v>
      </c>
      <c r="C265" s="197" t="s">
        <v>1800</v>
      </c>
      <c r="D265" s="196" t="s">
        <v>1499</v>
      </c>
      <c r="E265" s="196"/>
      <c r="F265" s="196"/>
      <c r="G265" s="196"/>
      <c r="H265" s="196"/>
      <c r="I265" s="196"/>
      <c r="J265" s="196"/>
      <c r="K265" s="196"/>
      <c r="L265" s="112"/>
      <c r="M265" s="196"/>
      <c r="N265" s="112"/>
      <c r="O265" s="196"/>
      <c r="P265" s="196"/>
      <c r="Q265" s="200" t="s">
        <v>43</v>
      </c>
      <c r="R265" s="221" t="n">
        <v>44693</v>
      </c>
      <c r="S265" s="112"/>
      <c r="T265" s="213"/>
      <c r="U265" s="112"/>
      <c r="V265" s="112"/>
      <c r="W265" s="112"/>
      <c r="X265" s="112"/>
      <c r="Y265" s="112"/>
      <c r="Z265" s="112"/>
      <c r="AA265" s="213" t="s">
        <v>82</v>
      </c>
      <c r="AB265" s="213" t="n">
        <v>2.8</v>
      </c>
      <c r="AC265" s="204"/>
      <c r="AD265" s="214" t="n">
        <v>23.99412</v>
      </c>
      <c r="AE265" s="214" t="n">
        <v>75.65084</v>
      </c>
    </row>
    <row r="266" customFormat="false" ht="15.75" hidden="false" customHeight="false" outlineLevel="0" collapsed="false">
      <c r="A266" s="196" t="s">
        <v>415</v>
      </c>
      <c r="B266" s="196" t="s">
        <v>1452</v>
      </c>
      <c r="C266" s="197" t="s">
        <v>1800</v>
      </c>
      <c r="D266" s="196" t="s">
        <v>1499</v>
      </c>
      <c r="E266" s="196"/>
      <c r="F266" s="196"/>
      <c r="G266" s="196"/>
      <c r="H266" s="196"/>
      <c r="I266" s="196"/>
      <c r="J266" s="196"/>
      <c r="K266" s="196"/>
      <c r="L266" s="112"/>
      <c r="M266" s="196"/>
      <c r="N266" s="112"/>
      <c r="O266" s="196"/>
      <c r="P266" s="196"/>
      <c r="Q266" s="200" t="s">
        <v>43</v>
      </c>
      <c r="R266" s="205" t="n">
        <v>44693</v>
      </c>
      <c r="S266" s="112"/>
      <c r="T266" s="200"/>
      <c r="U266" s="112"/>
      <c r="V266" s="112"/>
      <c r="W266" s="112"/>
      <c r="X266" s="112"/>
      <c r="Y266" s="112"/>
      <c r="Z266" s="112"/>
      <c r="AA266" s="200" t="s">
        <v>82</v>
      </c>
      <c r="AB266" s="200" t="n">
        <v>4.8</v>
      </c>
      <c r="AC266" s="204"/>
      <c r="AD266" s="200" t="n">
        <v>23.94295</v>
      </c>
      <c r="AE266" s="200" t="n">
        <v>75.65053</v>
      </c>
    </row>
    <row r="267" customFormat="false" ht="15.75" hidden="false" customHeight="false" outlineLevel="0" collapsed="false">
      <c r="A267" s="196" t="s">
        <v>415</v>
      </c>
      <c r="B267" s="196" t="s">
        <v>1452</v>
      </c>
      <c r="C267" s="197" t="s">
        <v>1800</v>
      </c>
      <c r="D267" s="196" t="s">
        <v>1499</v>
      </c>
      <c r="E267" s="196"/>
      <c r="F267" s="196"/>
      <c r="G267" s="196"/>
      <c r="H267" s="196"/>
      <c r="I267" s="196"/>
      <c r="J267" s="196"/>
      <c r="K267" s="196"/>
      <c r="L267" s="112"/>
      <c r="M267" s="196"/>
      <c r="N267" s="112"/>
      <c r="O267" s="196"/>
      <c r="P267" s="196"/>
      <c r="Q267" s="200" t="s">
        <v>43</v>
      </c>
      <c r="R267" s="221" t="s">
        <v>1803</v>
      </c>
      <c r="S267" s="112"/>
      <c r="T267" s="213"/>
      <c r="U267" s="112"/>
      <c r="V267" s="112"/>
      <c r="W267" s="112"/>
      <c r="X267" s="112"/>
      <c r="Y267" s="112"/>
      <c r="Z267" s="112"/>
      <c r="AA267" s="213" t="s">
        <v>82</v>
      </c>
      <c r="AB267" s="213" t="n">
        <v>2.8</v>
      </c>
      <c r="AC267" s="204"/>
      <c r="AD267" s="214" t="n">
        <v>23.94544</v>
      </c>
      <c r="AE267" s="214" t="n">
        <v>75.66436</v>
      </c>
    </row>
    <row r="268" customFormat="false" ht="15.75" hidden="false" customHeight="false" outlineLevel="0" collapsed="false">
      <c r="A268" s="196" t="s">
        <v>415</v>
      </c>
      <c r="B268" s="196" t="s">
        <v>1452</v>
      </c>
      <c r="C268" s="197" t="s">
        <v>1800</v>
      </c>
      <c r="D268" s="196" t="s">
        <v>1499</v>
      </c>
      <c r="E268" s="196"/>
      <c r="F268" s="196"/>
      <c r="G268" s="196"/>
      <c r="H268" s="196"/>
      <c r="I268" s="196"/>
      <c r="J268" s="196"/>
      <c r="K268" s="196"/>
      <c r="L268" s="112"/>
      <c r="M268" s="196"/>
      <c r="N268" s="112"/>
      <c r="O268" s="196"/>
      <c r="P268" s="196"/>
      <c r="Q268" s="200" t="s">
        <v>43</v>
      </c>
      <c r="R268" s="221" t="n">
        <v>44693</v>
      </c>
      <c r="S268" s="112"/>
      <c r="T268" s="213"/>
      <c r="U268" s="112"/>
      <c r="V268" s="112"/>
      <c r="W268" s="112"/>
      <c r="X268" s="112"/>
      <c r="Y268" s="112"/>
      <c r="Z268" s="112"/>
      <c r="AA268" s="213" t="s">
        <v>82</v>
      </c>
      <c r="AB268" s="213" t="n">
        <v>5</v>
      </c>
      <c r="AC268" s="204"/>
      <c r="AD268" s="214" t="n">
        <v>23.9458</v>
      </c>
      <c r="AE268" s="214" t="n">
        <v>75.66414</v>
      </c>
    </row>
    <row r="269" customFormat="false" ht="15.75" hidden="false" customHeight="false" outlineLevel="0" collapsed="false">
      <c r="A269" s="196" t="s">
        <v>415</v>
      </c>
      <c r="B269" s="196" t="s">
        <v>1452</v>
      </c>
      <c r="C269" s="197" t="s">
        <v>1800</v>
      </c>
      <c r="D269" s="196" t="s">
        <v>1499</v>
      </c>
      <c r="E269" s="196"/>
      <c r="F269" s="196"/>
      <c r="G269" s="196"/>
      <c r="H269" s="196"/>
      <c r="I269" s="196"/>
      <c r="J269" s="196"/>
      <c r="K269" s="196"/>
      <c r="L269" s="112"/>
      <c r="M269" s="196"/>
      <c r="N269" s="112"/>
      <c r="O269" s="196"/>
      <c r="P269" s="196"/>
      <c r="Q269" s="200" t="s">
        <v>43</v>
      </c>
      <c r="R269" s="221" t="n">
        <v>44693</v>
      </c>
      <c r="S269" s="112"/>
      <c r="T269" s="213"/>
      <c r="U269" s="112"/>
      <c r="V269" s="112"/>
      <c r="W269" s="112"/>
      <c r="X269" s="112"/>
      <c r="Y269" s="112"/>
      <c r="Z269" s="112"/>
      <c r="AA269" s="213" t="s">
        <v>82</v>
      </c>
      <c r="AB269" s="213" t="n">
        <v>5</v>
      </c>
      <c r="AC269" s="204"/>
      <c r="AD269" s="214" t="n">
        <v>23.94301</v>
      </c>
      <c r="AE269" s="214" t="n">
        <v>75.64942</v>
      </c>
    </row>
    <row r="270" customFormat="false" ht="15.75" hidden="false" customHeight="false" outlineLevel="0" collapsed="false">
      <c r="A270" s="196" t="s">
        <v>415</v>
      </c>
      <c r="B270" s="196" t="s">
        <v>1452</v>
      </c>
      <c r="C270" s="197" t="s">
        <v>1800</v>
      </c>
      <c r="D270" s="196" t="s">
        <v>1805</v>
      </c>
      <c r="E270" s="196" t="s">
        <v>1806</v>
      </c>
      <c r="F270" s="196" t="n">
        <v>792.96</v>
      </c>
      <c r="G270" s="196" t="n">
        <v>252</v>
      </c>
      <c r="H270" s="196" t="n">
        <v>1234</v>
      </c>
      <c r="I270" s="196" t="n">
        <v>643</v>
      </c>
      <c r="J270" s="196" t="n">
        <v>591</v>
      </c>
      <c r="K270" s="196" t="n">
        <v>386</v>
      </c>
      <c r="L270" s="112" t="n">
        <f aca="false">K270/H270*100</f>
        <v>31.2803889789303</v>
      </c>
      <c r="M270" s="196" t="n">
        <v>0</v>
      </c>
      <c r="N270" s="112" t="n">
        <f aca="false">M270/H270*100</f>
        <v>0</v>
      </c>
      <c r="O270" s="196" t="n">
        <v>66.1</v>
      </c>
      <c r="P270" s="196" t="n">
        <v>0</v>
      </c>
      <c r="Q270" s="200"/>
      <c r="R270" s="200"/>
      <c r="S270" s="112"/>
      <c r="T270" s="204"/>
      <c r="U270" s="112"/>
      <c r="V270" s="112"/>
      <c r="W270" s="112"/>
      <c r="X270" s="112"/>
      <c r="Y270" s="112"/>
      <c r="Z270" s="112"/>
      <c r="AA270" s="204"/>
      <c r="AB270" s="204"/>
      <c r="AC270" s="204"/>
      <c r="AD270" s="200" t="n">
        <v>76</v>
      </c>
      <c r="AE270" s="204"/>
    </row>
    <row r="271" customFormat="false" ht="15.75" hidden="false" customHeight="false" outlineLevel="0" collapsed="false">
      <c r="A271" s="196" t="s">
        <v>415</v>
      </c>
      <c r="B271" s="196" t="s">
        <v>1452</v>
      </c>
      <c r="C271" s="197" t="s">
        <v>1800</v>
      </c>
      <c r="D271" s="196" t="s">
        <v>1805</v>
      </c>
      <c r="E271" s="196"/>
      <c r="F271" s="196"/>
      <c r="G271" s="196"/>
      <c r="H271" s="196"/>
      <c r="I271" s="196"/>
      <c r="J271" s="196"/>
      <c r="K271" s="196"/>
      <c r="L271" s="112"/>
      <c r="M271" s="196"/>
      <c r="N271" s="112"/>
      <c r="O271" s="196"/>
      <c r="P271" s="196"/>
      <c r="Q271" s="200"/>
      <c r="R271" s="200"/>
      <c r="S271" s="112"/>
      <c r="T271" s="204"/>
      <c r="U271" s="112"/>
      <c r="V271" s="112"/>
      <c r="W271" s="112"/>
      <c r="X271" s="112"/>
      <c r="Y271" s="112"/>
      <c r="Z271" s="112"/>
      <c r="AA271" s="204"/>
      <c r="AB271" s="204"/>
      <c r="AC271" s="204"/>
      <c r="AD271" s="200" t="n">
        <v>4.8</v>
      </c>
      <c r="AE271" s="204"/>
    </row>
    <row r="272" customFormat="false" ht="15.75" hidden="false" customHeight="false" outlineLevel="0" collapsed="false">
      <c r="A272" s="196" t="s">
        <v>415</v>
      </c>
      <c r="B272" s="196" t="s">
        <v>1452</v>
      </c>
      <c r="C272" s="197" t="s">
        <v>1800</v>
      </c>
      <c r="D272" s="196" t="s">
        <v>1805</v>
      </c>
      <c r="E272" s="196"/>
      <c r="F272" s="196"/>
      <c r="G272" s="196"/>
      <c r="H272" s="196"/>
      <c r="I272" s="196"/>
      <c r="J272" s="196"/>
      <c r="K272" s="196"/>
      <c r="L272" s="112"/>
      <c r="M272" s="196"/>
      <c r="N272" s="112"/>
      <c r="O272" s="196"/>
      <c r="P272" s="196"/>
      <c r="Q272" s="213"/>
      <c r="R272" s="214"/>
      <c r="S272" s="112"/>
      <c r="T272" s="204"/>
      <c r="U272" s="112"/>
      <c r="V272" s="112"/>
      <c r="W272" s="112"/>
      <c r="X272" s="112"/>
      <c r="Y272" s="112"/>
      <c r="Z272" s="112"/>
      <c r="AA272" s="204"/>
      <c r="AB272" s="204"/>
      <c r="AC272" s="204"/>
      <c r="AD272" s="214" t="n">
        <v>2</v>
      </c>
      <c r="AE272" s="213"/>
    </row>
    <row r="273" customFormat="false" ht="15.75" hidden="false" customHeight="false" outlineLevel="0" collapsed="false">
      <c r="A273" s="196" t="s">
        <v>415</v>
      </c>
      <c r="B273" s="196" t="s">
        <v>1452</v>
      </c>
      <c r="C273" s="197" t="s">
        <v>1800</v>
      </c>
      <c r="D273" s="196" t="s">
        <v>1805</v>
      </c>
      <c r="E273" s="196"/>
      <c r="F273" s="196"/>
      <c r="G273" s="196"/>
      <c r="H273" s="196"/>
      <c r="I273" s="196"/>
      <c r="J273" s="196"/>
      <c r="K273" s="196"/>
      <c r="L273" s="112"/>
      <c r="M273" s="196"/>
      <c r="N273" s="112"/>
      <c r="O273" s="196"/>
      <c r="P273" s="196"/>
      <c r="Q273" s="213"/>
      <c r="R273" s="214"/>
      <c r="S273" s="112"/>
      <c r="T273" s="204"/>
      <c r="U273" s="112"/>
      <c r="V273" s="112"/>
      <c r="W273" s="112"/>
      <c r="X273" s="112"/>
      <c r="Y273" s="112"/>
      <c r="Z273" s="112"/>
      <c r="AA273" s="204"/>
      <c r="AB273" s="204"/>
      <c r="AC273" s="204"/>
      <c r="AD273" s="214" t="n">
        <v>2</v>
      </c>
      <c r="AE273" s="213"/>
    </row>
    <row r="274" customFormat="false" ht="15.75" hidden="false" customHeight="false" outlineLevel="0" collapsed="false">
      <c r="A274" s="196" t="s">
        <v>415</v>
      </c>
      <c r="B274" s="196" t="s">
        <v>1452</v>
      </c>
      <c r="C274" s="197" t="s">
        <v>1800</v>
      </c>
      <c r="D274" s="196" t="s">
        <v>1805</v>
      </c>
      <c r="E274" s="196"/>
      <c r="F274" s="196"/>
      <c r="G274" s="196"/>
      <c r="H274" s="196"/>
      <c r="I274" s="196"/>
      <c r="J274" s="196"/>
      <c r="K274" s="196"/>
      <c r="L274" s="112"/>
      <c r="M274" s="196"/>
      <c r="N274" s="112"/>
      <c r="O274" s="196"/>
      <c r="P274" s="196"/>
      <c r="Q274" s="213"/>
      <c r="R274" s="214"/>
      <c r="S274" s="112"/>
      <c r="T274" s="204"/>
      <c r="U274" s="112"/>
      <c r="V274" s="112"/>
      <c r="W274" s="112"/>
      <c r="X274" s="112"/>
      <c r="Y274" s="112"/>
      <c r="Z274" s="112"/>
      <c r="AA274" s="204"/>
      <c r="AB274" s="204"/>
      <c r="AC274" s="204"/>
      <c r="AD274" s="214" t="n">
        <v>4</v>
      </c>
      <c r="AE274" s="213"/>
    </row>
    <row r="275" customFormat="false" ht="15.75" hidden="false" customHeight="false" outlineLevel="0" collapsed="false">
      <c r="A275" s="196" t="s">
        <v>415</v>
      </c>
      <c r="B275" s="196" t="s">
        <v>1452</v>
      </c>
      <c r="C275" s="197" t="s">
        <v>1800</v>
      </c>
      <c r="D275" s="196" t="s">
        <v>1805</v>
      </c>
      <c r="E275" s="196"/>
      <c r="F275" s="196"/>
      <c r="G275" s="196"/>
      <c r="H275" s="196"/>
      <c r="I275" s="196"/>
      <c r="J275" s="196"/>
      <c r="K275" s="196"/>
      <c r="L275" s="112"/>
      <c r="M275" s="196"/>
      <c r="N275" s="112"/>
      <c r="O275" s="196"/>
      <c r="P275" s="196"/>
      <c r="Q275" s="213"/>
      <c r="R275" s="214"/>
      <c r="S275" s="112"/>
      <c r="T275" s="204"/>
      <c r="U275" s="112"/>
      <c r="V275" s="112"/>
      <c r="W275" s="112"/>
      <c r="X275" s="112"/>
      <c r="Y275" s="112"/>
      <c r="Z275" s="112"/>
      <c r="AA275" s="204"/>
      <c r="AB275" s="204"/>
      <c r="AC275" s="204"/>
      <c r="AD275" s="214" t="n">
        <v>2</v>
      </c>
      <c r="AE275" s="213"/>
    </row>
    <row r="276" customFormat="false" ht="15.75" hidden="false" customHeight="false" outlineLevel="0" collapsed="false">
      <c r="A276" s="196" t="s">
        <v>415</v>
      </c>
      <c r="B276" s="196" t="s">
        <v>1452</v>
      </c>
      <c r="C276" s="197" t="s">
        <v>1800</v>
      </c>
      <c r="D276" s="196" t="s">
        <v>1805</v>
      </c>
      <c r="E276" s="196"/>
      <c r="F276" s="196"/>
      <c r="G276" s="196"/>
      <c r="H276" s="196"/>
      <c r="I276" s="196"/>
      <c r="J276" s="196"/>
      <c r="K276" s="196"/>
      <c r="L276" s="112"/>
      <c r="M276" s="196"/>
      <c r="N276" s="112"/>
      <c r="O276" s="196"/>
      <c r="P276" s="196"/>
      <c r="Q276" s="213"/>
      <c r="R276" s="214"/>
      <c r="S276" s="112"/>
      <c r="T276" s="204"/>
      <c r="U276" s="112"/>
      <c r="V276" s="112"/>
      <c r="W276" s="112"/>
      <c r="X276" s="112"/>
      <c r="Y276" s="112"/>
      <c r="Z276" s="112"/>
      <c r="AA276" s="204"/>
      <c r="AB276" s="204"/>
      <c r="AC276" s="204"/>
      <c r="AD276" s="214" t="n">
        <v>2</v>
      </c>
      <c r="AE276" s="213"/>
    </row>
    <row r="277" customFormat="false" ht="15.75" hidden="false" customHeight="false" outlineLevel="0" collapsed="false">
      <c r="A277" s="196" t="s">
        <v>415</v>
      </c>
      <c r="B277" s="196" t="s">
        <v>1452</v>
      </c>
      <c r="C277" s="197" t="s">
        <v>1800</v>
      </c>
      <c r="D277" s="196" t="s">
        <v>1805</v>
      </c>
      <c r="E277" s="196"/>
      <c r="F277" s="196"/>
      <c r="G277" s="196"/>
      <c r="H277" s="196"/>
      <c r="I277" s="196"/>
      <c r="J277" s="196"/>
      <c r="K277" s="196"/>
      <c r="L277" s="112"/>
      <c r="M277" s="196"/>
      <c r="N277" s="112"/>
      <c r="O277" s="196"/>
      <c r="P277" s="196"/>
      <c r="Q277" s="213"/>
      <c r="R277" s="214"/>
      <c r="S277" s="112"/>
      <c r="T277" s="204"/>
      <c r="U277" s="112"/>
      <c r="V277" s="112"/>
      <c r="W277" s="112"/>
      <c r="X277" s="112"/>
      <c r="Y277" s="112"/>
      <c r="Z277" s="112"/>
      <c r="AA277" s="204"/>
      <c r="AB277" s="204"/>
      <c r="AC277" s="204"/>
      <c r="AD277" s="200" t="n">
        <v>2.8</v>
      </c>
      <c r="AE277" s="200"/>
    </row>
    <row r="278" customFormat="false" ht="15.75" hidden="false" customHeight="false" outlineLevel="0" collapsed="false">
      <c r="A278" s="196" t="s">
        <v>415</v>
      </c>
      <c r="B278" s="196" t="s">
        <v>1452</v>
      </c>
      <c r="C278" s="197" t="s">
        <v>1800</v>
      </c>
      <c r="D278" s="196" t="s">
        <v>1805</v>
      </c>
      <c r="E278" s="196"/>
      <c r="F278" s="196"/>
      <c r="G278" s="196"/>
      <c r="H278" s="196"/>
      <c r="I278" s="196"/>
      <c r="J278" s="196"/>
      <c r="K278" s="196"/>
      <c r="L278" s="112"/>
      <c r="M278" s="196"/>
      <c r="N278" s="112"/>
      <c r="O278" s="196"/>
      <c r="P278" s="196"/>
      <c r="Q278" s="213"/>
      <c r="R278" s="214"/>
      <c r="S278" s="112"/>
      <c r="T278" s="204"/>
      <c r="U278" s="112"/>
      <c r="V278" s="112"/>
      <c r="W278" s="112"/>
      <c r="X278" s="112"/>
      <c r="Y278" s="112"/>
      <c r="Z278" s="112"/>
      <c r="AA278" s="204"/>
      <c r="AB278" s="204"/>
      <c r="AC278" s="204"/>
      <c r="AD278" s="200" t="n">
        <v>8</v>
      </c>
      <c r="AE278" s="200"/>
    </row>
    <row r="279" customFormat="false" ht="15.75" hidden="false" customHeight="false" outlineLevel="0" collapsed="false">
      <c r="A279" s="196" t="s">
        <v>415</v>
      </c>
      <c r="B279" s="196" t="s">
        <v>1452</v>
      </c>
      <c r="C279" s="197" t="s">
        <v>1800</v>
      </c>
      <c r="D279" s="196" t="s">
        <v>1805</v>
      </c>
      <c r="E279" s="196"/>
      <c r="F279" s="196"/>
      <c r="G279" s="196"/>
      <c r="H279" s="196"/>
      <c r="I279" s="196"/>
      <c r="J279" s="196"/>
      <c r="K279" s="196"/>
      <c r="L279" s="112"/>
      <c r="M279" s="196"/>
      <c r="N279" s="112"/>
      <c r="O279" s="196"/>
      <c r="P279" s="196"/>
      <c r="Q279" s="213"/>
      <c r="R279" s="214"/>
      <c r="S279" s="112"/>
      <c r="T279" s="204"/>
      <c r="U279" s="112"/>
      <c r="V279" s="112"/>
      <c r="W279" s="112"/>
      <c r="X279" s="112"/>
      <c r="Y279" s="112"/>
      <c r="Z279" s="112"/>
      <c r="AA279" s="204"/>
      <c r="AB279" s="204"/>
      <c r="AC279" s="204"/>
      <c r="AD279" s="200" t="n">
        <v>8</v>
      </c>
      <c r="AE279" s="200"/>
    </row>
    <row r="280" customFormat="false" ht="15.75" hidden="false" customHeight="false" outlineLevel="0" collapsed="false">
      <c r="A280" s="196" t="s">
        <v>415</v>
      </c>
      <c r="B280" s="196" t="s">
        <v>1452</v>
      </c>
      <c r="C280" s="197" t="s">
        <v>1800</v>
      </c>
      <c r="D280" s="196" t="s">
        <v>1805</v>
      </c>
      <c r="E280" s="196"/>
      <c r="F280" s="196"/>
      <c r="G280" s="196"/>
      <c r="H280" s="196"/>
      <c r="I280" s="196"/>
      <c r="J280" s="196"/>
      <c r="K280" s="196"/>
      <c r="L280" s="112"/>
      <c r="M280" s="196"/>
      <c r="N280" s="112"/>
      <c r="O280" s="196"/>
      <c r="P280" s="196"/>
      <c r="Q280" s="213"/>
      <c r="R280" s="214"/>
      <c r="S280" s="112"/>
      <c r="T280" s="204"/>
      <c r="U280" s="112"/>
      <c r="V280" s="112"/>
      <c r="W280" s="112"/>
      <c r="X280" s="112"/>
      <c r="Y280" s="112"/>
      <c r="Z280" s="112"/>
      <c r="AA280" s="204"/>
      <c r="AB280" s="204"/>
      <c r="AC280" s="204"/>
      <c r="AD280" s="200" t="n">
        <v>2.8</v>
      </c>
      <c r="AE280" s="200"/>
    </row>
    <row r="281" customFormat="false" ht="15.75" hidden="false" customHeight="false" outlineLevel="0" collapsed="false">
      <c r="A281" s="196" t="s">
        <v>415</v>
      </c>
      <c r="B281" s="196" t="s">
        <v>1452</v>
      </c>
      <c r="C281" s="197" t="s">
        <v>1800</v>
      </c>
      <c r="D281" s="196" t="s">
        <v>1805</v>
      </c>
      <c r="E281" s="196"/>
      <c r="F281" s="196"/>
      <c r="G281" s="196"/>
      <c r="H281" s="196"/>
      <c r="I281" s="196"/>
      <c r="J281" s="196"/>
      <c r="K281" s="196"/>
      <c r="L281" s="112"/>
      <c r="M281" s="196"/>
      <c r="N281" s="112"/>
      <c r="O281" s="196"/>
      <c r="P281" s="196"/>
      <c r="Q281" s="213"/>
      <c r="R281" s="214"/>
      <c r="S281" s="112"/>
      <c r="T281" s="204"/>
      <c r="U281" s="112"/>
      <c r="V281" s="112"/>
      <c r="W281" s="112"/>
      <c r="X281" s="112"/>
      <c r="Y281" s="112"/>
      <c r="Z281" s="112"/>
      <c r="AA281" s="204"/>
      <c r="AB281" s="204"/>
      <c r="AC281" s="204"/>
      <c r="AD281" s="200" t="n">
        <v>2</v>
      </c>
      <c r="AE281" s="200"/>
    </row>
    <row r="282" customFormat="false" ht="15.75" hidden="false" customHeight="false" outlineLevel="0" collapsed="false">
      <c r="A282" s="196" t="s">
        <v>415</v>
      </c>
      <c r="B282" s="196" t="s">
        <v>1452</v>
      </c>
      <c r="C282" s="197" t="s">
        <v>1800</v>
      </c>
      <c r="D282" s="196" t="s">
        <v>1805</v>
      </c>
      <c r="E282" s="196"/>
      <c r="F282" s="196"/>
      <c r="G282" s="196"/>
      <c r="H282" s="196"/>
      <c r="I282" s="196"/>
      <c r="J282" s="196"/>
      <c r="K282" s="196"/>
      <c r="L282" s="112"/>
      <c r="M282" s="196"/>
      <c r="N282" s="112"/>
      <c r="O282" s="196"/>
      <c r="P282" s="196"/>
      <c r="Q282" s="213"/>
      <c r="R282" s="214"/>
      <c r="S282" s="112"/>
      <c r="T282" s="204"/>
      <c r="U282" s="112"/>
      <c r="V282" s="112"/>
      <c r="W282" s="112"/>
      <c r="X282" s="112"/>
      <c r="Y282" s="112"/>
      <c r="Z282" s="112"/>
      <c r="AA282" s="204"/>
      <c r="AB282" s="204"/>
      <c r="AC282" s="204"/>
      <c r="AD282" s="200" t="n">
        <v>2</v>
      </c>
      <c r="AE282" s="200"/>
    </row>
    <row r="283" customFormat="false" ht="15.75" hidden="false" customHeight="false" outlineLevel="0" collapsed="false">
      <c r="A283" s="196" t="s">
        <v>415</v>
      </c>
      <c r="B283" s="196" t="s">
        <v>1452</v>
      </c>
      <c r="C283" s="197" t="s">
        <v>1800</v>
      </c>
      <c r="D283" s="196" t="s">
        <v>1807</v>
      </c>
      <c r="E283" s="196" t="s">
        <v>1808</v>
      </c>
      <c r="F283" s="196" t="n">
        <v>598.11</v>
      </c>
      <c r="G283" s="196" t="n">
        <v>167</v>
      </c>
      <c r="H283" s="196" t="n">
        <v>752</v>
      </c>
      <c r="I283" s="196" t="n">
        <v>400</v>
      </c>
      <c r="J283" s="196" t="n">
        <v>352</v>
      </c>
      <c r="K283" s="196" t="n">
        <v>115</v>
      </c>
      <c r="L283" s="112" t="n">
        <f aca="false">K283/H283*100</f>
        <v>15.2925531914894</v>
      </c>
      <c r="M283" s="196" t="n">
        <v>0</v>
      </c>
      <c r="N283" s="112" t="n">
        <f aca="false">M283/H283*100</f>
        <v>0</v>
      </c>
      <c r="O283" s="196" t="n">
        <v>62.53</v>
      </c>
      <c r="P283" s="196" t="n">
        <v>0</v>
      </c>
      <c r="Q283" s="204"/>
      <c r="R283" s="204"/>
      <c r="S283" s="112"/>
      <c r="T283" s="204"/>
      <c r="U283" s="112"/>
      <c r="V283" s="112"/>
      <c r="W283" s="112"/>
      <c r="X283" s="112"/>
      <c r="Y283" s="112"/>
      <c r="Z283" s="112"/>
      <c r="AA283" s="204"/>
      <c r="AB283" s="204"/>
      <c r="AC283" s="204"/>
      <c r="AD283" s="204"/>
      <c r="AE283" s="204"/>
    </row>
    <row r="284" customFormat="false" ht="15.75" hidden="false" customHeight="false" outlineLevel="0" collapsed="false">
      <c r="A284" s="196" t="s">
        <v>415</v>
      </c>
      <c r="B284" s="196" t="s">
        <v>1452</v>
      </c>
      <c r="C284" s="197" t="s">
        <v>1800</v>
      </c>
      <c r="D284" s="196" t="s">
        <v>1809</v>
      </c>
      <c r="E284" s="196" t="s">
        <v>1810</v>
      </c>
      <c r="F284" s="196" t="n">
        <v>231.72</v>
      </c>
      <c r="G284" s="196" t="n">
        <v>98</v>
      </c>
      <c r="H284" s="196" t="n">
        <v>559</v>
      </c>
      <c r="I284" s="196" t="n">
        <v>283</v>
      </c>
      <c r="J284" s="196" t="n">
        <v>276</v>
      </c>
      <c r="K284" s="196" t="n">
        <v>12</v>
      </c>
      <c r="L284" s="112" t="n">
        <f aca="false">K284/H284*100</f>
        <v>2.14669051878354</v>
      </c>
      <c r="M284" s="196" t="n">
        <v>0</v>
      </c>
      <c r="N284" s="112" t="n">
        <f aca="false">M284/H284*100</f>
        <v>0</v>
      </c>
      <c r="O284" s="196" t="n">
        <v>24.7</v>
      </c>
      <c r="P284" s="196" t="n">
        <v>0</v>
      </c>
      <c r="Q284" s="200" t="s">
        <v>45</v>
      </c>
      <c r="R284" s="205" t="n">
        <v>44693</v>
      </c>
      <c r="S284" s="112"/>
      <c r="T284" s="200" t="n">
        <v>17</v>
      </c>
      <c r="U284" s="112"/>
      <c r="V284" s="112"/>
      <c r="W284" s="112"/>
      <c r="X284" s="112"/>
      <c r="Y284" s="112"/>
      <c r="Z284" s="112"/>
      <c r="AA284" s="200" t="s">
        <v>82</v>
      </c>
      <c r="AB284" s="200" t="n">
        <v>7</v>
      </c>
      <c r="AC284" s="200" t="s">
        <v>1811</v>
      </c>
      <c r="AD284" s="200" t="n">
        <v>23.971112</v>
      </c>
      <c r="AE284" s="200" t="n">
        <v>75.695554</v>
      </c>
    </row>
    <row r="285" customFormat="false" ht="15.75" hidden="false" customHeight="false" outlineLevel="0" collapsed="false">
      <c r="A285" s="196" t="s">
        <v>415</v>
      </c>
      <c r="B285" s="196" t="s">
        <v>1452</v>
      </c>
      <c r="C285" s="197" t="s">
        <v>1800</v>
      </c>
      <c r="D285" s="196" t="s">
        <v>1809</v>
      </c>
      <c r="E285" s="196"/>
      <c r="F285" s="196"/>
      <c r="G285" s="196"/>
      <c r="H285" s="196"/>
      <c r="I285" s="196"/>
      <c r="J285" s="196"/>
      <c r="K285" s="196"/>
      <c r="L285" s="112"/>
      <c r="M285" s="196"/>
      <c r="N285" s="112"/>
      <c r="O285" s="196"/>
      <c r="P285" s="196"/>
      <c r="Q285" s="200" t="s">
        <v>43</v>
      </c>
      <c r="R285" s="221" t="n">
        <v>44693</v>
      </c>
      <c r="S285" s="112"/>
      <c r="T285" s="213"/>
      <c r="U285" s="112"/>
      <c r="V285" s="112"/>
      <c r="W285" s="112"/>
      <c r="X285" s="112"/>
      <c r="Y285" s="112"/>
      <c r="Z285" s="112"/>
      <c r="AA285" s="213" t="s">
        <v>82</v>
      </c>
      <c r="AB285" s="213" t="n">
        <v>2</v>
      </c>
      <c r="AC285" s="222" t="s">
        <v>859</v>
      </c>
      <c r="AD285" s="214" t="n">
        <v>23.97164</v>
      </c>
      <c r="AE285" s="214" t="n">
        <v>75.68983</v>
      </c>
    </row>
    <row r="286" customFormat="false" ht="15.75" hidden="false" customHeight="false" outlineLevel="0" collapsed="false">
      <c r="A286" s="196" t="s">
        <v>415</v>
      </c>
      <c r="B286" s="196" t="s">
        <v>1452</v>
      </c>
      <c r="C286" s="197" t="s">
        <v>1800</v>
      </c>
      <c r="D286" s="196" t="s">
        <v>1809</v>
      </c>
      <c r="E286" s="196"/>
      <c r="F286" s="196"/>
      <c r="G286" s="196"/>
      <c r="H286" s="196"/>
      <c r="I286" s="196"/>
      <c r="J286" s="196"/>
      <c r="K286" s="196"/>
      <c r="L286" s="112"/>
      <c r="M286" s="196"/>
      <c r="N286" s="112"/>
      <c r="O286" s="196"/>
      <c r="P286" s="196"/>
      <c r="Q286" s="200" t="s">
        <v>43</v>
      </c>
      <c r="R286" s="221" t="n">
        <v>44693</v>
      </c>
      <c r="S286" s="112"/>
      <c r="T286" s="213"/>
      <c r="U286" s="112"/>
      <c r="V286" s="112"/>
      <c r="W286" s="112"/>
      <c r="X286" s="112"/>
      <c r="Y286" s="112"/>
      <c r="Z286" s="112"/>
      <c r="AA286" s="213" t="s">
        <v>82</v>
      </c>
      <c r="AB286" s="213" t="n">
        <v>8</v>
      </c>
      <c r="AC286" s="222" t="s">
        <v>859</v>
      </c>
      <c r="AD286" s="214" t="n">
        <v>23.9706</v>
      </c>
      <c r="AE286" s="214" t="n">
        <v>75.69709</v>
      </c>
    </row>
    <row r="287" customFormat="false" ht="15.75" hidden="false" customHeight="false" outlineLevel="0" collapsed="false">
      <c r="A287" s="196" t="s">
        <v>415</v>
      </c>
      <c r="B287" s="196" t="s">
        <v>1452</v>
      </c>
      <c r="C287" s="197" t="s">
        <v>1800</v>
      </c>
      <c r="D287" s="196" t="s">
        <v>1809</v>
      </c>
      <c r="E287" s="196"/>
      <c r="F287" s="196"/>
      <c r="G287" s="196"/>
      <c r="H287" s="196"/>
      <c r="I287" s="196"/>
      <c r="J287" s="196"/>
      <c r="K287" s="196"/>
      <c r="L287" s="112"/>
      <c r="M287" s="196"/>
      <c r="N287" s="112"/>
      <c r="O287" s="196"/>
      <c r="P287" s="196"/>
      <c r="Q287" s="200" t="s">
        <v>43</v>
      </c>
      <c r="R287" s="221" t="n">
        <v>44693</v>
      </c>
      <c r="S287" s="112"/>
      <c r="T287" s="213"/>
      <c r="U287" s="112"/>
      <c r="V287" s="112"/>
      <c r="W287" s="112"/>
      <c r="X287" s="112"/>
      <c r="Y287" s="112"/>
      <c r="Z287" s="112"/>
      <c r="AA287" s="213" t="s">
        <v>82</v>
      </c>
      <c r="AB287" s="213" t="n">
        <v>8</v>
      </c>
      <c r="AC287" s="213" t="s">
        <v>1812</v>
      </c>
      <c r="AD287" s="214" t="n">
        <v>23.96857</v>
      </c>
      <c r="AE287" s="214" t="n">
        <v>75.69874</v>
      </c>
    </row>
    <row r="288" customFormat="false" ht="15.75" hidden="false" customHeight="false" outlineLevel="0" collapsed="false">
      <c r="A288" s="196" t="s">
        <v>415</v>
      </c>
      <c r="B288" s="196" t="s">
        <v>1452</v>
      </c>
      <c r="C288" s="197" t="s">
        <v>1800</v>
      </c>
      <c r="D288" s="196" t="s">
        <v>1813</v>
      </c>
      <c r="E288" s="196" t="s">
        <v>1814</v>
      </c>
      <c r="F288" s="196" t="n">
        <v>167.06</v>
      </c>
      <c r="G288" s="196" t="n">
        <v>32</v>
      </c>
      <c r="H288" s="196" t="n">
        <v>244</v>
      </c>
      <c r="I288" s="196" t="n">
        <v>124</v>
      </c>
      <c r="J288" s="196" t="n">
        <v>120</v>
      </c>
      <c r="K288" s="196" t="n">
        <v>10</v>
      </c>
      <c r="L288" s="112" t="n">
        <f aca="false">K288/H288*100</f>
        <v>4.0983606557377</v>
      </c>
      <c r="M288" s="196" t="n">
        <v>0</v>
      </c>
      <c r="N288" s="112" t="n">
        <f aca="false">M288/H288*100</f>
        <v>0</v>
      </c>
      <c r="O288" s="196" t="n">
        <v>12.14</v>
      </c>
      <c r="P288" s="196" t="n">
        <v>0</v>
      </c>
      <c r="Q288" s="200" t="s">
        <v>82</v>
      </c>
      <c r="R288" s="205" t="n">
        <v>44693</v>
      </c>
      <c r="S288" s="112"/>
      <c r="T288" s="200" t="n">
        <v>9</v>
      </c>
      <c r="U288" s="112"/>
      <c r="V288" s="112"/>
      <c r="W288" s="112"/>
      <c r="X288" s="112"/>
      <c r="Y288" s="112"/>
      <c r="Z288" s="112"/>
      <c r="AA288" s="200" t="s">
        <v>82</v>
      </c>
      <c r="AB288" s="200" t="n">
        <v>3</v>
      </c>
      <c r="AC288" s="200" t="s">
        <v>1815</v>
      </c>
      <c r="AD288" s="200" t="n">
        <v>23.979756</v>
      </c>
      <c r="AE288" s="200" t="n">
        <v>75.687581</v>
      </c>
    </row>
    <row r="289" customFormat="false" ht="15.75" hidden="false" customHeight="false" outlineLevel="0" collapsed="false">
      <c r="A289" s="196" t="s">
        <v>415</v>
      </c>
      <c r="B289" s="196" t="s">
        <v>1452</v>
      </c>
      <c r="C289" s="197" t="s">
        <v>1800</v>
      </c>
      <c r="D289" s="196" t="s">
        <v>1813</v>
      </c>
      <c r="E289" s="196"/>
      <c r="F289" s="196"/>
      <c r="G289" s="196"/>
      <c r="H289" s="196"/>
      <c r="I289" s="196"/>
      <c r="J289" s="196"/>
      <c r="K289" s="196"/>
      <c r="L289" s="112"/>
      <c r="M289" s="196"/>
      <c r="N289" s="112"/>
      <c r="O289" s="196"/>
      <c r="P289" s="196"/>
      <c r="Q289" s="200" t="s">
        <v>43</v>
      </c>
      <c r="R289" s="221" t="n">
        <v>44693</v>
      </c>
      <c r="S289" s="112"/>
      <c r="T289" s="213"/>
      <c r="U289" s="112"/>
      <c r="V289" s="112"/>
      <c r="W289" s="112"/>
      <c r="X289" s="112"/>
      <c r="Y289" s="112"/>
      <c r="Z289" s="112"/>
      <c r="AA289" s="213" t="s">
        <v>82</v>
      </c>
      <c r="AB289" s="213" t="n">
        <v>2</v>
      </c>
      <c r="AC289" s="222" t="s">
        <v>859</v>
      </c>
      <c r="AD289" s="214" t="n">
        <v>23.97542</v>
      </c>
      <c r="AE289" s="214" t="n">
        <v>75.68735</v>
      </c>
    </row>
    <row r="290" customFormat="false" ht="15.75" hidden="false" customHeight="false" outlineLevel="0" collapsed="false">
      <c r="A290" s="196" t="s">
        <v>415</v>
      </c>
      <c r="B290" s="196" t="s">
        <v>1452</v>
      </c>
      <c r="C290" s="197" t="s">
        <v>1800</v>
      </c>
      <c r="D290" s="196" t="s">
        <v>1813</v>
      </c>
      <c r="E290" s="196"/>
      <c r="F290" s="196"/>
      <c r="G290" s="196"/>
      <c r="H290" s="196"/>
      <c r="I290" s="196"/>
      <c r="J290" s="196"/>
      <c r="K290" s="196"/>
      <c r="L290" s="112"/>
      <c r="M290" s="196"/>
      <c r="N290" s="112"/>
      <c r="O290" s="196"/>
      <c r="P290" s="196"/>
      <c r="Q290" s="200" t="s">
        <v>43</v>
      </c>
      <c r="R290" s="221" t="n">
        <v>44693</v>
      </c>
      <c r="S290" s="112"/>
      <c r="T290" s="213"/>
      <c r="U290" s="112"/>
      <c r="V290" s="112"/>
      <c r="W290" s="112"/>
      <c r="X290" s="112"/>
      <c r="Y290" s="112"/>
      <c r="Z290" s="112"/>
      <c r="AA290" s="213" t="s">
        <v>82</v>
      </c>
      <c r="AB290" s="213" t="n">
        <v>8</v>
      </c>
      <c r="AC290" s="213" t="s">
        <v>1812</v>
      </c>
      <c r="AD290" s="214" t="n">
        <v>23.97951</v>
      </c>
      <c r="AE290" s="214" t="n">
        <v>75.68678</v>
      </c>
    </row>
    <row r="291" customFormat="false" ht="15.75" hidden="false" customHeight="false" outlineLevel="0" collapsed="false">
      <c r="A291" s="196" t="s">
        <v>415</v>
      </c>
      <c r="B291" s="196" t="s">
        <v>1452</v>
      </c>
      <c r="C291" s="197" t="s">
        <v>1800</v>
      </c>
      <c r="D291" s="196" t="s">
        <v>1813</v>
      </c>
      <c r="E291" s="196"/>
      <c r="F291" s="196"/>
      <c r="G291" s="196"/>
      <c r="H291" s="196"/>
      <c r="I291" s="196"/>
      <c r="J291" s="196"/>
      <c r="K291" s="196"/>
      <c r="L291" s="112"/>
      <c r="M291" s="196"/>
      <c r="N291" s="112"/>
      <c r="O291" s="196"/>
      <c r="P291" s="196"/>
      <c r="Q291" s="200" t="s">
        <v>43</v>
      </c>
      <c r="R291" s="205" t="n">
        <v>44693</v>
      </c>
      <c r="S291" s="112"/>
      <c r="T291" s="200"/>
      <c r="U291" s="112"/>
      <c r="V291" s="112"/>
      <c r="W291" s="112"/>
      <c r="X291" s="112"/>
      <c r="Y291" s="112"/>
      <c r="Z291" s="112"/>
      <c r="AA291" s="200" t="s">
        <v>82</v>
      </c>
      <c r="AB291" s="200" t="n">
        <v>2</v>
      </c>
      <c r="AC291" s="213" t="s">
        <v>1816</v>
      </c>
      <c r="AD291" s="200" t="n">
        <v>23.97945</v>
      </c>
      <c r="AE291" s="200" t="n">
        <v>75.68741</v>
      </c>
    </row>
    <row r="292" customFormat="false" ht="15.75" hidden="false" customHeight="false" outlineLevel="0" collapsed="false">
      <c r="A292" s="196" t="s">
        <v>415</v>
      </c>
      <c r="B292" s="196" t="s">
        <v>1452</v>
      </c>
      <c r="C292" s="197" t="s">
        <v>1817</v>
      </c>
      <c r="D292" s="198" t="s">
        <v>1818</v>
      </c>
      <c r="E292" s="196" t="s">
        <v>1819</v>
      </c>
      <c r="F292" s="196" t="n">
        <v>295.59</v>
      </c>
      <c r="G292" s="196" t="n">
        <v>181</v>
      </c>
      <c r="H292" s="196" t="n">
        <v>833</v>
      </c>
      <c r="I292" s="196" t="n">
        <v>419</v>
      </c>
      <c r="J292" s="196" t="n">
        <v>414</v>
      </c>
      <c r="K292" s="196" t="n">
        <v>189</v>
      </c>
      <c r="L292" s="112" t="n">
        <f aca="false">K292/H292*100</f>
        <v>22.6890756302521</v>
      </c>
      <c r="M292" s="196" t="n">
        <v>0</v>
      </c>
      <c r="N292" s="112" t="n">
        <f aca="false">M292/H292*100</f>
        <v>0</v>
      </c>
      <c r="O292" s="196" t="n">
        <v>78.28</v>
      </c>
      <c r="P292" s="196" t="n">
        <v>0</v>
      </c>
      <c r="Q292" s="223" t="s">
        <v>45</v>
      </c>
      <c r="R292" s="223" t="s">
        <v>1820</v>
      </c>
      <c r="S292" s="112"/>
      <c r="T292" s="118"/>
      <c r="U292" s="112"/>
      <c r="V292" s="112"/>
      <c r="W292" s="112"/>
      <c r="X292" s="112"/>
      <c r="Y292" s="112"/>
      <c r="Z292" s="112"/>
      <c r="AA292" s="118"/>
      <c r="AB292" s="118"/>
      <c r="AC292" s="118" t="s">
        <v>859</v>
      </c>
      <c r="AD292" s="118" t="n">
        <v>23.913524</v>
      </c>
      <c r="AE292" s="118" t="n">
        <v>75.663175</v>
      </c>
    </row>
    <row r="293" customFormat="false" ht="15.75" hidden="false" customHeight="false" outlineLevel="0" collapsed="false">
      <c r="A293" s="196" t="s">
        <v>415</v>
      </c>
      <c r="B293" s="196" t="s">
        <v>1452</v>
      </c>
      <c r="C293" s="197" t="s">
        <v>1817</v>
      </c>
      <c r="D293" s="196" t="s">
        <v>1821</v>
      </c>
      <c r="E293" s="196" t="s">
        <v>1822</v>
      </c>
      <c r="F293" s="196" t="n">
        <v>140.87</v>
      </c>
      <c r="G293" s="196" t="n">
        <v>51</v>
      </c>
      <c r="H293" s="196" t="n">
        <v>228</v>
      </c>
      <c r="I293" s="196" t="n">
        <v>124</v>
      </c>
      <c r="J293" s="196" t="n">
        <v>104</v>
      </c>
      <c r="K293" s="196" t="n">
        <v>73</v>
      </c>
      <c r="L293" s="112" t="n">
        <f aca="false">K293/H293*100</f>
        <v>32.0175438596491</v>
      </c>
      <c r="M293" s="196" t="n">
        <v>0</v>
      </c>
      <c r="N293" s="112" t="n">
        <f aca="false">M293/H293*100</f>
        <v>0</v>
      </c>
      <c r="O293" s="196" t="n">
        <v>6.83</v>
      </c>
      <c r="P293" s="196" t="n">
        <v>0</v>
      </c>
      <c r="Q293" s="223" t="s">
        <v>45</v>
      </c>
      <c r="R293" s="223" t="s">
        <v>1820</v>
      </c>
      <c r="S293" s="112"/>
      <c r="T293" s="118" t="n">
        <v>6.1054</v>
      </c>
      <c r="U293" s="112"/>
      <c r="V293" s="112"/>
      <c r="W293" s="112"/>
      <c r="X293" s="112"/>
      <c r="Y293" s="112"/>
      <c r="Z293" s="112"/>
      <c r="AA293" s="118" t="s">
        <v>82</v>
      </c>
      <c r="AB293" s="118" t="n">
        <v>3</v>
      </c>
      <c r="AC293" s="118" t="s">
        <v>859</v>
      </c>
      <c r="AD293" s="118" t="n">
        <v>23.923353</v>
      </c>
      <c r="AE293" s="118" t="n">
        <v>75.674446</v>
      </c>
    </row>
    <row r="294" customFormat="false" ht="15.75" hidden="false" customHeight="false" outlineLevel="0" collapsed="false">
      <c r="A294" s="196" t="s">
        <v>415</v>
      </c>
      <c r="B294" s="196" t="s">
        <v>1452</v>
      </c>
      <c r="C294" s="197" t="s">
        <v>1817</v>
      </c>
      <c r="D294" s="196" t="s">
        <v>1823</v>
      </c>
      <c r="E294" s="196" t="s">
        <v>1824</v>
      </c>
      <c r="F294" s="196" t="n">
        <v>121.75</v>
      </c>
      <c r="G294" s="196" t="n">
        <v>56</v>
      </c>
      <c r="H294" s="196" t="n">
        <v>237</v>
      </c>
      <c r="I294" s="196" t="n">
        <v>128</v>
      </c>
      <c r="J294" s="196" t="n">
        <v>109</v>
      </c>
      <c r="K294" s="196" t="n">
        <v>103</v>
      </c>
      <c r="L294" s="112" t="n">
        <f aca="false">K294/H294*100</f>
        <v>43.4599156118143</v>
      </c>
      <c r="M294" s="196" t="n">
        <v>0</v>
      </c>
      <c r="N294" s="112" t="n">
        <f aca="false">M294/H294*100</f>
        <v>0</v>
      </c>
      <c r="O294" s="196" t="n">
        <v>16.75</v>
      </c>
      <c r="P294" s="196" t="n">
        <v>0</v>
      </c>
      <c r="Q294" s="224"/>
      <c r="R294" s="224"/>
      <c r="S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</row>
    <row r="295" customFormat="false" ht="15.75" hidden="false" customHeight="false" outlineLevel="0" collapsed="false">
      <c r="A295" s="196" t="s">
        <v>415</v>
      </c>
      <c r="B295" s="196" t="s">
        <v>1452</v>
      </c>
      <c r="C295" s="197" t="s">
        <v>1817</v>
      </c>
      <c r="D295" s="196" t="s">
        <v>1825</v>
      </c>
      <c r="E295" s="196" t="s">
        <v>1826</v>
      </c>
      <c r="F295" s="196" t="n">
        <v>97.39</v>
      </c>
      <c r="G295" s="196" t="n">
        <v>32</v>
      </c>
      <c r="H295" s="196" t="n">
        <v>153</v>
      </c>
      <c r="I295" s="196" t="n">
        <v>72</v>
      </c>
      <c r="J295" s="196" t="n">
        <v>81</v>
      </c>
      <c r="K295" s="196" t="n">
        <v>35</v>
      </c>
      <c r="L295" s="112" t="n">
        <f aca="false">K295/H295*100</f>
        <v>22.875816993464</v>
      </c>
      <c r="M295" s="196" t="n">
        <v>0</v>
      </c>
      <c r="N295" s="112" t="n">
        <f aca="false">M295/H295*100</f>
        <v>0</v>
      </c>
      <c r="O295" s="196" t="n">
        <v>26.91</v>
      </c>
      <c r="P295" s="196" t="n">
        <v>0</v>
      </c>
      <c r="Q295" s="223" t="s">
        <v>45</v>
      </c>
      <c r="R295" s="223" t="s">
        <v>1820</v>
      </c>
      <c r="S295" s="112"/>
      <c r="T295" s="118" t="n">
        <v>20.1753</v>
      </c>
      <c r="U295" s="112"/>
      <c r="V295" s="112"/>
      <c r="W295" s="112"/>
      <c r="X295" s="112"/>
      <c r="Y295" s="112"/>
      <c r="Z295" s="112"/>
      <c r="AA295" s="118" t="s">
        <v>82</v>
      </c>
      <c r="AB295" s="118" t="n">
        <v>9</v>
      </c>
      <c r="AC295" s="118" t="s">
        <v>859</v>
      </c>
      <c r="AD295" s="118" t="n">
        <v>23.927677</v>
      </c>
      <c r="AE295" s="118" t="n">
        <v>75.674446</v>
      </c>
    </row>
    <row r="296" customFormat="false" ht="15.75" hidden="false" customHeight="false" outlineLevel="0" collapsed="false">
      <c r="A296" s="196" t="s">
        <v>415</v>
      </c>
      <c r="B296" s="196" t="s">
        <v>1452</v>
      </c>
      <c r="C296" s="197" t="s">
        <v>1817</v>
      </c>
      <c r="D296" s="196" t="s">
        <v>1827</v>
      </c>
      <c r="E296" s="196" t="s">
        <v>1828</v>
      </c>
      <c r="F296" s="196" t="n">
        <v>182.54</v>
      </c>
      <c r="G296" s="196" t="n">
        <v>33</v>
      </c>
      <c r="H296" s="196" t="n">
        <v>178</v>
      </c>
      <c r="I296" s="196" t="n">
        <v>94</v>
      </c>
      <c r="J296" s="196" t="n">
        <v>84</v>
      </c>
      <c r="K296" s="196" t="n">
        <v>46</v>
      </c>
      <c r="L296" s="112" t="n">
        <f aca="false">K296/H296*100</f>
        <v>25.8426966292135</v>
      </c>
      <c r="M296" s="196" t="n">
        <v>0</v>
      </c>
      <c r="N296" s="112" t="n">
        <f aca="false">M296/H296*100</f>
        <v>0</v>
      </c>
      <c r="O296" s="196" t="n">
        <v>22.84</v>
      </c>
      <c r="P296" s="196" t="n">
        <v>0</v>
      </c>
      <c r="Q296" s="224"/>
      <c r="R296" s="224"/>
      <c r="S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</row>
    <row r="297" customFormat="false" ht="15.75" hidden="false" customHeight="false" outlineLevel="0" collapsed="false">
      <c r="A297" s="196" t="s">
        <v>415</v>
      </c>
      <c r="B297" s="196" t="s">
        <v>1452</v>
      </c>
      <c r="C297" s="197" t="s">
        <v>1817</v>
      </c>
      <c r="D297" s="196" t="s">
        <v>1829</v>
      </c>
      <c r="E297" s="196" t="s">
        <v>1830</v>
      </c>
      <c r="F297" s="196" t="n">
        <v>200.26</v>
      </c>
      <c r="G297" s="196" t="n">
        <v>87</v>
      </c>
      <c r="H297" s="196" t="n">
        <v>423</v>
      </c>
      <c r="I297" s="196" t="n">
        <v>218</v>
      </c>
      <c r="J297" s="196" t="n">
        <v>205</v>
      </c>
      <c r="K297" s="196" t="n">
        <v>122</v>
      </c>
      <c r="L297" s="112" t="n">
        <f aca="false">K297/H297*100</f>
        <v>28.8416075650118</v>
      </c>
      <c r="M297" s="196" t="n">
        <v>0</v>
      </c>
      <c r="N297" s="112" t="n">
        <f aca="false">M297/H297*100</f>
        <v>0</v>
      </c>
      <c r="O297" s="196" t="n">
        <v>25.33</v>
      </c>
      <c r="P297" s="196" t="n">
        <v>0</v>
      </c>
      <c r="Q297" s="223" t="s">
        <v>45</v>
      </c>
      <c r="R297" s="223" t="s">
        <v>1820</v>
      </c>
      <c r="S297" s="112"/>
      <c r="T297" s="118"/>
      <c r="U297" s="112"/>
      <c r="V297" s="112"/>
      <c r="W297" s="112"/>
      <c r="X297" s="112"/>
      <c r="Y297" s="112"/>
      <c r="Z297" s="112"/>
      <c r="AA297" s="118"/>
      <c r="AB297" s="118"/>
      <c r="AC297" s="118" t="s">
        <v>859</v>
      </c>
      <c r="AD297" s="118" t="n">
        <v>23.907621</v>
      </c>
      <c r="AE297" s="118" t="n">
        <v>75.666083</v>
      </c>
    </row>
    <row r="298" customFormat="false" ht="15.75" hidden="false" customHeight="false" outlineLevel="0" collapsed="false">
      <c r="A298" s="196" t="s">
        <v>415</v>
      </c>
      <c r="B298" s="196" t="s">
        <v>1452</v>
      </c>
      <c r="C298" s="197" t="s">
        <v>1817</v>
      </c>
      <c r="D298" s="196" t="s">
        <v>1831</v>
      </c>
      <c r="E298" s="196" t="s">
        <v>1832</v>
      </c>
      <c r="F298" s="196" t="n">
        <v>172.84</v>
      </c>
      <c r="G298" s="196" t="n">
        <v>59</v>
      </c>
      <c r="H298" s="196" t="n">
        <v>322</v>
      </c>
      <c r="I298" s="196" t="n">
        <v>166</v>
      </c>
      <c r="J298" s="196" t="n">
        <v>156</v>
      </c>
      <c r="K298" s="196" t="n">
        <v>52</v>
      </c>
      <c r="L298" s="112" t="n">
        <f aca="false">K298/H298*100</f>
        <v>16.1490683229814</v>
      </c>
      <c r="M298" s="196" t="n">
        <v>0</v>
      </c>
      <c r="N298" s="112" t="n">
        <f aca="false">M298/H298*100</f>
        <v>0</v>
      </c>
      <c r="O298" s="196" t="n">
        <v>31.05</v>
      </c>
      <c r="P298" s="196" t="n">
        <v>0</v>
      </c>
      <c r="Q298" s="223" t="s">
        <v>45</v>
      </c>
      <c r="R298" s="223" t="s">
        <v>1820</v>
      </c>
      <c r="S298" s="112"/>
      <c r="U298" s="112"/>
      <c r="V298" s="112"/>
      <c r="W298" s="112"/>
      <c r="X298" s="112"/>
      <c r="Y298" s="112"/>
      <c r="Z298" s="112"/>
      <c r="AA298" s="112"/>
      <c r="AB298" s="112"/>
      <c r="AC298" s="118" t="s">
        <v>859</v>
      </c>
      <c r="AD298" s="118" t="n">
        <v>23.927633</v>
      </c>
      <c r="AE298" s="118" t="n">
        <v>75.674446</v>
      </c>
    </row>
    <row r="299" customFormat="false" ht="15.75" hidden="false" customHeight="false" outlineLevel="0" collapsed="false">
      <c r="A299" s="196" t="s">
        <v>415</v>
      </c>
      <c r="B299" s="196" t="s">
        <v>1452</v>
      </c>
      <c r="C299" s="197" t="s">
        <v>1817</v>
      </c>
      <c r="D299" s="196" t="s">
        <v>1833</v>
      </c>
      <c r="E299" s="196" t="s">
        <v>1834</v>
      </c>
      <c r="F299" s="196" t="n">
        <v>342.33</v>
      </c>
      <c r="G299" s="196" t="n">
        <v>149</v>
      </c>
      <c r="H299" s="196" t="n">
        <v>768</v>
      </c>
      <c r="I299" s="196" t="n">
        <v>379</v>
      </c>
      <c r="J299" s="196" t="n">
        <v>389</v>
      </c>
      <c r="K299" s="196" t="n">
        <v>218</v>
      </c>
      <c r="L299" s="112" t="n">
        <f aca="false">K299/H299*100</f>
        <v>28.3854166666667</v>
      </c>
      <c r="M299" s="196" t="n">
        <v>0</v>
      </c>
      <c r="N299" s="112" t="n">
        <f aca="false">M299/H299*100</f>
        <v>0</v>
      </c>
      <c r="O299" s="196" t="n">
        <v>34.17</v>
      </c>
      <c r="P299" s="196" t="n">
        <v>0</v>
      </c>
      <c r="Q299" s="223" t="s">
        <v>45</v>
      </c>
      <c r="R299" s="223" t="s">
        <v>1820</v>
      </c>
      <c r="S299" s="112"/>
      <c r="T299" s="118"/>
      <c r="U299" s="112"/>
      <c r="V299" s="112"/>
      <c r="W299" s="112"/>
      <c r="X299" s="112"/>
      <c r="Y299" s="112"/>
      <c r="Z299" s="112"/>
      <c r="AA299" s="118"/>
      <c r="AB299" s="118"/>
      <c r="AC299" s="118" t="s">
        <v>859</v>
      </c>
      <c r="AD299" s="118" t="n">
        <v>23.888389</v>
      </c>
      <c r="AE299" s="118" t="n">
        <v>75.631901</v>
      </c>
    </row>
    <row r="300" customFormat="false" ht="15.75" hidden="false" customHeight="false" outlineLevel="0" collapsed="false">
      <c r="A300" s="196" t="s">
        <v>415</v>
      </c>
      <c r="B300" s="196" t="s">
        <v>1452</v>
      </c>
      <c r="C300" s="197" t="s">
        <v>1817</v>
      </c>
      <c r="D300" s="196" t="s">
        <v>1835</v>
      </c>
      <c r="E300" s="196" t="s">
        <v>1836</v>
      </c>
      <c r="F300" s="196" t="n">
        <v>335.18</v>
      </c>
      <c r="G300" s="196" t="n">
        <v>70</v>
      </c>
      <c r="H300" s="196" t="n">
        <v>360</v>
      </c>
      <c r="I300" s="196" t="n">
        <v>180</v>
      </c>
      <c r="J300" s="196" t="n">
        <v>180</v>
      </c>
      <c r="K300" s="196" t="n">
        <v>54</v>
      </c>
      <c r="L300" s="112" t="n">
        <f aca="false">K300/H300*100</f>
        <v>15</v>
      </c>
      <c r="M300" s="196" t="n">
        <v>0</v>
      </c>
      <c r="N300" s="112" t="n">
        <f aca="false">M300/H300*100</f>
        <v>0</v>
      </c>
      <c r="O300" s="196" t="n">
        <v>46.78</v>
      </c>
      <c r="P300" s="196" t="n">
        <v>0</v>
      </c>
      <c r="Q300" s="223" t="s">
        <v>45</v>
      </c>
      <c r="R300" s="223" t="s">
        <v>1820</v>
      </c>
      <c r="S300" s="112"/>
      <c r="T300" s="118" t="n">
        <v>39.2814</v>
      </c>
      <c r="U300" s="112"/>
      <c r="V300" s="112"/>
      <c r="W300" s="112"/>
      <c r="X300" s="112"/>
      <c r="Y300" s="112"/>
      <c r="Z300" s="112"/>
      <c r="AA300" s="118" t="s">
        <v>82</v>
      </c>
      <c r="AB300" s="118" t="n">
        <v>11</v>
      </c>
      <c r="AC300" s="118" t="s">
        <v>859</v>
      </c>
      <c r="AD300" s="118" t="n">
        <v>23.929073</v>
      </c>
      <c r="AE300" s="118" t="n">
        <v>75.650383</v>
      </c>
    </row>
    <row r="301" customFormat="false" ht="15.75" hidden="false" customHeight="false" outlineLevel="0" collapsed="false">
      <c r="A301" s="196" t="s">
        <v>415</v>
      </c>
      <c r="B301" s="196" t="s">
        <v>1452</v>
      </c>
      <c r="C301" s="197" t="s">
        <v>1817</v>
      </c>
      <c r="D301" s="196" t="s">
        <v>1837</v>
      </c>
      <c r="E301" s="196" t="s">
        <v>1838</v>
      </c>
      <c r="F301" s="196" t="n">
        <v>620.9</v>
      </c>
      <c r="G301" s="196" t="n">
        <v>163</v>
      </c>
      <c r="H301" s="196" t="n">
        <v>797</v>
      </c>
      <c r="I301" s="196" t="n">
        <v>404</v>
      </c>
      <c r="J301" s="196" t="n">
        <v>393</v>
      </c>
      <c r="K301" s="196" t="n">
        <v>90</v>
      </c>
      <c r="L301" s="112" t="n">
        <f aca="false">K301/H301*100</f>
        <v>11.2923462986198</v>
      </c>
      <c r="M301" s="196" t="n">
        <v>0</v>
      </c>
      <c r="N301" s="112" t="n">
        <f aca="false">M301/H301*100</f>
        <v>0</v>
      </c>
      <c r="O301" s="196" t="n">
        <v>35.96</v>
      </c>
      <c r="P301" s="196" t="n">
        <v>0</v>
      </c>
      <c r="Q301" s="224"/>
      <c r="R301" s="224"/>
      <c r="S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</row>
    <row r="302" customFormat="false" ht="15.75" hidden="false" customHeight="false" outlineLevel="0" collapsed="false">
      <c r="A302" s="196" t="s">
        <v>415</v>
      </c>
      <c r="B302" s="196" t="s">
        <v>1452</v>
      </c>
      <c r="C302" s="197" t="s">
        <v>1839</v>
      </c>
      <c r="D302" s="198" t="s">
        <v>1840</v>
      </c>
      <c r="E302" s="196" t="s">
        <v>1841</v>
      </c>
      <c r="F302" s="196" t="n">
        <v>873.19</v>
      </c>
      <c r="G302" s="196" t="n">
        <v>456</v>
      </c>
      <c r="H302" s="196" t="n">
        <v>1966</v>
      </c>
      <c r="I302" s="196" t="n">
        <v>1002</v>
      </c>
      <c r="J302" s="196" t="n">
        <v>964</v>
      </c>
      <c r="K302" s="196" t="n">
        <v>345</v>
      </c>
      <c r="L302" s="112" t="n">
        <f aca="false">K302/H302*100</f>
        <v>17.5483214649034</v>
      </c>
      <c r="M302" s="196" t="n">
        <v>20</v>
      </c>
      <c r="N302" s="112" t="n">
        <f aca="false">M302/H302*100</f>
        <v>1.01729399796541</v>
      </c>
      <c r="O302" s="196" t="n">
        <v>107.27</v>
      </c>
      <c r="P302" s="196" t="n">
        <v>82.95</v>
      </c>
      <c r="Q302" s="200" t="s">
        <v>43</v>
      </c>
      <c r="R302" s="200"/>
      <c r="S302" s="112"/>
      <c r="T302" s="204"/>
      <c r="U302" s="112"/>
      <c r="V302" s="112"/>
      <c r="W302" s="112"/>
      <c r="X302" s="112"/>
      <c r="Y302" s="112"/>
      <c r="Z302" s="112"/>
      <c r="AA302" s="200" t="n">
        <v>0</v>
      </c>
      <c r="AB302" s="200" t="s">
        <v>82</v>
      </c>
      <c r="AC302" s="204"/>
      <c r="AD302" s="200"/>
      <c r="AE302" s="200"/>
    </row>
    <row r="303" customFormat="false" ht="15.75" hidden="false" customHeight="false" outlineLevel="0" collapsed="false">
      <c r="A303" s="196" t="s">
        <v>415</v>
      </c>
      <c r="B303" s="196" t="s">
        <v>1452</v>
      </c>
      <c r="C303" s="197" t="s">
        <v>1839</v>
      </c>
      <c r="D303" s="198" t="s">
        <v>1840</v>
      </c>
      <c r="E303" s="196"/>
      <c r="F303" s="196"/>
      <c r="G303" s="196"/>
      <c r="H303" s="196"/>
      <c r="I303" s="196"/>
      <c r="J303" s="196"/>
      <c r="K303" s="196"/>
      <c r="L303" s="112"/>
      <c r="M303" s="196"/>
      <c r="N303" s="112"/>
      <c r="O303" s="196"/>
      <c r="P303" s="196"/>
      <c r="Q303" s="200" t="s">
        <v>43</v>
      </c>
      <c r="R303" s="200" t="s">
        <v>1842</v>
      </c>
      <c r="S303" s="112"/>
      <c r="T303" s="200"/>
      <c r="U303" s="112"/>
      <c r="V303" s="112"/>
      <c r="W303" s="112"/>
      <c r="X303" s="112"/>
      <c r="Y303" s="112"/>
      <c r="Z303" s="112"/>
      <c r="AA303" s="200" t="s">
        <v>43</v>
      </c>
      <c r="AB303" s="200" t="n">
        <v>28</v>
      </c>
      <c r="AC303" s="204"/>
      <c r="AD303" s="200" t="n">
        <v>23.903848</v>
      </c>
      <c r="AE303" s="200" t="n">
        <v>75.614807</v>
      </c>
    </row>
    <row r="304" customFormat="false" ht="15.75" hidden="false" customHeight="false" outlineLevel="0" collapsed="false">
      <c r="A304" s="196" t="s">
        <v>415</v>
      </c>
      <c r="B304" s="196" t="s">
        <v>1452</v>
      </c>
      <c r="C304" s="197" t="s">
        <v>1839</v>
      </c>
      <c r="D304" s="198" t="s">
        <v>1840</v>
      </c>
      <c r="E304" s="196"/>
      <c r="F304" s="196"/>
      <c r="G304" s="196"/>
      <c r="H304" s="196"/>
      <c r="I304" s="196"/>
      <c r="J304" s="196"/>
      <c r="K304" s="196"/>
      <c r="L304" s="112"/>
      <c r="M304" s="196"/>
      <c r="N304" s="112"/>
      <c r="O304" s="196"/>
      <c r="P304" s="196"/>
      <c r="Q304" s="200" t="s">
        <v>43</v>
      </c>
      <c r="R304" s="200" t="s">
        <v>1842</v>
      </c>
      <c r="S304" s="112"/>
      <c r="T304" s="200"/>
      <c r="U304" s="112"/>
      <c r="V304" s="112"/>
      <c r="W304" s="112"/>
      <c r="X304" s="112"/>
      <c r="Y304" s="112"/>
      <c r="Z304" s="112"/>
      <c r="AA304" s="200" t="s">
        <v>43</v>
      </c>
      <c r="AB304" s="200" t="n">
        <v>30</v>
      </c>
      <c r="AC304" s="204"/>
      <c r="AD304" s="200" t="n">
        <v>23.898519</v>
      </c>
      <c r="AE304" s="200" t="n">
        <v>75.60328</v>
      </c>
    </row>
    <row r="305" customFormat="false" ht="15.75" hidden="false" customHeight="false" outlineLevel="0" collapsed="false">
      <c r="A305" s="196" t="s">
        <v>415</v>
      </c>
      <c r="B305" s="196" t="s">
        <v>1452</v>
      </c>
      <c r="C305" s="197" t="s">
        <v>1839</v>
      </c>
      <c r="D305" s="196" t="s">
        <v>1843</v>
      </c>
      <c r="E305" s="196" t="s">
        <v>1844</v>
      </c>
      <c r="F305" s="196" t="n">
        <v>217.48</v>
      </c>
      <c r="G305" s="196" t="n">
        <v>39</v>
      </c>
      <c r="H305" s="196" t="n">
        <v>185</v>
      </c>
      <c r="I305" s="196" t="n">
        <v>88</v>
      </c>
      <c r="J305" s="196" t="n">
        <v>97</v>
      </c>
      <c r="K305" s="196" t="n">
        <v>0</v>
      </c>
      <c r="L305" s="112" t="n">
        <f aca="false">K305/H305*100</f>
        <v>0</v>
      </c>
      <c r="M305" s="196" t="n">
        <v>0</v>
      </c>
      <c r="N305" s="112" t="n">
        <f aca="false">M305/H305*100</f>
        <v>0</v>
      </c>
      <c r="O305" s="196" t="n">
        <v>26.31</v>
      </c>
      <c r="P305" s="196" t="n">
        <v>3.83</v>
      </c>
      <c r="Q305" s="200" t="s">
        <v>43</v>
      </c>
      <c r="R305" s="200" t="s">
        <v>1842</v>
      </c>
      <c r="S305" s="112"/>
      <c r="T305" s="200" t="n">
        <v>26.32</v>
      </c>
      <c r="U305" s="112"/>
      <c r="V305" s="112"/>
      <c r="W305" s="112"/>
      <c r="X305" s="112"/>
      <c r="Y305" s="112"/>
      <c r="Z305" s="112"/>
      <c r="AA305" s="200" t="s">
        <v>272</v>
      </c>
      <c r="AB305" s="200" t="n">
        <v>0</v>
      </c>
      <c r="AC305" s="204"/>
      <c r="AD305" s="200"/>
      <c r="AE305" s="200"/>
    </row>
    <row r="306" customFormat="false" ht="15.75" hidden="false" customHeight="false" outlineLevel="0" collapsed="false">
      <c r="A306" s="196" t="s">
        <v>415</v>
      </c>
      <c r="B306" s="196" t="s">
        <v>1452</v>
      </c>
      <c r="C306" s="197" t="s">
        <v>1839</v>
      </c>
      <c r="D306" s="196" t="s">
        <v>1845</v>
      </c>
      <c r="E306" s="196" t="s">
        <v>1846</v>
      </c>
      <c r="F306" s="196" t="n">
        <v>252.78</v>
      </c>
      <c r="G306" s="196" t="n">
        <v>145</v>
      </c>
      <c r="H306" s="196" t="n">
        <v>442</v>
      </c>
      <c r="I306" s="196" t="n">
        <v>245</v>
      </c>
      <c r="J306" s="196" t="n">
        <v>197</v>
      </c>
      <c r="K306" s="196" t="n">
        <v>88</v>
      </c>
      <c r="L306" s="112" t="n">
        <f aca="false">K306/H306*100</f>
        <v>19.9095022624434</v>
      </c>
      <c r="M306" s="196" t="n">
        <v>0</v>
      </c>
      <c r="N306" s="112" t="n">
        <f aca="false">M306/H306*100</f>
        <v>0</v>
      </c>
      <c r="O306" s="196" t="n">
        <v>14.2</v>
      </c>
      <c r="P306" s="196" t="n">
        <v>0</v>
      </c>
      <c r="Q306" s="200" t="s">
        <v>43</v>
      </c>
      <c r="R306" s="205" t="s">
        <v>1842</v>
      </c>
      <c r="S306" s="112"/>
      <c r="T306" s="200" t="n">
        <v>10.85</v>
      </c>
      <c r="U306" s="112"/>
      <c r="V306" s="112"/>
      <c r="W306" s="112"/>
      <c r="X306" s="112"/>
      <c r="Y306" s="112"/>
      <c r="Z306" s="112"/>
      <c r="AA306" s="200" t="s">
        <v>272</v>
      </c>
      <c r="AB306" s="200" t="n">
        <v>0</v>
      </c>
      <c r="AC306" s="204"/>
      <c r="AD306" s="200"/>
      <c r="AE306" s="200"/>
    </row>
    <row r="307" customFormat="false" ht="15.75" hidden="false" customHeight="false" outlineLevel="0" collapsed="false">
      <c r="A307" s="196" t="s">
        <v>415</v>
      </c>
      <c r="B307" s="196" t="s">
        <v>1452</v>
      </c>
      <c r="C307" s="197" t="s">
        <v>1839</v>
      </c>
      <c r="D307" s="196" t="s">
        <v>1847</v>
      </c>
      <c r="E307" s="196" t="s">
        <v>1848</v>
      </c>
      <c r="F307" s="196" t="n">
        <v>217.21</v>
      </c>
      <c r="G307" s="196" t="n">
        <v>119</v>
      </c>
      <c r="H307" s="196" t="n">
        <v>679</v>
      </c>
      <c r="I307" s="196" t="n">
        <v>331</v>
      </c>
      <c r="J307" s="196" t="n">
        <v>348</v>
      </c>
      <c r="K307" s="196" t="n">
        <v>70</v>
      </c>
      <c r="L307" s="112" t="n">
        <f aca="false">K307/H307*100</f>
        <v>10.3092783505155</v>
      </c>
      <c r="M307" s="196" t="n">
        <v>0</v>
      </c>
      <c r="N307" s="112" t="n">
        <f aca="false">M307/H307*100</f>
        <v>0</v>
      </c>
      <c r="O307" s="196" t="n">
        <v>23.07</v>
      </c>
      <c r="P307" s="196" t="n">
        <v>0</v>
      </c>
      <c r="Q307" s="200" t="s">
        <v>43</v>
      </c>
      <c r="R307" s="200" t="s">
        <v>1842</v>
      </c>
      <c r="S307" s="112"/>
      <c r="T307" s="200" t="n">
        <v>24.34</v>
      </c>
      <c r="U307" s="112"/>
      <c r="V307" s="112"/>
      <c r="W307" s="112"/>
      <c r="X307" s="112"/>
      <c r="Y307" s="112"/>
      <c r="Z307" s="112"/>
      <c r="AA307" s="200" t="s">
        <v>272</v>
      </c>
      <c r="AB307" s="200" t="n">
        <v>0</v>
      </c>
      <c r="AC307" s="204"/>
      <c r="AD307" s="200"/>
      <c r="AE307" s="200"/>
    </row>
    <row r="308" customFormat="false" ht="15.75" hidden="false" customHeight="false" outlineLevel="0" collapsed="false">
      <c r="A308" s="196" t="s">
        <v>415</v>
      </c>
      <c r="B308" s="196" t="s">
        <v>1452</v>
      </c>
      <c r="C308" s="197" t="s">
        <v>1839</v>
      </c>
      <c r="D308" s="196" t="s">
        <v>1847</v>
      </c>
      <c r="E308" s="196"/>
      <c r="F308" s="196"/>
      <c r="G308" s="196"/>
      <c r="H308" s="196"/>
      <c r="I308" s="196"/>
      <c r="J308" s="196"/>
      <c r="K308" s="196"/>
      <c r="L308" s="112"/>
      <c r="M308" s="196"/>
      <c r="N308" s="112"/>
      <c r="O308" s="196"/>
      <c r="P308" s="196"/>
      <c r="Q308" s="200" t="s">
        <v>43</v>
      </c>
      <c r="R308" s="200" t="s">
        <v>1842</v>
      </c>
      <c r="S308" s="112"/>
      <c r="T308" s="200"/>
      <c r="U308" s="112"/>
      <c r="V308" s="112"/>
      <c r="W308" s="112"/>
      <c r="X308" s="112"/>
      <c r="Y308" s="112"/>
      <c r="Z308" s="112"/>
      <c r="AA308" s="200" t="s">
        <v>43</v>
      </c>
      <c r="AB308" s="200" t="n">
        <v>11</v>
      </c>
      <c r="AC308" s="204"/>
      <c r="AD308" s="200" t="n">
        <v>23.923367</v>
      </c>
      <c r="AE308" s="200" t="n">
        <v>75.618798</v>
      </c>
    </row>
    <row r="309" customFormat="false" ht="15.75" hidden="false" customHeight="false" outlineLevel="0" collapsed="false">
      <c r="A309" s="196" t="s">
        <v>415</v>
      </c>
      <c r="B309" s="196" t="s">
        <v>1452</v>
      </c>
      <c r="C309" s="197" t="s">
        <v>1839</v>
      </c>
      <c r="D309" s="196" t="s">
        <v>1847</v>
      </c>
      <c r="E309" s="196"/>
      <c r="F309" s="196"/>
      <c r="G309" s="196"/>
      <c r="H309" s="196"/>
      <c r="I309" s="196"/>
      <c r="J309" s="196"/>
      <c r="K309" s="196"/>
      <c r="L309" s="112"/>
      <c r="M309" s="196"/>
      <c r="N309" s="112"/>
      <c r="O309" s="196"/>
      <c r="P309" s="196"/>
      <c r="Q309" s="200" t="s">
        <v>43</v>
      </c>
      <c r="R309" s="200" t="s">
        <v>1842</v>
      </c>
      <c r="S309" s="112"/>
      <c r="T309" s="200"/>
      <c r="U309" s="112"/>
      <c r="V309" s="112"/>
      <c r="W309" s="112"/>
      <c r="X309" s="112"/>
      <c r="Y309" s="112"/>
      <c r="Z309" s="112"/>
      <c r="AA309" s="200" t="s">
        <v>43</v>
      </c>
      <c r="AB309" s="200" t="n">
        <v>10</v>
      </c>
      <c r="AC309" s="204"/>
      <c r="AD309" s="200" t="n">
        <v>23.921101</v>
      </c>
      <c r="AE309" s="200" t="n">
        <v>75.619173</v>
      </c>
    </row>
    <row r="310" customFormat="false" ht="15.75" hidden="false" customHeight="false" outlineLevel="0" collapsed="false">
      <c r="A310" s="196" t="s">
        <v>415</v>
      </c>
      <c r="B310" s="196" t="s">
        <v>1452</v>
      </c>
      <c r="C310" s="197" t="s">
        <v>1839</v>
      </c>
      <c r="D310" s="196" t="s">
        <v>925</v>
      </c>
      <c r="E310" s="196" t="s">
        <v>1849</v>
      </c>
      <c r="F310" s="196" t="n">
        <v>511.13</v>
      </c>
      <c r="G310" s="196" t="n">
        <v>166</v>
      </c>
      <c r="H310" s="196" t="n">
        <v>923</v>
      </c>
      <c r="I310" s="196" t="n">
        <v>467</v>
      </c>
      <c r="J310" s="196" t="n">
        <v>456</v>
      </c>
      <c r="K310" s="196" t="n">
        <v>151</v>
      </c>
      <c r="L310" s="112" t="n">
        <f aca="false">K310/H310*100</f>
        <v>16.3596966413868</v>
      </c>
      <c r="M310" s="196" t="n">
        <v>2</v>
      </c>
      <c r="N310" s="112" t="n">
        <f aca="false">M310/H310*100</f>
        <v>0.216684723726977</v>
      </c>
      <c r="O310" s="196" t="n">
        <v>51.82</v>
      </c>
      <c r="P310" s="196" t="n">
        <v>11.68</v>
      </c>
      <c r="Q310" s="200" t="s">
        <v>43</v>
      </c>
      <c r="R310" s="205" t="s">
        <v>1842</v>
      </c>
      <c r="S310" s="112"/>
      <c r="T310" s="200" t="n">
        <v>51.85</v>
      </c>
      <c r="U310" s="112"/>
      <c r="V310" s="112"/>
      <c r="W310" s="112"/>
      <c r="X310" s="112"/>
      <c r="Y310" s="112"/>
      <c r="Z310" s="112"/>
      <c r="AA310" s="200" t="s">
        <v>272</v>
      </c>
      <c r="AB310" s="200" t="n">
        <v>0</v>
      </c>
      <c r="AC310" s="204"/>
      <c r="AD310" s="200"/>
      <c r="AE310" s="200"/>
    </row>
    <row r="311" customFormat="false" ht="15.75" hidden="false" customHeight="false" outlineLevel="0" collapsed="false">
      <c r="A311" s="196" t="s">
        <v>415</v>
      </c>
      <c r="B311" s="196" t="s">
        <v>1452</v>
      </c>
      <c r="C311" s="197" t="s">
        <v>1839</v>
      </c>
      <c r="D311" s="196" t="s">
        <v>1850</v>
      </c>
      <c r="E311" s="196" t="s">
        <v>1851</v>
      </c>
      <c r="F311" s="196" t="n">
        <v>492.81</v>
      </c>
      <c r="G311" s="196" t="n">
        <v>423</v>
      </c>
      <c r="H311" s="196" t="n">
        <v>2050</v>
      </c>
      <c r="I311" s="196" t="n">
        <v>1030</v>
      </c>
      <c r="J311" s="196" t="n">
        <v>1020</v>
      </c>
      <c r="K311" s="196" t="n">
        <v>640</v>
      </c>
      <c r="L311" s="112" t="n">
        <f aca="false">K311/H311*100</f>
        <v>31.219512195122</v>
      </c>
      <c r="M311" s="196" t="n">
        <v>26</v>
      </c>
      <c r="N311" s="112" t="n">
        <f aca="false">M311/H311*100</f>
        <v>1.26829268292683</v>
      </c>
      <c r="O311" s="196" t="n">
        <v>17.07</v>
      </c>
      <c r="P311" s="196" t="n">
        <v>0</v>
      </c>
      <c r="Q311" s="200" t="s">
        <v>43</v>
      </c>
      <c r="R311" s="200" t="s">
        <v>1842</v>
      </c>
      <c r="S311" s="112"/>
      <c r="T311" s="200" t="n">
        <v>17.21</v>
      </c>
      <c r="U311" s="112"/>
      <c r="V311" s="112"/>
      <c r="W311" s="112"/>
      <c r="X311" s="112"/>
      <c r="Y311" s="112"/>
      <c r="Z311" s="112"/>
      <c r="AA311" s="200" t="s">
        <v>272</v>
      </c>
      <c r="AB311" s="200" t="n">
        <v>0</v>
      </c>
      <c r="AC311" s="204"/>
      <c r="AD311" s="200"/>
      <c r="AE311" s="200"/>
    </row>
    <row r="312" customFormat="false" ht="15.75" hidden="false" customHeight="false" outlineLevel="0" collapsed="false">
      <c r="A312" s="196" t="s">
        <v>415</v>
      </c>
      <c r="B312" s="196" t="s">
        <v>1452</v>
      </c>
      <c r="C312" s="197" t="s">
        <v>1839</v>
      </c>
      <c r="D312" s="196" t="s">
        <v>1852</v>
      </c>
      <c r="E312" s="196" t="s">
        <v>1853</v>
      </c>
      <c r="F312" s="196" t="n">
        <v>343.67</v>
      </c>
      <c r="G312" s="196" t="n">
        <v>226</v>
      </c>
      <c r="H312" s="196" t="n">
        <v>993</v>
      </c>
      <c r="I312" s="196" t="n">
        <v>501</v>
      </c>
      <c r="J312" s="196" t="n">
        <v>492</v>
      </c>
      <c r="K312" s="196" t="n">
        <v>153</v>
      </c>
      <c r="L312" s="112" t="n">
        <f aca="false">K312/H312*100</f>
        <v>15.4078549848943</v>
      </c>
      <c r="M312" s="196" t="n">
        <v>1</v>
      </c>
      <c r="N312" s="112" t="n">
        <f aca="false">M312/H312*100</f>
        <v>0.100704934541793</v>
      </c>
      <c r="O312" s="196" t="n">
        <v>17.16</v>
      </c>
      <c r="P312" s="196" t="n">
        <v>0</v>
      </c>
      <c r="Q312" s="200" t="s">
        <v>43</v>
      </c>
      <c r="R312" s="205" t="s">
        <v>1842</v>
      </c>
      <c r="S312" s="112"/>
      <c r="T312" s="200" t="n">
        <v>10.85</v>
      </c>
      <c r="U312" s="112"/>
      <c r="V312" s="112"/>
      <c r="W312" s="112"/>
      <c r="X312" s="112"/>
      <c r="Y312" s="112"/>
      <c r="Z312" s="112"/>
      <c r="AA312" s="200" t="s">
        <v>272</v>
      </c>
      <c r="AB312" s="200" t="n">
        <v>0</v>
      </c>
      <c r="AC312" s="204"/>
      <c r="AD312" s="200"/>
      <c r="AE312" s="200"/>
    </row>
    <row r="313" customFormat="false" ht="15.75" hidden="false" customHeight="false" outlineLevel="0" collapsed="false">
      <c r="A313" s="196" t="s">
        <v>415</v>
      </c>
      <c r="B313" s="196" t="s">
        <v>1452</v>
      </c>
      <c r="C313" s="197" t="s">
        <v>1839</v>
      </c>
      <c r="D313" s="196" t="s">
        <v>1854</v>
      </c>
      <c r="E313" s="196" t="s">
        <v>1855</v>
      </c>
      <c r="F313" s="196" t="n">
        <v>178.35</v>
      </c>
      <c r="G313" s="196" t="n">
        <v>85</v>
      </c>
      <c r="H313" s="196" t="n">
        <v>407</v>
      </c>
      <c r="I313" s="196" t="n">
        <v>210</v>
      </c>
      <c r="J313" s="196" t="n">
        <v>197</v>
      </c>
      <c r="K313" s="196" t="n">
        <v>67</v>
      </c>
      <c r="L313" s="112" t="n">
        <f aca="false">K313/H313*100</f>
        <v>16.4619164619165</v>
      </c>
      <c r="M313" s="196" t="n">
        <v>0</v>
      </c>
      <c r="N313" s="112" t="n">
        <f aca="false">M313/H313*100</f>
        <v>0</v>
      </c>
      <c r="O313" s="196" t="n">
        <v>22.42</v>
      </c>
      <c r="P313" s="196" t="n">
        <v>0</v>
      </c>
      <c r="Q313" s="200" t="s">
        <v>43</v>
      </c>
      <c r="R313" s="200" t="s">
        <v>1842</v>
      </c>
      <c r="S313" s="112"/>
      <c r="T313" s="200" t="n">
        <v>27.48</v>
      </c>
      <c r="U313" s="112"/>
      <c r="V313" s="112"/>
      <c r="W313" s="112"/>
      <c r="X313" s="112"/>
      <c r="Y313" s="112"/>
      <c r="Z313" s="112"/>
      <c r="AA313" s="200" t="s">
        <v>272</v>
      </c>
      <c r="AB313" s="200" t="n">
        <v>0</v>
      </c>
      <c r="AC313" s="204"/>
      <c r="AD313" s="200"/>
      <c r="AE313" s="200"/>
    </row>
    <row r="314" customFormat="false" ht="15.75" hidden="false" customHeight="false" outlineLevel="0" collapsed="false">
      <c r="A314" s="196" t="s">
        <v>415</v>
      </c>
      <c r="B314" s="196" t="s">
        <v>1452</v>
      </c>
      <c r="C314" s="197" t="s">
        <v>1856</v>
      </c>
      <c r="D314" s="198" t="s">
        <v>1857</v>
      </c>
      <c r="E314" s="196" t="s">
        <v>1858</v>
      </c>
      <c r="F314" s="196" t="n">
        <v>754.94</v>
      </c>
      <c r="G314" s="196" t="n">
        <v>371</v>
      </c>
      <c r="H314" s="196" t="n">
        <v>2005</v>
      </c>
      <c r="I314" s="196" t="n">
        <v>1005</v>
      </c>
      <c r="J314" s="196" t="n">
        <v>1000</v>
      </c>
      <c r="K314" s="196" t="n">
        <v>298</v>
      </c>
      <c r="L314" s="112" t="n">
        <f aca="false">K314/H314*100</f>
        <v>14.8628428927681</v>
      </c>
      <c r="M314" s="196" t="n">
        <v>0</v>
      </c>
      <c r="N314" s="112" t="n">
        <f aca="false">M314/H314*100</f>
        <v>0</v>
      </c>
      <c r="O314" s="196" t="n">
        <v>90.15</v>
      </c>
      <c r="P314" s="196" t="n">
        <v>78.88</v>
      </c>
      <c r="Q314" s="204"/>
      <c r="R314" s="204"/>
      <c r="S314" s="112"/>
      <c r="T314" s="204"/>
      <c r="U314" s="112"/>
      <c r="V314" s="112"/>
      <c r="W314" s="112"/>
      <c r="X314" s="112"/>
      <c r="Y314" s="112"/>
      <c r="Z314" s="112"/>
      <c r="AA314" s="204"/>
      <c r="AB314" s="204"/>
      <c r="AC314" s="204"/>
      <c r="AD314" s="204"/>
      <c r="AE314" s="204"/>
    </row>
    <row r="315" customFormat="false" ht="15.75" hidden="false" customHeight="false" outlineLevel="0" collapsed="false">
      <c r="A315" s="196" t="s">
        <v>415</v>
      </c>
      <c r="B315" s="196" t="s">
        <v>1452</v>
      </c>
      <c r="C315" s="197" t="s">
        <v>1856</v>
      </c>
      <c r="D315" s="196" t="s">
        <v>1859</v>
      </c>
      <c r="E315" s="196" t="s">
        <v>1860</v>
      </c>
      <c r="F315" s="196" t="n">
        <v>101.68</v>
      </c>
      <c r="G315" s="196" t="n">
        <v>0</v>
      </c>
      <c r="H315" s="196" t="n">
        <v>0</v>
      </c>
      <c r="I315" s="196" t="n">
        <v>0</v>
      </c>
      <c r="J315" s="196" t="n">
        <v>0</v>
      </c>
      <c r="K315" s="196" t="n">
        <v>0</v>
      </c>
      <c r="L315" s="112"/>
      <c r="M315" s="196"/>
      <c r="N315" s="112"/>
      <c r="O315" s="196" t="n">
        <v>0</v>
      </c>
      <c r="P315" s="196" t="n">
        <v>0</v>
      </c>
      <c r="Q315" s="204"/>
      <c r="R315" s="204"/>
      <c r="S315" s="112"/>
      <c r="T315" s="204"/>
      <c r="U315" s="112"/>
      <c r="V315" s="112"/>
      <c r="W315" s="112"/>
      <c r="X315" s="112"/>
      <c r="Y315" s="112"/>
      <c r="Z315" s="112"/>
      <c r="AA315" s="204"/>
      <c r="AB315" s="204"/>
      <c r="AC315" s="204"/>
      <c r="AD315" s="204"/>
      <c r="AE315" s="204"/>
    </row>
    <row r="316" customFormat="false" ht="15.75" hidden="false" customHeight="false" outlineLevel="0" collapsed="false">
      <c r="A316" s="196" t="s">
        <v>415</v>
      </c>
      <c r="B316" s="196" t="s">
        <v>1452</v>
      </c>
      <c r="C316" s="197" t="s">
        <v>1856</v>
      </c>
      <c r="D316" s="196" t="s">
        <v>1674</v>
      </c>
      <c r="E316" s="196" t="s">
        <v>1861</v>
      </c>
      <c r="F316" s="196" t="n">
        <v>239.99</v>
      </c>
      <c r="G316" s="196" t="n">
        <v>0</v>
      </c>
      <c r="H316" s="196" t="n">
        <v>0</v>
      </c>
      <c r="I316" s="196" t="n">
        <v>0</v>
      </c>
      <c r="J316" s="196" t="n">
        <v>0</v>
      </c>
      <c r="K316" s="196" t="n">
        <v>0</v>
      </c>
      <c r="L316" s="112"/>
      <c r="M316" s="196"/>
      <c r="N316" s="112"/>
      <c r="O316" s="196" t="n">
        <v>2.54</v>
      </c>
      <c r="P316" s="196" t="n">
        <v>0</v>
      </c>
      <c r="Q316" s="204"/>
      <c r="R316" s="204"/>
      <c r="S316" s="112"/>
      <c r="T316" s="204"/>
      <c r="U316" s="112"/>
      <c r="V316" s="112"/>
      <c r="W316" s="112"/>
      <c r="X316" s="112"/>
      <c r="Y316" s="112"/>
      <c r="Z316" s="112"/>
      <c r="AA316" s="204"/>
      <c r="AB316" s="204"/>
      <c r="AC316" s="204"/>
      <c r="AD316" s="204"/>
      <c r="AE316" s="204"/>
    </row>
    <row r="317" customFormat="false" ht="15.75" hidden="false" customHeight="false" outlineLevel="0" collapsed="false">
      <c r="A317" s="196" t="s">
        <v>415</v>
      </c>
      <c r="B317" s="196" t="s">
        <v>1452</v>
      </c>
      <c r="C317" s="197" t="s">
        <v>1856</v>
      </c>
      <c r="D317" s="196" t="s">
        <v>1862</v>
      </c>
      <c r="E317" s="196" t="s">
        <v>1863</v>
      </c>
      <c r="F317" s="196" t="n">
        <v>237.87</v>
      </c>
      <c r="G317" s="196" t="n">
        <v>96</v>
      </c>
      <c r="H317" s="196" t="n">
        <v>505</v>
      </c>
      <c r="I317" s="196" t="n">
        <v>254</v>
      </c>
      <c r="J317" s="196" t="n">
        <v>251</v>
      </c>
      <c r="K317" s="196" t="n">
        <v>390</v>
      </c>
      <c r="L317" s="112" t="n">
        <f aca="false">K317/H317*100</f>
        <v>77.2277227722772</v>
      </c>
      <c r="M317" s="196" t="n">
        <v>0</v>
      </c>
      <c r="N317" s="112" t="n">
        <f aca="false">M317/H317*100</f>
        <v>0</v>
      </c>
      <c r="O317" s="196" t="n">
        <v>0</v>
      </c>
      <c r="P317" s="196" t="n">
        <v>40.54</v>
      </c>
      <c r="Q317" s="204"/>
      <c r="R317" s="204"/>
      <c r="S317" s="112"/>
      <c r="T317" s="204"/>
      <c r="U317" s="112"/>
      <c r="V317" s="112"/>
      <c r="W317" s="112"/>
      <c r="X317" s="112"/>
      <c r="Y317" s="112"/>
      <c r="Z317" s="112"/>
      <c r="AA317" s="204"/>
      <c r="AB317" s="204"/>
      <c r="AC317" s="204"/>
      <c r="AD317" s="204"/>
      <c r="AE317" s="204"/>
    </row>
    <row r="318" customFormat="false" ht="15.75" hidden="false" customHeight="false" outlineLevel="0" collapsed="false">
      <c r="A318" s="196" t="s">
        <v>415</v>
      </c>
      <c r="B318" s="196" t="s">
        <v>1452</v>
      </c>
      <c r="C318" s="197" t="s">
        <v>1856</v>
      </c>
      <c r="D318" s="196" t="s">
        <v>1864</v>
      </c>
      <c r="E318" s="196" t="s">
        <v>1865</v>
      </c>
      <c r="F318" s="196" t="n">
        <v>318.6</v>
      </c>
      <c r="G318" s="196" t="n">
        <v>112</v>
      </c>
      <c r="H318" s="196" t="n">
        <v>513</v>
      </c>
      <c r="I318" s="196" t="n">
        <v>270</v>
      </c>
      <c r="J318" s="196" t="n">
        <v>243</v>
      </c>
      <c r="K318" s="196" t="n">
        <v>137</v>
      </c>
      <c r="L318" s="112" t="n">
        <f aca="false">K318/H318*100</f>
        <v>26.7056530214425</v>
      </c>
      <c r="M318" s="196" t="n">
        <v>0</v>
      </c>
      <c r="N318" s="112" t="n">
        <f aca="false">M318/H318*100</f>
        <v>0</v>
      </c>
      <c r="O318" s="196" t="n">
        <v>18.32</v>
      </c>
      <c r="P318" s="196" t="n">
        <v>0</v>
      </c>
      <c r="Q318" s="204"/>
      <c r="R318" s="204"/>
      <c r="S318" s="112"/>
      <c r="T318" s="204"/>
      <c r="U318" s="112"/>
      <c r="V318" s="112"/>
      <c r="W318" s="112"/>
      <c r="X318" s="112"/>
      <c r="Y318" s="112"/>
      <c r="Z318" s="112"/>
      <c r="AA318" s="204"/>
      <c r="AB318" s="204"/>
      <c r="AC318" s="204"/>
      <c r="AD318" s="204"/>
      <c r="AE318" s="204"/>
    </row>
    <row r="319" customFormat="false" ht="15.75" hidden="false" customHeight="false" outlineLevel="0" collapsed="false">
      <c r="A319" s="196" t="s">
        <v>415</v>
      </c>
      <c r="B319" s="196" t="s">
        <v>1452</v>
      </c>
      <c r="C319" s="197" t="s">
        <v>1856</v>
      </c>
      <c r="D319" s="196" t="s">
        <v>1866</v>
      </c>
      <c r="E319" s="196" t="s">
        <v>1867</v>
      </c>
      <c r="F319" s="196" t="n">
        <v>883.23</v>
      </c>
      <c r="G319" s="196" t="n">
        <v>264</v>
      </c>
      <c r="H319" s="196" t="n">
        <v>1341</v>
      </c>
      <c r="I319" s="196" t="n">
        <v>671</v>
      </c>
      <c r="J319" s="196" t="n">
        <v>670</v>
      </c>
      <c r="K319" s="196" t="n">
        <v>634</v>
      </c>
      <c r="L319" s="112" t="n">
        <f aca="false">K319/H319*100</f>
        <v>47.2781506338553</v>
      </c>
      <c r="M319" s="196" t="n">
        <v>2</v>
      </c>
      <c r="N319" s="112" t="n">
        <f aca="false">M319/H319*100</f>
        <v>0.149142431021626</v>
      </c>
      <c r="O319" s="196" t="n">
        <v>0</v>
      </c>
      <c r="P319" s="196" t="n">
        <v>147.3</v>
      </c>
      <c r="Q319" s="204"/>
      <c r="R319" s="204"/>
      <c r="S319" s="112"/>
      <c r="T319" s="204"/>
      <c r="U319" s="112"/>
      <c r="V319" s="112"/>
      <c r="W319" s="112"/>
      <c r="X319" s="112"/>
      <c r="Y319" s="112"/>
      <c r="Z319" s="112"/>
      <c r="AA319" s="204"/>
      <c r="AB319" s="204"/>
      <c r="AC319" s="204"/>
      <c r="AD319" s="204"/>
      <c r="AE319" s="204"/>
    </row>
    <row r="320" customFormat="false" ht="15.75" hidden="false" customHeight="false" outlineLevel="0" collapsed="false">
      <c r="A320" s="196" t="s">
        <v>415</v>
      </c>
      <c r="B320" s="196" t="s">
        <v>1452</v>
      </c>
      <c r="C320" s="197" t="s">
        <v>1856</v>
      </c>
      <c r="D320" s="196" t="s">
        <v>1720</v>
      </c>
      <c r="E320" s="196" t="s">
        <v>1868</v>
      </c>
      <c r="F320" s="196" t="n">
        <v>447</v>
      </c>
      <c r="G320" s="196" t="n">
        <v>126</v>
      </c>
      <c r="H320" s="196" t="n">
        <v>694</v>
      </c>
      <c r="I320" s="196" t="n">
        <v>331</v>
      </c>
      <c r="J320" s="196" t="n">
        <v>363</v>
      </c>
      <c r="K320" s="196" t="n">
        <v>269</v>
      </c>
      <c r="L320" s="112" t="n">
        <f aca="false">K320/H320*100</f>
        <v>38.7608069164265</v>
      </c>
      <c r="M320" s="196" t="n">
        <v>0</v>
      </c>
      <c r="N320" s="112" t="n">
        <f aca="false">M320/H320*100</f>
        <v>0</v>
      </c>
      <c r="O320" s="196" t="n">
        <v>0</v>
      </c>
      <c r="P320" s="196" t="n">
        <v>88.72</v>
      </c>
      <c r="Q320" s="204"/>
      <c r="R320" s="204"/>
      <c r="S320" s="112"/>
      <c r="T320" s="204"/>
      <c r="U320" s="112"/>
      <c r="V320" s="112"/>
      <c r="W320" s="112"/>
      <c r="X320" s="112"/>
      <c r="Y320" s="112"/>
      <c r="Z320" s="112"/>
      <c r="AA320" s="204"/>
      <c r="AB320" s="204"/>
      <c r="AC320" s="204"/>
      <c r="AD320" s="204"/>
      <c r="AE320" s="204"/>
    </row>
    <row r="321" customFormat="false" ht="15.75" hidden="false" customHeight="false" outlineLevel="0" collapsed="false">
      <c r="A321" s="196" t="s">
        <v>415</v>
      </c>
      <c r="B321" s="196" t="s">
        <v>1452</v>
      </c>
      <c r="C321" s="197" t="s">
        <v>1869</v>
      </c>
      <c r="D321" s="198" t="s">
        <v>1870</v>
      </c>
      <c r="E321" s="196" t="s">
        <v>1871</v>
      </c>
      <c r="F321" s="196" t="n">
        <v>1798.34</v>
      </c>
      <c r="G321" s="196" t="n">
        <v>780</v>
      </c>
      <c r="H321" s="196" t="n">
        <v>3968</v>
      </c>
      <c r="I321" s="196" t="n">
        <v>1982</v>
      </c>
      <c r="J321" s="196" t="n">
        <v>1986</v>
      </c>
      <c r="K321" s="196" t="n">
        <v>788</v>
      </c>
      <c r="L321" s="112" t="n">
        <f aca="false">K321/H321*100</f>
        <v>19.8588709677419</v>
      </c>
      <c r="M321" s="196" t="n">
        <v>20</v>
      </c>
      <c r="N321" s="112" t="n">
        <f aca="false">M321/H321*100</f>
        <v>0.504032258064516</v>
      </c>
      <c r="O321" s="196" t="n">
        <v>6.2</v>
      </c>
      <c r="P321" s="196" t="n">
        <v>0</v>
      </c>
      <c r="Q321" s="200" t="s">
        <v>45</v>
      </c>
      <c r="R321" s="200" t="s">
        <v>1523</v>
      </c>
      <c r="S321" s="112"/>
      <c r="T321" s="200" t="n">
        <v>123.24</v>
      </c>
      <c r="U321" s="112"/>
      <c r="V321" s="112"/>
      <c r="W321" s="112"/>
      <c r="X321" s="112"/>
      <c r="Y321" s="112"/>
      <c r="Z321" s="112"/>
      <c r="AA321" s="200" t="s">
        <v>45</v>
      </c>
      <c r="AB321" s="200" t="n">
        <v>2.49</v>
      </c>
      <c r="AC321" s="204"/>
      <c r="AD321" s="200" t="n">
        <v>23.82</v>
      </c>
      <c r="AE321" s="200" t="n">
        <v>75.59</v>
      </c>
    </row>
    <row r="322" customFormat="false" ht="15.75" hidden="false" customHeight="false" outlineLevel="0" collapsed="false">
      <c r="A322" s="196" t="s">
        <v>415</v>
      </c>
      <c r="B322" s="196" t="s">
        <v>1452</v>
      </c>
      <c r="C322" s="197" t="s">
        <v>1869</v>
      </c>
      <c r="D322" s="196" t="s">
        <v>1872</v>
      </c>
      <c r="E322" s="196" t="s">
        <v>1873</v>
      </c>
      <c r="F322" s="196" t="n">
        <v>208.51</v>
      </c>
      <c r="G322" s="196" t="n">
        <v>68</v>
      </c>
      <c r="H322" s="196" t="n">
        <v>289</v>
      </c>
      <c r="I322" s="196" t="n">
        <v>153</v>
      </c>
      <c r="J322" s="196" t="n">
        <v>136</v>
      </c>
      <c r="K322" s="196" t="n">
        <v>43</v>
      </c>
      <c r="L322" s="112" t="n">
        <f aca="false">K322/H322*100</f>
        <v>14.878892733564</v>
      </c>
      <c r="M322" s="196" t="n">
        <v>0</v>
      </c>
      <c r="N322" s="112" t="n">
        <f aca="false">M322/H322*100</f>
        <v>0</v>
      </c>
      <c r="O322" s="196" t="n">
        <v>19.88</v>
      </c>
      <c r="P322" s="196" t="n">
        <v>0</v>
      </c>
      <c r="Q322" s="200" t="s">
        <v>45</v>
      </c>
      <c r="R322" s="200" t="s">
        <v>436</v>
      </c>
      <c r="S322" s="112"/>
      <c r="T322" s="200" t="n">
        <v>84.12</v>
      </c>
      <c r="U322" s="112"/>
      <c r="V322" s="112"/>
      <c r="W322" s="112"/>
      <c r="X322" s="112"/>
      <c r="Y322" s="112"/>
      <c r="Z322" s="112"/>
      <c r="AA322" s="200" t="s">
        <v>45</v>
      </c>
      <c r="AB322" s="200" t="n">
        <v>2</v>
      </c>
      <c r="AC322" s="204"/>
      <c r="AD322" s="200" t="n">
        <v>23.84</v>
      </c>
      <c r="AE322" s="200" t="n">
        <v>75.56</v>
      </c>
    </row>
    <row r="323" customFormat="false" ht="15.75" hidden="false" customHeight="false" outlineLevel="0" collapsed="false">
      <c r="A323" s="196" t="s">
        <v>415</v>
      </c>
      <c r="B323" s="196" t="s">
        <v>1452</v>
      </c>
      <c r="C323" s="197" t="s">
        <v>1869</v>
      </c>
      <c r="D323" s="196" t="s">
        <v>235</v>
      </c>
      <c r="E323" s="196" t="s">
        <v>1874</v>
      </c>
      <c r="F323" s="196" t="n">
        <v>357.94</v>
      </c>
      <c r="G323" s="196" t="n">
        <v>84</v>
      </c>
      <c r="H323" s="196" t="n">
        <v>382</v>
      </c>
      <c r="I323" s="196" t="n">
        <v>196</v>
      </c>
      <c r="J323" s="196" t="n">
        <v>186</v>
      </c>
      <c r="K323" s="196" t="n">
        <v>17</v>
      </c>
      <c r="L323" s="112" t="n">
        <f aca="false">K323/H323*100</f>
        <v>4.45026178010471</v>
      </c>
      <c r="M323" s="196" t="n">
        <v>0</v>
      </c>
      <c r="N323" s="112" t="n">
        <f aca="false">M323/H323*100</f>
        <v>0</v>
      </c>
      <c r="O323" s="196" t="n">
        <v>9.97</v>
      </c>
      <c r="P323" s="196" t="n">
        <v>77.71</v>
      </c>
      <c r="Q323" s="200" t="s">
        <v>45</v>
      </c>
      <c r="R323" s="200" t="s">
        <v>1531</v>
      </c>
      <c r="S323" s="112"/>
      <c r="T323" s="200" t="n">
        <v>81.11</v>
      </c>
      <c r="U323" s="112"/>
      <c r="V323" s="112"/>
      <c r="W323" s="112"/>
      <c r="X323" s="112"/>
      <c r="Y323" s="112"/>
      <c r="Z323" s="112"/>
      <c r="AA323" s="200" t="s">
        <v>45</v>
      </c>
      <c r="AB323" s="200" t="n">
        <v>2</v>
      </c>
      <c r="AC323" s="204"/>
      <c r="AD323" s="200" t="n">
        <v>23.83</v>
      </c>
      <c r="AE323" s="200" t="n">
        <v>75.68</v>
      </c>
    </row>
    <row r="324" customFormat="false" ht="15.75" hidden="false" customHeight="false" outlineLevel="0" collapsed="false">
      <c r="A324" s="196" t="s">
        <v>415</v>
      </c>
      <c r="B324" s="196" t="s">
        <v>1452</v>
      </c>
      <c r="C324" s="197" t="s">
        <v>1869</v>
      </c>
      <c r="D324" s="196" t="s">
        <v>1875</v>
      </c>
      <c r="E324" s="196" t="s">
        <v>1876</v>
      </c>
      <c r="F324" s="196" t="n">
        <v>416.33</v>
      </c>
      <c r="G324" s="196" t="n">
        <v>159</v>
      </c>
      <c r="H324" s="196" t="n">
        <v>694</v>
      </c>
      <c r="I324" s="196" t="n">
        <v>360</v>
      </c>
      <c r="J324" s="196" t="n">
        <v>334</v>
      </c>
      <c r="K324" s="196" t="n">
        <v>109</v>
      </c>
      <c r="L324" s="112" t="n">
        <f aca="false">K324/H324*100</f>
        <v>15.7060518731989</v>
      </c>
      <c r="M324" s="196" t="n">
        <v>0</v>
      </c>
      <c r="N324" s="112" t="n">
        <f aca="false">M324/H324*100</f>
        <v>0</v>
      </c>
      <c r="O324" s="196" t="n">
        <v>26.59</v>
      </c>
      <c r="P324" s="196" t="n">
        <v>60.74</v>
      </c>
      <c r="Q324" s="200" t="s">
        <v>45</v>
      </c>
      <c r="R324" s="200" t="s">
        <v>1493</v>
      </c>
      <c r="S324" s="112"/>
      <c r="T324" s="200" t="n">
        <v>123.01</v>
      </c>
      <c r="U324" s="112"/>
      <c r="V324" s="112"/>
      <c r="W324" s="112"/>
      <c r="X324" s="112"/>
      <c r="Y324" s="112"/>
      <c r="Z324" s="112"/>
      <c r="AA324" s="200" t="s">
        <v>45</v>
      </c>
      <c r="AB324" s="200" t="n">
        <v>2</v>
      </c>
      <c r="AC324" s="204"/>
      <c r="AD324" s="200" t="n">
        <v>23.85</v>
      </c>
      <c r="AE324" s="200" t="n">
        <v>75.6</v>
      </c>
    </row>
    <row r="325" customFormat="false" ht="15.75" hidden="false" customHeight="false" outlineLevel="0" collapsed="false">
      <c r="A325" s="204"/>
      <c r="B325" s="204"/>
      <c r="C325" s="204"/>
      <c r="D325" s="204"/>
      <c r="E325" s="204"/>
      <c r="F325" s="225" t="n">
        <f aca="false">SUM(F4:F324)</f>
        <v>89878.73</v>
      </c>
      <c r="G325" s="225" t="n">
        <f aca="false">SUM(G4:G324)</f>
        <v>32165</v>
      </c>
      <c r="H325" s="225" t="n">
        <f aca="false">SUM(H4:H324)</f>
        <v>158902</v>
      </c>
      <c r="I325" s="225" t="n">
        <f aca="false">SUM(I4:I324)</f>
        <v>81149</v>
      </c>
      <c r="J325" s="225" t="n">
        <f aca="false">SUM(J4:J324)</f>
        <v>77753</v>
      </c>
      <c r="K325" s="225" t="n">
        <f aca="false">SUM(K4:K324)</f>
        <v>39513</v>
      </c>
      <c r="L325" s="112" t="n">
        <f aca="false">K325/H325*100</f>
        <v>24.8662697763401</v>
      </c>
      <c r="M325" s="225" t="n">
        <f aca="false">SUM(M4:M324)</f>
        <v>397</v>
      </c>
      <c r="N325" s="112" t="n">
        <f aca="false">M325/H325*100</f>
        <v>0.249839523731608</v>
      </c>
      <c r="O325" s="225" t="n">
        <f aca="false">SUM(O4:O324)</f>
        <v>7380.83</v>
      </c>
      <c r="P325" s="225" t="n">
        <f aca="false">SUM(P4:P324)</f>
        <v>11166.68</v>
      </c>
      <c r="Q325" s="224"/>
      <c r="R325" s="224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204"/>
      <c r="AD325" s="112"/>
      <c r="AE325" s="112"/>
    </row>
  </sheetData>
  <mergeCells count="3">
    <mergeCell ref="K2:L2"/>
    <mergeCell ref="M2:N2"/>
    <mergeCell ref="AD2:AE2"/>
  </mergeCells>
  <conditionalFormatting sqref="AC285:AC286">
    <cfRule type="expression" priority="2" aboveAverage="0" equalAverage="0" bottom="0" percent="0" rank="0" text="" dxfId="4">
      <formula>AND(COUNTIF($B$133:$B$65544, AC285)+COUNTIF($B$68:$B$71, AC285)+COUNTIF($B$2:$B$4, AC285)+COUNTIF($B$8:$B$66, AC285)+COUNTIF($C$7, AC285)+COUNTIF($B$6, AC285)+COUNTIF($B$91:$B$111, AC285)&gt;1,NOT(ISBLANK(AC285)))</formula>
    </cfRule>
  </conditionalFormatting>
  <conditionalFormatting sqref="AC25">
    <cfRule type="expression" priority="3" aboveAverage="0" equalAverage="0" bottom="0" percent="0" rank="0" text="" dxfId="5">
      <formula>AND(COUNTIF($B$215:$B$65644, AC25)+COUNTIF($B$133:$B$136, AC25)+COUNTIF($B$2:$B$4, AC25)+COUNTIF($B$8:$B$131, AC25)+COUNTIF($C$7, AC25)+COUNTIF($B$6, AC25)+COUNTIF($B$158:$B$183, AC25)&gt;1,NOT(ISBLANK(AC25)))</formula>
    </cfRule>
  </conditionalFormatting>
  <conditionalFormatting sqref="AC27:AC28">
    <cfRule type="expression" priority="4" aboveAverage="0" equalAverage="0" bottom="0" percent="0" rank="0" text="" dxfId="6">
      <formula>AND(COUNTIF($B$208:$B$65637, AC27)+COUNTIF($B$126:$B$129, AC27)+COUNTIF($B$2:$B$4, AC27)+COUNTIF($B$8:$B$124, AC27)+COUNTIF($C$7, AC27)+COUNTIF($B$6, AC27)+COUNTIF($B$150:$B$174, AC27)&gt;1,NOT(ISBLANK(AC27)))</formula>
    </cfRule>
  </conditionalFormatting>
  <conditionalFormatting sqref="AC289">
    <cfRule type="expression" priority="5" aboveAverage="0" equalAverage="0" bottom="0" percent="0" rank="0" text="" dxfId="7">
      <formula>AND(COUNTIF($B$133:$B$65522, AC289)+COUNTIF($B$68:$B$71, AC289)+COUNTIF($B$2:$B$4, AC289)+COUNTIF($B$8:$B$66, AC289)+COUNTIF($C$7, AC289)+COUNTIF($B$6, AC289)+COUNTIF($B$91:$B$111, AC289)&gt;1,NOT(ISBLANK(AC289)))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B246" activeCellId="0" sqref="AB246"/>
    </sheetView>
  </sheetViews>
  <sheetFormatPr defaultColWidth="8.5390625" defaultRowHeight="15" zeroHeight="false" outlineLevelRow="0" outlineLevelCol="0"/>
  <cols>
    <col collapsed="false" customWidth="true" hidden="false" outlineLevel="0" max="1" min="1" style="112" width="9.14"/>
    <col collapsed="false" customWidth="true" hidden="false" outlineLevel="0" max="2" min="2" style="112" width="16.14"/>
    <col collapsed="false" customWidth="true" hidden="false" outlineLevel="0" max="3" min="3" style="112" width="12.14"/>
    <col collapsed="false" customWidth="true" hidden="false" outlineLevel="0" max="4" min="4" style="112" width="15"/>
    <col collapsed="false" customWidth="true" hidden="false" outlineLevel="0" max="5" min="5" style="112" width="18.14"/>
    <col collapsed="false" customWidth="true" hidden="false" outlineLevel="0" max="16" min="6" style="112" width="9.14"/>
    <col collapsed="false" customWidth="true" hidden="false" outlineLevel="0" max="17" min="17" style="112" width="11.14"/>
    <col collapsed="false" customWidth="true" hidden="false" outlineLevel="0" max="18" min="18" style="112" width="15"/>
    <col collapsed="false" customWidth="true" hidden="false" outlineLevel="0" max="19" min="19" style="112" width="12.71"/>
    <col collapsed="false" customWidth="true" hidden="false" outlineLevel="0" max="20" min="20" style="112" width="22.71"/>
    <col collapsed="false" customWidth="true" hidden="false" outlineLevel="0" max="23" min="21" style="112" width="9.14"/>
    <col collapsed="false" customWidth="true" hidden="false" outlineLevel="0" max="24" min="24" style="112" width="15.14"/>
    <col collapsed="false" customWidth="true" hidden="false" outlineLevel="0" max="25" min="25" style="112" width="15.71"/>
    <col collapsed="false" customWidth="true" hidden="false" outlineLevel="0" max="26" min="26" style="112" width="13.28"/>
    <col collapsed="false" customWidth="true" hidden="false" outlineLevel="0" max="27" min="27" style="112" width="18.71"/>
    <col collapsed="false" customWidth="true" hidden="false" outlineLevel="0" max="28" min="28" style="112" width="27"/>
    <col collapsed="false" customWidth="true" hidden="false" outlineLevel="0" max="29" min="29" style="38" width="26.29"/>
    <col collapsed="false" customWidth="true" hidden="false" outlineLevel="0" max="30" min="30" style="38" width="20.28"/>
    <col collapsed="false" customWidth="true" hidden="false" outlineLevel="0" max="31" min="31" style="38" width="17.14"/>
    <col collapsed="false" customWidth="true" hidden="false" outlineLevel="0" max="32" min="32" style="26" width="9.14"/>
  </cols>
  <sheetData>
    <row r="1" s="68" customFormat="true" ht="18" hidden="false" customHeight="true" outlineLevel="0" collapsed="false">
      <c r="A1" s="64"/>
      <c r="B1" s="64"/>
      <c r="C1" s="64"/>
      <c r="D1" s="2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 t="s">
        <v>0</v>
      </c>
      <c r="R1" s="65" t="s">
        <v>0</v>
      </c>
      <c r="S1" s="66" t="s">
        <v>0</v>
      </c>
      <c r="T1" s="66" t="s">
        <v>1</v>
      </c>
      <c r="U1" s="66" t="s">
        <v>1</v>
      </c>
      <c r="V1" s="66" t="s">
        <v>1</v>
      </c>
      <c r="W1" s="66" t="s">
        <v>1</v>
      </c>
      <c r="X1" s="66" t="s">
        <v>1</v>
      </c>
      <c r="Y1" s="66" t="s">
        <v>1</v>
      </c>
      <c r="Z1" s="64" t="s">
        <v>2</v>
      </c>
      <c r="AA1" s="64" t="s">
        <v>2</v>
      </c>
      <c r="AB1" s="64" t="s">
        <v>2</v>
      </c>
      <c r="AC1" s="27" t="s">
        <v>2</v>
      </c>
      <c r="AD1" s="27" t="s">
        <v>2</v>
      </c>
      <c r="AE1" s="27" t="s">
        <v>2</v>
      </c>
      <c r="AF1" s="32"/>
    </row>
    <row r="2" s="70" customFormat="true" ht="56.45" hidden="false" customHeight="true" outlineLevel="0" collapsed="false">
      <c r="A2" s="69" t="s">
        <v>3</v>
      </c>
      <c r="B2" s="69" t="s">
        <v>4</v>
      </c>
      <c r="C2" s="69" t="s">
        <v>5</v>
      </c>
      <c r="D2" s="33" t="s">
        <v>6</v>
      </c>
      <c r="E2" s="69" t="s">
        <v>7</v>
      </c>
      <c r="F2" s="69" t="s">
        <v>8</v>
      </c>
      <c r="G2" s="69" t="s">
        <v>9</v>
      </c>
      <c r="H2" s="69" t="s">
        <v>10</v>
      </c>
      <c r="I2" s="69" t="s">
        <v>11</v>
      </c>
      <c r="J2" s="69" t="s">
        <v>12</v>
      </c>
      <c r="K2" s="6" t="s">
        <v>13</v>
      </c>
      <c r="L2" s="6"/>
      <c r="M2" s="6" t="s">
        <v>14</v>
      </c>
      <c r="N2" s="6"/>
      <c r="O2" s="69" t="s">
        <v>15</v>
      </c>
      <c r="P2" s="69" t="s">
        <v>16</v>
      </c>
      <c r="Q2" s="6" t="s">
        <v>17</v>
      </c>
      <c r="R2" s="6" t="s">
        <v>18</v>
      </c>
      <c r="S2" s="69" t="s">
        <v>19</v>
      </c>
      <c r="T2" s="159" t="s">
        <v>20</v>
      </c>
      <c r="U2" s="69" t="s">
        <v>21</v>
      </c>
      <c r="V2" s="159" t="s">
        <v>22</v>
      </c>
      <c r="W2" s="69" t="s">
        <v>23</v>
      </c>
      <c r="X2" s="69" t="s">
        <v>24</v>
      </c>
      <c r="Y2" s="159" t="s">
        <v>25</v>
      </c>
      <c r="Z2" s="159" t="s">
        <v>26</v>
      </c>
      <c r="AA2" s="159" t="s">
        <v>27</v>
      </c>
      <c r="AB2" s="159" t="s">
        <v>28</v>
      </c>
      <c r="AC2" s="34" t="s">
        <v>29</v>
      </c>
      <c r="AD2" s="35" t="s">
        <v>30</v>
      </c>
      <c r="AE2" s="35"/>
      <c r="AF2" s="36"/>
    </row>
    <row r="3" s="70" customFormat="true" ht="28.9" hidden="false" customHeight="true" outlineLevel="0" collapsed="false">
      <c r="A3" s="7"/>
      <c r="B3" s="7"/>
      <c r="C3" s="7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7" t="s">
        <v>33</v>
      </c>
      <c r="M3" s="7"/>
      <c r="N3" s="7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5" t="s">
        <v>31</v>
      </c>
      <c r="AC3" s="7" t="s">
        <v>36</v>
      </c>
      <c r="AD3" s="35" t="s">
        <v>37</v>
      </c>
      <c r="AE3" s="35" t="s">
        <v>38</v>
      </c>
      <c r="AF3" s="36"/>
    </row>
    <row r="4" customFormat="false" ht="15" hidden="false" customHeight="false" outlineLevel="0" collapsed="false">
      <c r="A4" s="71" t="s">
        <v>415</v>
      </c>
      <c r="B4" s="71" t="s">
        <v>1877</v>
      </c>
      <c r="C4" s="51" t="s">
        <v>1878</v>
      </c>
      <c r="D4" s="72" t="s">
        <v>1879</v>
      </c>
      <c r="E4" s="71" t="s">
        <v>1880</v>
      </c>
      <c r="F4" s="71" t="n">
        <v>863.43</v>
      </c>
      <c r="G4" s="71" t="n">
        <v>379</v>
      </c>
      <c r="H4" s="71" t="n">
        <v>1945</v>
      </c>
      <c r="I4" s="71" t="n">
        <v>995</v>
      </c>
      <c r="J4" s="71" t="n">
        <v>950</v>
      </c>
      <c r="K4" s="71" t="n">
        <v>398</v>
      </c>
      <c r="L4" s="112" t="n">
        <f aca="false">K4/H4*100</f>
        <v>20.4627249357326</v>
      </c>
      <c r="M4" s="71" t="n">
        <v>97</v>
      </c>
      <c r="N4" s="112" t="n">
        <f aca="false">M4/H4*100</f>
        <v>4.98714652956298</v>
      </c>
      <c r="O4" s="71" t="n">
        <v>57.26</v>
      </c>
      <c r="P4" s="71" t="n">
        <v>0</v>
      </c>
      <c r="Q4" s="172" t="s">
        <v>45</v>
      </c>
      <c r="R4" s="153" t="s">
        <v>1881</v>
      </c>
      <c r="T4" s="146" t="n">
        <v>68.4298</v>
      </c>
      <c r="AB4" s="12" t="n">
        <v>1</v>
      </c>
      <c r="AC4" s="89" t="s">
        <v>852</v>
      </c>
      <c r="AD4" s="226" t="n">
        <v>24.276235</v>
      </c>
      <c r="AE4" s="226" t="n">
        <v>76.100941</v>
      </c>
    </row>
    <row r="5" customFormat="false" ht="15" hidden="false" customHeight="false" outlineLevel="0" collapsed="false">
      <c r="A5" s="71" t="s">
        <v>415</v>
      </c>
      <c r="B5" s="71" t="s">
        <v>1877</v>
      </c>
      <c r="C5" s="51" t="s">
        <v>1878</v>
      </c>
      <c r="D5" s="71" t="s">
        <v>1882</v>
      </c>
      <c r="E5" s="71" t="s">
        <v>1883</v>
      </c>
      <c r="F5" s="71" t="n">
        <v>286.27</v>
      </c>
      <c r="G5" s="71" t="n">
        <v>110</v>
      </c>
      <c r="H5" s="71" t="n">
        <v>560</v>
      </c>
      <c r="I5" s="71" t="n">
        <v>285</v>
      </c>
      <c r="J5" s="71" t="n">
        <v>275</v>
      </c>
      <c r="K5" s="71" t="n">
        <v>76</v>
      </c>
      <c r="L5" s="112" t="n">
        <f aca="false">K5/H5*100</f>
        <v>13.5714285714286</v>
      </c>
      <c r="M5" s="71" t="n">
        <v>0</v>
      </c>
      <c r="N5" s="112" t="n">
        <f aca="false">M5/H5*100</f>
        <v>0</v>
      </c>
      <c r="O5" s="71" t="n">
        <v>0</v>
      </c>
      <c r="P5" s="71" t="n">
        <v>0</v>
      </c>
      <c r="Q5" s="172" t="s">
        <v>45</v>
      </c>
      <c r="R5" s="153" t="s">
        <v>1881</v>
      </c>
      <c r="T5" s="118"/>
      <c r="AB5" s="12"/>
      <c r="AC5" s="89" t="s">
        <v>852</v>
      </c>
      <c r="AD5" s="12"/>
      <c r="AE5" s="12"/>
    </row>
    <row r="6" customFormat="false" ht="15" hidden="false" customHeight="false" outlineLevel="0" collapsed="false">
      <c r="A6" s="71" t="s">
        <v>415</v>
      </c>
      <c r="B6" s="71" t="s">
        <v>1877</v>
      </c>
      <c r="C6" s="51" t="s">
        <v>1878</v>
      </c>
      <c r="D6" s="71" t="s">
        <v>1884</v>
      </c>
      <c r="E6" s="71" t="s">
        <v>1885</v>
      </c>
      <c r="F6" s="71" t="n">
        <v>229.54</v>
      </c>
      <c r="G6" s="71" t="n">
        <v>94</v>
      </c>
      <c r="H6" s="71" t="n">
        <v>552</v>
      </c>
      <c r="I6" s="71" t="n">
        <v>287</v>
      </c>
      <c r="J6" s="71" t="n">
        <v>265</v>
      </c>
      <c r="K6" s="71" t="n">
        <v>11</v>
      </c>
      <c r="L6" s="112" t="n">
        <f aca="false">K6/H6*100</f>
        <v>1.99275362318841</v>
      </c>
      <c r="M6" s="71" t="n">
        <v>226</v>
      </c>
      <c r="N6" s="112" t="n">
        <f aca="false">M6/H6*100</f>
        <v>40.9420289855072</v>
      </c>
      <c r="O6" s="71" t="n">
        <v>8.02</v>
      </c>
      <c r="P6" s="71" t="n">
        <v>0</v>
      </c>
      <c r="Q6" s="172" t="s">
        <v>45</v>
      </c>
      <c r="R6" s="153" t="s">
        <v>1881</v>
      </c>
      <c r="T6" s="146" t="n">
        <v>9.6492</v>
      </c>
      <c r="AB6" s="12" t="n">
        <v>0</v>
      </c>
      <c r="AC6" s="89" t="s">
        <v>852</v>
      </c>
      <c r="AD6" s="226" t="n">
        <v>24.280148</v>
      </c>
      <c r="AE6" s="226" t="n">
        <v>76.136878</v>
      </c>
    </row>
    <row r="7" customFormat="false" ht="15" hidden="false" customHeight="false" outlineLevel="0" collapsed="false">
      <c r="A7" s="71" t="s">
        <v>415</v>
      </c>
      <c r="B7" s="71" t="s">
        <v>1877</v>
      </c>
      <c r="C7" s="51" t="s">
        <v>1878</v>
      </c>
      <c r="D7" s="71" t="s">
        <v>385</v>
      </c>
      <c r="E7" s="71" t="s">
        <v>1886</v>
      </c>
      <c r="F7" s="71" t="n">
        <v>322.91</v>
      </c>
      <c r="G7" s="71" t="n">
        <v>129</v>
      </c>
      <c r="H7" s="71" t="n">
        <v>671</v>
      </c>
      <c r="I7" s="71" t="n">
        <v>348</v>
      </c>
      <c r="J7" s="71" t="n">
        <v>323</v>
      </c>
      <c r="K7" s="71" t="n">
        <v>242</v>
      </c>
      <c r="L7" s="112" t="n">
        <f aca="false">K7/H7*100</f>
        <v>36.0655737704918</v>
      </c>
      <c r="M7" s="71" t="n">
        <v>0</v>
      </c>
      <c r="N7" s="112" t="n">
        <f aca="false">M7/H7*100</f>
        <v>0</v>
      </c>
      <c r="O7" s="71" t="n">
        <v>1.37</v>
      </c>
      <c r="P7" s="71" t="n">
        <v>13.64</v>
      </c>
      <c r="Q7" s="172" t="s">
        <v>45</v>
      </c>
      <c r="R7" s="153" t="s">
        <v>1881</v>
      </c>
      <c r="T7" s="146" t="n">
        <v>38.0404</v>
      </c>
      <c r="AB7" s="12" t="n">
        <v>1</v>
      </c>
      <c r="AC7" s="89" t="s">
        <v>852</v>
      </c>
      <c r="AD7" s="226" t="n">
        <v>24.276289</v>
      </c>
      <c r="AE7" s="226" t="n">
        <v>76.100826</v>
      </c>
    </row>
    <row r="8" customFormat="false" ht="15" hidden="false" customHeight="false" outlineLevel="0" collapsed="false">
      <c r="A8" s="71" t="s">
        <v>415</v>
      </c>
      <c r="B8" s="71" t="s">
        <v>1877</v>
      </c>
      <c r="C8" s="51" t="s">
        <v>1887</v>
      </c>
      <c r="D8" s="72" t="s">
        <v>1888</v>
      </c>
      <c r="E8" s="71" t="s">
        <v>1889</v>
      </c>
      <c r="F8" s="71" t="n">
        <v>1502.78</v>
      </c>
      <c r="G8" s="71" t="n">
        <v>487</v>
      </c>
      <c r="H8" s="71" t="n">
        <v>2696</v>
      </c>
      <c r="I8" s="71" t="n">
        <v>1400</v>
      </c>
      <c r="J8" s="71" t="n">
        <v>1296</v>
      </c>
      <c r="K8" s="71" t="n">
        <v>382</v>
      </c>
      <c r="L8" s="112" t="n">
        <f aca="false">K8/H8*100</f>
        <v>14.1691394658754</v>
      </c>
      <c r="M8" s="71" t="n">
        <v>445</v>
      </c>
      <c r="N8" s="112" t="n">
        <f aca="false">M8/H8*100</f>
        <v>16.5059347181009</v>
      </c>
      <c r="O8" s="71" t="n">
        <v>101.84</v>
      </c>
      <c r="P8" s="71" t="n">
        <v>0</v>
      </c>
      <c r="Q8" s="153" t="s">
        <v>43</v>
      </c>
      <c r="R8" s="153" t="s">
        <v>285</v>
      </c>
      <c r="T8" s="118" t="n">
        <v>112.8818</v>
      </c>
      <c r="AB8" s="12" t="n">
        <v>1.02</v>
      </c>
      <c r="AC8" s="46" t="s">
        <v>910</v>
      </c>
      <c r="AD8" s="12" t="n">
        <v>24.254397</v>
      </c>
      <c r="AE8" s="12" t="n">
        <v>75.908543</v>
      </c>
    </row>
    <row r="9" customFormat="false" ht="15" hidden="false" customHeight="false" outlineLevel="0" collapsed="false">
      <c r="A9" s="71" t="s">
        <v>415</v>
      </c>
      <c r="B9" s="71" t="s">
        <v>1877</v>
      </c>
      <c r="C9" s="51" t="s">
        <v>1887</v>
      </c>
      <c r="D9" s="71" t="s">
        <v>1890</v>
      </c>
      <c r="E9" s="71" t="s">
        <v>1891</v>
      </c>
      <c r="F9" s="71" t="n">
        <v>428.46</v>
      </c>
      <c r="G9" s="71" t="n">
        <v>177</v>
      </c>
      <c r="H9" s="71" t="n">
        <v>996</v>
      </c>
      <c r="I9" s="71" t="n">
        <v>515</v>
      </c>
      <c r="J9" s="71" t="n">
        <v>481</v>
      </c>
      <c r="K9" s="71" t="n">
        <v>225</v>
      </c>
      <c r="L9" s="112" t="n">
        <f aca="false">K9/H9*100</f>
        <v>22.5903614457831</v>
      </c>
      <c r="M9" s="71" t="n">
        <v>0</v>
      </c>
      <c r="N9" s="112" t="n">
        <f aca="false">M9/H9*100</f>
        <v>0</v>
      </c>
      <c r="O9" s="71" t="n">
        <v>12.19</v>
      </c>
      <c r="P9" s="71" t="n">
        <v>0</v>
      </c>
      <c r="Q9" s="153" t="s">
        <v>43</v>
      </c>
      <c r="R9" s="153" t="s">
        <v>285</v>
      </c>
      <c r="T9" s="118" t="n">
        <v>12.6463</v>
      </c>
      <c r="U9" s="112" t="s">
        <v>43</v>
      </c>
      <c r="V9" s="112" t="s">
        <v>43</v>
      </c>
      <c r="AB9" s="12" t="n">
        <v>0.85</v>
      </c>
      <c r="AC9" s="46" t="s">
        <v>910</v>
      </c>
      <c r="AD9" s="12" t="n">
        <v>24.28995</v>
      </c>
      <c r="AE9" s="12" t="n">
        <v>75.926107</v>
      </c>
    </row>
    <row r="10" customFormat="false" ht="15" hidden="false" customHeight="false" outlineLevel="0" collapsed="false">
      <c r="A10" s="71" t="s">
        <v>415</v>
      </c>
      <c r="B10" s="71" t="s">
        <v>1877</v>
      </c>
      <c r="C10" s="51" t="s">
        <v>1892</v>
      </c>
      <c r="D10" s="72" t="s">
        <v>1893</v>
      </c>
      <c r="E10" s="71" t="s">
        <v>1894</v>
      </c>
      <c r="F10" s="71" t="n">
        <v>763.5</v>
      </c>
      <c r="G10" s="71" t="n">
        <v>386</v>
      </c>
      <c r="H10" s="71" t="n">
        <v>1954</v>
      </c>
      <c r="I10" s="71" t="n">
        <v>1004</v>
      </c>
      <c r="J10" s="71" t="n">
        <v>950</v>
      </c>
      <c r="K10" s="71" t="n">
        <v>386</v>
      </c>
      <c r="L10" s="112" t="n">
        <f aca="false">K10/H10*100</f>
        <v>19.7543500511771</v>
      </c>
      <c r="M10" s="71" t="n">
        <v>508</v>
      </c>
      <c r="N10" s="112" t="n">
        <f aca="false">M10/H10*100</f>
        <v>25.9979529170931</v>
      </c>
      <c r="O10" s="71" t="n">
        <v>88.48</v>
      </c>
      <c r="P10" s="71" t="n">
        <v>0</v>
      </c>
      <c r="Q10" s="15" t="s">
        <v>82</v>
      </c>
      <c r="R10" s="15"/>
      <c r="T10" s="12" t="n">
        <v>10.99</v>
      </c>
      <c r="AB10" s="12" t="n">
        <v>10</v>
      </c>
      <c r="AC10" s="17" t="s">
        <v>1895</v>
      </c>
      <c r="AD10" s="17" t="n">
        <v>24.38507683</v>
      </c>
      <c r="AE10" s="17" t="n">
        <v>76.03149336</v>
      </c>
    </row>
    <row r="11" customFormat="false" ht="15" hidden="false" customHeight="false" outlineLevel="0" collapsed="false">
      <c r="A11" s="71" t="s">
        <v>415</v>
      </c>
      <c r="B11" s="71" t="s">
        <v>1877</v>
      </c>
      <c r="C11" s="51" t="s">
        <v>1892</v>
      </c>
      <c r="D11" s="72" t="s">
        <v>1893</v>
      </c>
      <c r="E11" s="71"/>
      <c r="F11" s="71"/>
      <c r="G11" s="71"/>
      <c r="H11" s="71"/>
      <c r="I11" s="71"/>
      <c r="J11" s="71"/>
      <c r="K11" s="71"/>
      <c r="M11" s="71"/>
      <c r="O11" s="71"/>
      <c r="P11" s="71"/>
      <c r="Q11" s="15" t="s">
        <v>82</v>
      </c>
      <c r="R11" s="15"/>
      <c r="T11" s="12" t="n">
        <v>51.96</v>
      </c>
      <c r="AB11" s="12" t="n">
        <v>38</v>
      </c>
      <c r="AC11" s="17" t="s">
        <v>1896</v>
      </c>
      <c r="AD11" s="17" t="n">
        <v>24.38507</v>
      </c>
      <c r="AE11" s="17" t="n">
        <v>76.30865</v>
      </c>
    </row>
    <row r="12" customFormat="false" ht="15" hidden="false" customHeight="false" outlineLevel="0" collapsed="false">
      <c r="A12" s="71" t="s">
        <v>415</v>
      </c>
      <c r="B12" s="71" t="s">
        <v>1877</v>
      </c>
      <c r="C12" s="51" t="s">
        <v>1892</v>
      </c>
      <c r="D12" s="72" t="s">
        <v>1893</v>
      </c>
      <c r="E12" s="71"/>
      <c r="F12" s="71"/>
      <c r="G12" s="71"/>
      <c r="H12" s="71"/>
      <c r="I12" s="71"/>
      <c r="J12" s="71"/>
      <c r="K12" s="71"/>
      <c r="M12" s="71"/>
      <c r="O12" s="71"/>
      <c r="P12" s="71"/>
      <c r="Q12" s="152" t="s">
        <v>43</v>
      </c>
      <c r="R12" s="152"/>
      <c r="T12" s="12"/>
      <c r="AB12" s="12" t="n">
        <v>29</v>
      </c>
      <c r="AC12" s="17" t="s">
        <v>1897</v>
      </c>
      <c r="AD12" s="17" t="n">
        <v>24.369394</v>
      </c>
      <c r="AE12" s="17" t="n">
        <v>76.034762</v>
      </c>
    </row>
    <row r="13" customFormat="false" ht="15" hidden="false" customHeight="false" outlineLevel="0" collapsed="false">
      <c r="A13" s="71" t="s">
        <v>415</v>
      </c>
      <c r="B13" s="71" t="s">
        <v>1877</v>
      </c>
      <c r="C13" s="51" t="s">
        <v>1892</v>
      </c>
      <c r="D13" s="72" t="s">
        <v>1893</v>
      </c>
      <c r="E13" s="71"/>
      <c r="F13" s="71"/>
      <c r="G13" s="71"/>
      <c r="H13" s="71"/>
      <c r="I13" s="71"/>
      <c r="J13" s="71"/>
      <c r="K13" s="71"/>
      <c r="M13" s="71"/>
      <c r="O13" s="71"/>
      <c r="P13" s="71"/>
      <c r="Q13" s="153" t="s">
        <v>43</v>
      </c>
      <c r="R13" s="152"/>
      <c r="T13" s="12"/>
      <c r="U13" s="112" t="s">
        <v>43</v>
      </c>
      <c r="AB13" s="12" t="n">
        <v>30</v>
      </c>
      <c r="AC13" s="17" t="s">
        <v>1898</v>
      </c>
      <c r="AD13" s="17" t="n">
        <v>24.37117</v>
      </c>
      <c r="AE13" s="17" t="n">
        <v>76.02638</v>
      </c>
    </row>
    <row r="14" customFormat="false" ht="15" hidden="false" customHeight="false" outlineLevel="0" collapsed="false">
      <c r="A14" s="71" t="s">
        <v>415</v>
      </c>
      <c r="B14" s="71" t="s">
        <v>1877</v>
      </c>
      <c r="C14" s="51" t="s">
        <v>1892</v>
      </c>
      <c r="D14" s="71" t="s">
        <v>1539</v>
      </c>
      <c r="E14" s="71" t="s">
        <v>1899</v>
      </c>
      <c r="F14" s="71" t="n">
        <v>138.23</v>
      </c>
      <c r="G14" s="71" t="n">
        <v>0</v>
      </c>
      <c r="H14" s="71" t="n">
        <v>0</v>
      </c>
      <c r="I14" s="71" t="n">
        <v>0</v>
      </c>
      <c r="J14" s="71" t="n">
        <v>0</v>
      </c>
      <c r="K14" s="71" t="n">
        <v>0</v>
      </c>
      <c r="M14" s="71" t="n">
        <v>0</v>
      </c>
      <c r="O14" s="71" t="n">
        <v>0</v>
      </c>
      <c r="P14" s="71" t="n">
        <v>0</v>
      </c>
      <c r="Q14" s="117"/>
      <c r="R14" s="117"/>
      <c r="U14" s="112" t="s">
        <v>43</v>
      </c>
      <c r="AB14" s="10"/>
      <c r="AD14" s="10"/>
      <c r="AE14" s="10"/>
    </row>
    <row r="15" customFormat="false" ht="15" hidden="false" customHeight="false" outlineLevel="0" collapsed="false">
      <c r="A15" s="71" t="s">
        <v>415</v>
      </c>
      <c r="B15" s="71" t="s">
        <v>1877</v>
      </c>
      <c r="C15" s="51" t="s">
        <v>1892</v>
      </c>
      <c r="D15" s="71" t="s">
        <v>1900</v>
      </c>
      <c r="E15" s="71" t="s">
        <v>1901</v>
      </c>
      <c r="F15" s="71" t="n">
        <v>233.63</v>
      </c>
      <c r="G15" s="71" t="n">
        <v>171</v>
      </c>
      <c r="H15" s="71" t="n">
        <v>843</v>
      </c>
      <c r="I15" s="71" t="n">
        <v>449</v>
      </c>
      <c r="J15" s="71" t="n">
        <v>394</v>
      </c>
      <c r="K15" s="71" t="n">
        <v>178</v>
      </c>
      <c r="L15" s="112" t="n">
        <f aca="false">K15/H15*100</f>
        <v>21.1150652431791</v>
      </c>
      <c r="M15" s="71" t="n">
        <v>281</v>
      </c>
      <c r="N15" s="112" t="n">
        <f aca="false">M15/H15*100</f>
        <v>33.3333333333333</v>
      </c>
      <c r="O15" s="71" t="n">
        <v>30.59</v>
      </c>
      <c r="P15" s="71" t="n">
        <v>0</v>
      </c>
      <c r="Q15" s="132" t="s">
        <v>82</v>
      </c>
      <c r="R15" s="227" t="n">
        <v>44738</v>
      </c>
      <c r="T15" s="133" t="n">
        <v>15.13</v>
      </c>
      <c r="U15" s="112" t="s">
        <v>43</v>
      </c>
      <c r="AB15" s="12" t="n">
        <v>2</v>
      </c>
      <c r="AC15" s="17" t="s">
        <v>1902</v>
      </c>
      <c r="AD15" s="17" t="n">
        <v>24.367383</v>
      </c>
      <c r="AE15" s="17" t="n">
        <v>76.004917</v>
      </c>
    </row>
    <row r="16" customFormat="false" ht="15" hidden="false" customHeight="false" outlineLevel="0" collapsed="false">
      <c r="A16" s="71" t="s">
        <v>415</v>
      </c>
      <c r="B16" s="71" t="s">
        <v>1877</v>
      </c>
      <c r="C16" s="51" t="s">
        <v>1892</v>
      </c>
      <c r="D16" s="71" t="s">
        <v>1903</v>
      </c>
      <c r="E16" s="71" t="s">
        <v>1904</v>
      </c>
      <c r="F16" s="71" t="n">
        <v>356.43</v>
      </c>
      <c r="G16" s="71" t="n">
        <v>129</v>
      </c>
      <c r="H16" s="71" t="n">
        <v>624</v>
      </c>
      <c r="I16" s="71" t="n">
        <v>309</v>
      </c>
      <c r="J16" s="71" t="n">
        <v>315</v>
      </c>
      <c r="K16" s="71" t="n">
        <v>161</v>
      </c>
      <c r="L16" s="112" t="n">
        <f aca="false">K16/H16*100</f>
        <v>25.8012820512821</v>
      </c>
      <c r="M16" s="71" t="n">
        <v>12</v>
      </c>
      <c r="N16" s="112" t="n">
        <f aca="false">M16/H16*100</f>
        <v>1.92307692307692</v>
      </c>
      <c r="O16" s="71" t="n">
        <v>29.22</v>
      </c>
      <c r="P16" s="71" t="n">
        <v>0</v>
      </c>
      <c r="Q16" s="117"/>
      <c r="R16" s="117"/>
      <c r="U16" s="112" t="s">
        <v>43</v>
      </c>
      <c r="AB16" s="10"/>
      <c r="AD16" s="10"/>
      <c r="AE16" s="10"/>
    </row>
    <row r="17" customFormat="false" ht="15" hidden="false" customHeight="false" outlineLevel="0" collapsed="false">
      <c r="A17" s="71" t="s">
        <v>415</v>
      </c>
      <c r="B17" s="71" t="s">
        <v>1877</v>
      </c>
      <c r="C17" s="51" t="s">
        <v>1892</v>
      </c>
      <c r="D17" s="71" t="s">
        <v>130</v>
      </c>
      <c r="E17" s="71" t="s">
        <v>1905</v>
      </c>
      <c r="F17" s="71" t="n">
        <v>182.52</v>
      </c>
      <c r="G17" s="71" t="n">
        <v>44</v>
      </c>
      <c r="H17" s="71" t="n">
        <v>222</v>
      </c>
      <c r="I17" s="71" t="n">
        <v>108</v>
      </c>
      <c r="J17" s="71" t="n">
        <v>114</v>
      </c>
      <c r="K17" s="71" t="n">
        <v>0</v>
      </c>
      <c r="L17" s="112" t="n">
        <f aca="false">K17/H17*100</f>
        <v>0</v>
      </c>
      <c r="M17" s="71" t="n">
        <v>138</v>
      </c>
      <c r="N17" s="112" t="n">
        <f aca="false">M17/H17*100</f>
        <v>62.1621621621622</v>
      </c>
      <c r="O17" s="71" t="n">
        <v>11.91</v>
      </c>
      <c r="P17" s="71" t="n">
        <v>0</v>
      </c>
      <c r="Q17" s="132" t="s">
        <v>82</v>
      </c>
      <c r="R17" s="227" t="n">
        <v>44738</v>
      </c>
      <c r="T17" s="133" t="n">
        <v>4.17</v>
      </c>
      <c r="V17" s="112" t="s">
        <v>43</v>
      </c>
      <c r="AB17" s="12" t="n">
        <v>0</v>
      </c>
      <c r="AC17" s="17" t="s">
        <v>1906</v>
      </c>
      <c r="AD17" s="17" t="n">
        <v>24.388327</v>
      </c>
      <c r="AE17" s="17" t="n">
        <v>765.996647</v>
      </c>
    </row>
    <row r="18" customFormat="false" ht="15" hidden="false" customHeight="false" outlineLevel="0" collapsed="false">
      <c r="A18" s="71" t="s">
        <v>415</v>
      </c>
      <c r="B18" s="71" t="s">
        <v>1877</v>
      </c>
      <c r="C18" s="51" t="s">
        <v>1907</v>
      </c>
      <c r="D18" s="72" t="s">
        <v>1908</v>
      </c>
      <c r="E18" s="71" t="s">
        <v>1909</v>
      </c>
      <c r="F18" s="71" t="n">
        <v>1144.01</v>
      </c>
      <c r="G18" s="71" t="n">
        <v>251</v>
      </c>
      <c r="H18" s="71" t="n">
        <v>1279</v>
      </c>
      <c r="I18" s="71" t="n">
        <v>639</v>
      </c>
      <c r="J18" s="71" t="n">
        <v>640</v>
      </c>
      <c r="K18" s="71" t="n">
        <v>163</v>
      </c>
      <c r="L18" s="112" t="n">
        <f aca="false">K18/H18*100</f>
        <v>12.7443315089914</v>
      </c>
      <c r="M18" s="71" t="n">
        <v>0</v>
      </c>
      <c r="N18" s="112" t="n">
        <f aca="false">M18/H18*100</f>
        <v>0</v>
      </c>
      <c r="O18" s="71" t="n">
        <v>149.26</v>
      </c>
      <c r="P18" s="71" t="n">
        <v>335.88</v>
      </c>
      <c r="Q18" s="153" t="s">
        <v>43</v>
      </c>
      <c r="R18" s="153" t="s">
        <v>352</v>
      </c>
      <c r="T18" s="118" t="n">
        <v>153.8056</v>
      </c>
      <c r="AB18" s="12" t="n">
        <v>0</v>
      </c>
      <c r="AC18" s="46" t="s">
        <v>910</v>
      </c>
      <c r="AD18" s="12" t="n">
        <v>24.0921</v>
      </c>
      <c r="AE18" s="12" t="n">
        <v>75.9587</v>
      </c>
    </row>
    <row r="19" customFormat="false" ht="15" hidden="false" customHeight="false" outlineLevel="0" collapsed="false">
      <c r="A19" s="71" t="s">
        <v>415</v>
      </c>
      <c r="B19" s="71" t="s">
        <v>1877</v>
      </c>
      <c r="C19" s="51" t="s">
        <v>1907</v>
      </c>
      <c r="D19" s="72" t="s">
        <v>1908</v>
      </c>
      <c r="E19" s="71"/>
      <c r="F19" s="71"/>
      <c r="G19" s="71"/>
      <c r="H19" s="71"/>
      <c r="I19" s="71"/>
      <c r="J19" s="71"/>
      <c r="K19" s="71"/>
      <c r="M19" s="71"/>
      <c r="O19" s="71"/>
      <c r="P19" s="71"/>
      <c r="Q19" s="153" t="s">
        <v>43</v>
      </c>
      <c r="R19" s="153" t="s">
        <v>352</v>
      </c>
      <c r="T19" s="118"/>
      <c r="V19" s="112" t="s">
        <v>43</v>
      </c>
      <c r="AB19" s="12" t="n">
        <v>24</v>
      </c>
      <c r="AC19" s="46" t="s">
        <v>910</v>
      </c>
      <c r="AD19" s="12" t="n">
        <v>24.0921</v>
      </c>
      <c r="AE19" s="12" t="n">
        <v>75.9587</v>
      </c>
    </row>
    <row r="20" customFormat="false" ht="15" hidden="false" customHeight="false" outlineLevel="0" collapsed="false">
      <c r="A20" s="71" t="s">
        <v>415</v>
      </c>
      <c r="B20" s="71" t="s">
        <v>1877</v>
      </c>
      <c r="C20" s="51" t="s">
        <v>1907</v>
      </c>
      <c r="D20" s="71" t="s">
        <v>1910</v>
      </c>
      <c r="E20" s="71" t="s">
        <v>1911</v>
      </c>
      <c r="F20" s="71" t="n">
        <v>933.37</v>
      </c>
      <c r="G20" s="71" t="n">
        <v>127</v>
      </c>
      <c r="H20" s="71" t="n">
        <v>672</v>
      </c>
      <c r="I20" s="71" t="n">
        <v>354</v>
      </c>
      <c r="J20" s="71" t="n">
        <v>318</v>
      </c>
      <c r="K20" s="71" t="n">
        <v>167</v>
      </c>
      <c r="L20" s="112" t="n">
        <f aca="false">K20/H20*100</f>
        <v>24.8511904761905</v>
      </c>
      <c r="M20" s="71" t="n">
        <v>5</v>
      </c>
      <c r="N20" s="112" t="n">
        <f aca="false">M20/H20*100</f>
        <v>0.744047619047619</v>
      </c>
      <c r="O20" s="71" t="n">
        <v>44.04</v>
      </c>
      <c r="P20" s="71" t="n">
        <v>400.61</v>
      </c>
      <c r="Q20" s="153" t="s">
        <v>43</v>
      </c>
      <c r="R20" s="153" t="s">
        <v>352</v>
      </c>
      <c r="T20" s="118" t="n">
        <v>49.1944</v>
      </c>
      <c r="AB20" s="12" t="n">
        <v>2.05</v>
      </c>
      <c r="AC20" s="46" t="s">
        <v>910</v>
      </c>
      <c r="AD20" s="12" t="n">
        <v>24.088</v>
      </c>
      <c r="AE20" s="12" t="n">
        <v>75.992</v>
      </c>
    </row>
    <row r="21" customFormat="false" ht="15" hidden="false" customHeight="false" outlineLevel="0" collapsed="false">
      <c r="A21" s="71" t="s">
        <v>415</v>
      </c>
      <c r="B21" s="71" t="s">
        <v>1877</v>
      </c>
      <c r="C21" s="51" t="s">
        <v>1907</v>
      </c>
      <c r="D21" s="71" t="s">
        <v>1910</v>
      </c>
      <c r="E21" s="118"/>
      <c r="F21" s="118"/>
      <c r="G21" s="118"/>
      <c r="H21" s="118"/>
      <c r="I21" s="228"/>
      <c r="J21" s="118"/>
      <c r="K21" s="118"/>
      <c r="M21" s="118"/>
      <c r="O21" s="118"/>
      <c r="P21" s="118"/>
      <c r="Q21" s="153" t="s">
        <v>43</v>
      </c>
      <c r="R21" s="153" t="s">
        <v>352</v>
      </c>
      <c r="T21" s="118"/>
      <c r="AB21" s="12" t="n">
        <v>26</v>
      </c>
      <c r="AC21" s="46" t="s">
        <v>910</v>
      </c>
      <c r="AD21" s="12" t="n">
        <v>24.088</v>
      </c>
      <c r="AE21" s="12" t="n">
        <v>75.992</v>
      </c>
    </row>
    <row r="22" customFormat="false" ht="15" hidden="false" customHeight="false" outlineLevel="0" collapsed="false">
      <c r="A22" s="71" t="s">
        <v>415</v>
      </c>
      <c r="B22" s="71" t="s">
        <v>1877</v>
      </c>
      <c r="C22" s="51" t="s">
        <v>1907</v>
      </c>
      <c r="D22" s="71" t="s">
        <v>1910</v>
      </c>
      <c r="E22" s="71"/>
      <c r="F22" s="71"/>
      <c r="G22" s="71"/>
      <c r="H22" s="71"/>
      <c r="I22" s="71"/>
      <c r="J22" s="71"/>
      <c r="K22" s="71"/>
      <c r="M22" s="71"/>
      <c r="O22" s="71"/>
      <c r="P22" s="71"/>
      <c r="Q22" s="153" t="s">
        <v>43</v>
      </c>
      <c r="R22" s="153" t="s">
        <v>352</v>
      </c>
      <c r="T22" s="118"/>
      <c r="AB22" s="12" t="n">
        <v>20</v>
      </c>
      <c r="AC22" s="46" t="s">
        <v>910</v>
      </c>
      <c r="AD22" s="12" t="n">
        <v>24.089756</v>
      </c>
      <c r="AE22" s="12" t="n">
        <v>75.994945</v>
      </c>
    </row>
    <row r="23" customFormat="false" ht="15" hidden="false" customHeight="false" outlineLevel="0" collapsed="false">
      <c r="A23" s="71" t="s">
        <v>415</v>
      </c>
      <c r="B23" s="71" t="s">
        <v>1877</v>
      </c>
      <c r="C23" s="51" t="s">
        <v>1907</v>
      </c>
      <c r="D23" s="71" t="s">
        <v>1300</v>
      </c>
      <c r="E23" s="71" t="s">
        <v>1912</v>
      </c>
      <c r="F23" s="71" t="n">
        <v>768.49</v>
      </c>
      <c r="G23" s="71" t="n">
        <v>266</v>
      </c>
      <c r="H23" s="71" t="n">
        <v>1314</v>
      </c>
      <c r="I23" s="71" t="n">
        <v>699</v>
      </c>
      <c r="J23" s="71" t="n">
        <v>615</v>
      </c>
      <c r="K23" s="71" t="n">
        <v>251</v>
      </c>
      <c r="L23" s="112" t="n">
        <f aca="false">K23/H23*100</f>
        <v>19.1019786910198</v>
      </c>
      <c r="M23" s="71" t="n">
        <v>0</v>
      </c>
      <c r="N23" s="112" t="n">
        <f aca="false">M23/H23*100</f>
        <v>0</v>
      </c>
      <c r="O23" s="71" t="n">
        <v>0</v>
      </c>
      <c r="P23" s="71" t="n">
        <v>251.66</v>
      </c>
      <c r="Q23" s="153" t="s">
        <v>43</v>
      </c>
      <c r="R23" s="153" t="s">
        <v>352</v>
      </c>
      <c r="T23" s="118" t="n">
        <v>4.0213</v>
      </c>
      <c r="AB23" s="12" t="n">
        <v>0</v>
      </c>
      <c r="AC23" s="46" t="s">
        <v>910</v>
      </c>
      <c r="AD23" s="12" t="n">
        <v>24.1169</v>
      </c>
      <c r="AE23" s="12" t="n">
        <v>75.9833</v>
      </c>
    </row>
    <row r="24" customFormat="false" ht="15" hidden="false" customHeight="false" outlineLevel="0" collapsed="false">
      <c r="A24" s="71" t="s">
        <v>415</v>
      </c>
      <c r="B24" s="71" t="s">
        <v>1877</v>
      </c>
      <c r="C24" s="51" t="s">
        <v>1913</v>
      </c>
      <c r="D24" s="72" t="s">
        <v>1914</v>
      </c>
      <c r="E24" s="71" t="s">
        <v>1915</v>
      </c>
      <c r="F24" s="71" t="n">
        <v>824.7</v>
      </c>
      <c r="G24" s="71" t="n">
        <v>274</v>
      </c>
      <c r="H24" s="71" t="n">
        <v>1243</v>
      </c>
      <c r="I24" s="71" t="n">
        <v>629</v>
      </c>
      <c r="J24" s="71" t="n">
        <v>614</v>
      </c>
      <c r="K24" s="71" t="n">
        <v>157</v>
      </c>
      <c r="L24" s="112" t="n">
        <f aca="false">K24/H24*100</f>
        <v>12.6307320997587</v>
      </c>
      <c r="M24" s="71" t="n">
        <v>0</v>
      </c>
      <c r="N24" s="112" t="n">
        <f aca="false">M24/H24*100</f>
        <v>0</v>
      </c>
      <c r="O24" s="71" t="n">
        <v>121.77</v>
      </c>
      <c r="P24" s="71" t="n">
        <v>125.44</v>
      </c>
      <c r="Q24" s="153" t="s">
        <v>45</v>
      </c>
      <c r="R24" s="153" t="s">
        <v>1916</v>
      </c>
      <c r="T24" s="118" t="n">
        <v>131.434</v>
      </c>
      <c r="AB24" s="12" t="n">
        <v>1.06</v>
      </c>
      <c r="AC24" s="56" t="s">
        <v>859</v>
      </c>
      <c r="AD24" s="12" t="n">
        <v>24.095197</v>
      </c>
      <c r="AE24" s="12" t="n">
        <v>76.008276</v>
      </c>
    </row>
    <row r="25" customFormat="false" ht="15" hidden="false" customHeight="false" outlineLevel="0" collapsed="false">
      <c r="A25" s="71" t="s">
        <v>415</v>
      </c>
      <c r="B25" s="71" t="s">
        <v>1877</v>
      </c>
      <c r="C25" s="51" t="s">
        <v>1913</v>
      </c>
      <c r="D25" s="71" t="s">
        <v>1917</v>
      </c>
      <c r="E25" s="71" t="s">
        <v>1918</v>
      </c>
      <c r="F25" s="71" t="n">
        <v>578.2</v>
      </c>
      <c r="G25" s="71" t="n">
        <v>105</v>
      </c>
      <c r="H25" s="71" t="n">
        <v>494</v>
      </c>
      <c r="I25" s="71" t="n">
        <v>259</v>
      </c>
      <c r="J25" s="71" t="n">
        <v>235</v>
      </c>
      <c r="K25" s="71" t="n">
        <v>7</v>
      </c>
      <c r="L25" s="112" t="n">
        <f aca="false">K25/H25*100</f>
        <v>1.417004048583</v>
      </c>
      <c r="M25" s="71" t="n">
        <v>0</v>
      </c>
      <c r="N25" s="112" t="n">
        <f aca="false">M25/H25*100</f>
        <v>0</v>
      </c>
      <c r="O25" s="71" t="n">
        <v>65.79</v>
      </c>
      <c r="P25" s="71" t="n">
        <v>187.47</v>
      </c>
      <c r="Q25" s="153" t="s">
        <v>45</v>
      </c>
      <c r="R25" s="153" t="s">
        <v>1916</v>
      </c>
      <c r="T25" s="118" t="n">
        <v>66.1786</v>
      </c>
      <c r="AB25" s="12" t="n">
        <v>1.1</v>
      </c>
      <c r="AC25" s="56" t="s">
        <v>859</v>
      </c>
      <c r="AD25" s="12" t="n">
        <v>24.080649</v>
      </c>
      <c r="AE25" s="12" t="n">
        <v>76.039015</v>
      </c>
    </row>
    <row r="26" customFormat="false" ht="15" hidden="false" customHeight="false" outlineLevel="0" collapsed="false">
      <c r="A26" s="71" t="s">
        <v>415</v>
      </c>
      <c r="B26" s="71" t="s">
        <v>1877</v>
      </c>
      <c r="C26" s="51" t="s">
        <v>1913</v>
      </c>
      <c r="D26" s="71" t="s">
        <v>1006</v>
      </c>
      <c r="E26" s="71" t="s">
        <v>1919</v>
      </c>
      <c r="F26" s="71" t="n">
        <v>414.72</v>
      </c>
      <c r="G26" s="71" t="n">
        <v>137</v>
      </c>
      <c r="H26" s="71" t="n">
        <v>523</v>
      </c>
      <c r="I26" s="71" t="n">
        <v>263</v>
      </c>
      <c r="J26" s="71" t="n">
        <v>260</v>
      </c>
      <c r="K26" s="71" t="n">
        <v>89</v>
      </c>
      <c r="L26" s="112" t="n">
        <f aca="false">K26/H26*100</f>
        <v>17.0172084130019</v>
      </c>
      <c r="M26" s="71" t="n">
        <v>0</v>
      </c>
      <c r="N26" s="112" t="n">
        <f aca="false">M26/H26*100</f>
        <v>0</v>
      </c>
      <c r="O26" s="71" t="n">
        <v>59.32</v>
      </c>
      <c r="P26" s="71" t="n">
        <v>36.04</v>
      </c>
      <c r="Q26" s="153" t="s">
        <v>45</v>
      </c>
      <c r="R26" s="153" t="s">
        <v>1916</v>
      </c>
      <c r="T26" s="118" t="n">
        <v>59.0839</v>
      </c>
      <c r="AB26" s="12" t="n">
        <v>3.5</v>
      </c>
      <c r="AC26" s="56" t="s">
        <v>859</v>
      </c>
      <c r="AD26" s="12" t="n">
        <v>24.110033</v>
      </c>
      <c r="AE26" s="12" t="n">
        <v>76.025748</v>
      </c>
    </row>
    <row r="27" customFormat="false" ht="15" hidden="false" customHeight="false" outlineLevel="0" collapsed="false">
      <c r="A27" s="71" t="s">
        <v>415</v>
      </c>
      <c r="B27" s="71" t="s">
        <v>1877</v>
      </c>
      <c r="C27" s="51" t="s">
        <v>1913</v>
      </c>
      <c r="D27" s="71" t="s">
        <v>1920</v>
      </c>
      <c r="E27" s="71" t="s">
        <v>1921</v>
      </c>
      <c r="F27" s="71" t="n">
        <v>626.88</v>
      </c>
      <c r="G27" s="71" t="n">
        <v>183</v>
      </c>
      <c r="H27" s="71" t="n">
        <v>897</v>
      </c>
      <c r="I27" s="71" t="n">
        <v>433</v>
      </c>
      <c r="J27" s="71" t="n">
        <v>464</v>
      </c>
      <c r="K27" s="71" t="n">
        <v>203</v>
      </c>
      <c r="L27" s="112" t="n">
        <f aca="false">K27/H27*100</f>
        <v>22.6309921962096</v>
      </c>
      <c r="M27" s="71" t="n">
        <v>1</v>
      </c>
      <c r="N27" s="112" t="n">
        <f aca="false">M27/H27*100</f>
        <v>0.111482720178372</v>
      </c>
      <c r="O27" s="71" t="n">
        <v>85.87</v>
      </c>
      <c r="P27" s="71" t="n">
        <v>0</v>
      </c>
      <c r="Q27" s="153" t="s">
        <v>45</v>
      </c>
      <c r="R27" s="153" t="s">
        <v>1916</v>
      </c>
      <c r="T27" s="118" t="n">
        <v>95.6321</v>
      </c>
      <c r="AB27" s="12" t="n">
        <v>0.2</v>
      </c>
      <c r="AC27" s="56" t="s">
        <v>859</v>
      </c>
      <c r="AD27" s="12" t="n">
        <v>24.124198</v>
      </c>
      <c r="AE27" s="12" t="n">
        <v>76.030928</v>
      </c>
    </row>
    <row r="28" customFormat="false" ht="15" hidden="false" customHeight="false" outlineLevel="0" collapsed="false">
      <c r="A28" s="71" t="s">
        <v>415</v>
      </c>
      <c r="B28" s="71" t="s">
        <v>1877</v>
      </c>
      <c r="C28" s="51" t="s">
        <v>1913</v>
      </c>
      <c r="D28" s="71" t="s">
        <v>1920</v>
      </c>
      <c r="E28" s="71"/>
      <c r="F28" s="71"/>
      <c r="G28" s="71"/>
      <c r="H28" s="71"/>
      <c r="I28" s="71"/>
      <c r="J28" s="71"/>
      <c r="K28" s="71"/>
      <c r="M28" s="71"/>
      <c r="P28" s="151"/>
      <c r="Q28" s="153" t="s">
        <v>43</v>
      </c>
      <c r="R28" s="117" t="s">
        <v>1916</v>
      </c>
      <c r="T28" s="118"/>
      <c r="AB28" s="10" t="n">
        <v>2</v>
      </c>
      <c r="AC28" s="17" t="s">
        <v>859</v>
      </c>
      <c r="AD28" s="10" t="n">
        <v>24.14613</v>
      </c>
      <c r="AE28" s="10" t="n">
        <v>76.03381</v>
      </c>
    </row>
    <row r="29" customFormat="false" ht="15" hidden="false" customHeight="false" outlineLevel="0" collapsed="false">
      <c r="A29" s="71" t="s">
        <v>415</v>
      </c>
      <c r="B29" s="71" t="s">
        <v>1877</v>
      </c>
      <c r="C29" s="51" t="s">
        <v>1913</v>
      </c>
      <c r="D29" s="71" t="s">
        <v>1920</v>
      </c>
      <c r="E29" s="71"/>
      <c r="F29" s="71"/>
      <c r="G29" s="71"/>
      <c r="H29" s="71"/>
      <c r="I29" s="71"/>
      <c r="J29" s="71"/>
      <c r="K29" s="71"/>
      <c r="M29" s="71"/>
      <c r="P29" s="151"/>
      <c r="Q29" s="153" t="s">
        <v>43</v>
      </c>
      <c r="R29" s="117" t="s">
        <v>1916</v>
      </c>
      <c r="T29" s="118"/>
      <c r="AB29" s="10" t="n">
        <v>4</v>
      </c>
      <c r="AC29" s="17" t="s">
        <v>859</v>
      </c>
      <c r="AD29" s="10" t="n">
        <v>24.13812</v>
      </c>
      <c r="AE29" s="10" t="n">
        <v>76.02859</v>
      </c>
    </row>
    <row r="30" customFormat="false" ht="15" hidden="false" customHeight="false" outlineLevel="0" collapsed="false">
      <c r="A30" s="71" t="s">
        <v>415</v>
      </c>
      <c r="B30" s="71" t="s">
        <v>1877</v>
      </c>
      <c r="C30" s="51" t="s">
        <v>1913</v>
      </c>
      <c r="D30" s="71" t="s">
        <v>1920</v>
      </c>
      <c r="E30" s="71"/>
      <c r="F30" s="71"/>
      <c r="G30" s="71"/>
      <c r="H30" s="71"/>
      <c r="I30" s="71"/>
      <c r="J30" s="71"/>
      <c r="K30" s="71"/>
      <c r="M30" s="71"/>
      <c r="P30" s="151"/>
      <c r="Q30" s="153" t="s">
        <v>43</v>
      </c>
      <c r="R30" s="117" t="s">
        <v>1916</v>
      </c>
      <c r="T30" s="118"/>
      <c r="AB30" s="10" t="n">
        <v>2</v>
      </c>
      <c r="AC30" s="17" t="s">
        <v>859</v>
      </c>
      <c r="AD30" s="10" t="n">
        <v>24.14403</v>
      </c>
      <c r="AE30" s="10" t="n">
        <v>76.03288</v>
      </c>
    </row>
    <row r="31" customFormat="false" ht="15" hidden="false" customHeight="false" outlineLevel="0" collapsed="false">
      <c r="A31" s="71" t="s">
        <v>415</v>
      </c>
      <c r="B31" s="71" t="s">
        <v>1877</v>
      </c>
      <c r="C31" s="51" t="s">
        <v>1913</v>
      </c>
      <c r="D31" s="71" t="s">
        <v>1920</v>
      </c>
      <c r="E31" s="71"/>
      <c r="F31" s="71"/>
      <c r="G31" s="71"/>
      <c r="H31" s="71"/>
      <c r="I31" s="71"/>
      <c r="J31" s="71"/>
      <c r="K31" s="71"/>
      <c r="M31" s="71"/>
      <c r="O31" s="71"/>
      <c r="P31" s="71"/>
      <c r="Q31" s="153" t="s">
        <v>43</v>
      </c>
      <c r="R31" s="117" t="s">
        <v>1916</v>
      </c>
      <c r="T31" s="118"/>
      <c r="AB31" s="10" t="n">
        <v>2</v>
      </c>
      <c r="AC31" s="17" t="s">
        <v>859</v>
      </c>
      <c r="AD31" s="10" t="n">
        <v>24.13684</v>
      </c>
      <c r="AE31" s="10" t="n">
        <v>76.02377</v>
      </c>
    </row>
    <row r="32" customFormat="false" ht="15" hidden="false" customHeight="false" outlineLevel="0" collapsed="false">
      <c r="A32" s="71" t="s">
        <v>415</v>
      </c>
      <c r="B32" s="71" t="s">
        <v>1877</v>
      </c>
      <c r="C32" s="51" t="s">
        <v>1913</v>
      </c>
      <c r="D32" s="71" t="s">
        <v>1922</v>
      </c>
      <c r="E32" s="71" t="s">
        <v>1923</v>
      </c>
      <c r="F32" s="71" t="n">
        <v>315.15</v>
      </c>
      <c r="G32" s="71" t="n">
        <v>169</v>
      </c>
      <c r="H32" s="71" t="n">
        <v>850</v>
      </c>
      <c r="I32" s="71" t="n">
        <v>443</v>
      </c>
      <c r="J32" s="71" t="n">
        <v>407</v>
      </c>
      <c r="K32" s="71" t="n">
        <v>57</v>
      </c>
      <c r="L32" s="112" t="n">
        <f aca="false">K32/H32*100</f>
        <v>6.70588235294118</v>
      </c>
      <c r="M32" s="71" t="n">
        <v>0</v>
      </c>
      <c r="O32" s="71" t="n">
        <v>53.67</v>
      </c>
      <c r="P32" s="71" t="n">
        <v>0</v>
      </c>
      <c r="Q32" s="153" t="s">
        <v>45</v>
      </c>
      <c r="R32" s="153" t="s">
        <v>1916</v>
      </c>
      <c r="T32" s="118" t="n">
        <v>57.7181</v>
      </c>
      <c r="AB32" s="12" t="n">
        <v>1.01</v>
      </c>
      <c r="AC32" s="56" t="s">
        <v>859</v>
      </c>
      <c r="AD32" s="12" t="n">
        <v>24.141501</v>
      </c>
      <c r="AE32" s="12" t="n">
        <v>76.022279</v>
      </c>
    </row>
    <row r="33" customFormat="false" ht="15" hidden="false" customHeight="false" outlineLevel="0" collapsed="false">
      <c r="A33" s="71" t="s">
        <v>415</v>
      </c>
      <c r="B33" s="71" t="s">
        <v>1877</v>
      </c>
      <c r="C33" s="51" t="s">
        <v>1913</v>
      </c>
      <c r="D33" s="71" t="s">
        <v>1922</v>
      </c>
      <c r="E33" s="71"/>
      <c r="F33" s="71"/>
      <c r="G33" s="71"/>
      <c r="H33" s="71"/>
      <c r="I33" s="71"/>
      <c r="J33" s="71"/>
      <c r="K33" s="71"/>
      <c r="M33" s="71"/>
      <c r="O33" s="71"/>
      <c r="P33" s="71"/>
      <c r="Q33" s="153" t="s">
        <v>45</v>
      </c>
      <c r="R33" s="153" t="s">
        <v>1916</v>
      </c>
      <c r="T33" s="118"/>
      <c r="AB33" s="12" t="n">
        <v>4</v>
      </c>
      <c r="AC33" s="56" t="s">
        <v>859</v>
      </c>
      <c r="AD33" s="12" t="n">
        <v>24.13938</v>
      </c>
      <c r="AE33" s="12" t="n">
        <v>76.01573</v>
      </c>
    </row>
    <row r="34" customFormat="false" ht="15" hidden="false" customHeight="false" outlineLevel="0" collapsed="false">
      <c r="A34" s="71" t="s">
        <v>415</v>
      </c>
      <c r="B34" s="71" t="s">
        <v>1877</v>
      </c>
      <c r="C34" s="51" t="s">
        <v>1913</v>
      </c>
      <c r="D34" s="71" t="s">
        <v>1922</v>
      </c>
      <c r="E34" s="71"/>
      <c r="F34" s="71"/>
      <c r="G34" s="71"/>
      <c r="H34" s="71"/>
      <c r="I34" s="71"/>
      <c r="J34" s="71"/>
      <c r="K34" s="71"/>
      <c r="M34" s="71"/>
      <c r="O34" s="71"/>
      <c r="P34" s="71"/>
      <c r="Q34" s="153" t="s">
        <v>45</v>
      </c>
      <c r="R34" s="153" t="s">
        <v>1916</v>
      </c>
      <c r="T34" s="118"/>
      <c r="AB34" s="12" t="n">
        <v>3</v>
      </c>
      <c r="AC34" s="56" t="s">
        <v>859</v>
      </c>
      <c r="AD34" s="12" t="n">
        <v>24.13968</v>
      </c>
      <c r="AE34" s="12" t="n">
        <v>76.02441</v>
      </c>
    </row>
    <row r="35" customFormat="false" ht="15" hidden="false" customHeight="false" outlineLevel="0" collapsed="false">
      <c r="A35" s="71" t="s">
        <v>415</v>
      </c>
      <c r="B35" s="71" t="s">
        <v>1877</v>
      </c>
      <c r="C35" s="51" t="s">
        <v>1913</v>
      </c>
      <c r="D35" s="71" t="s">
        <v>1922</v>
      </c>
      <c r="E35" s="71"/>
      <c r="F35" s="71"/>
      <c r="G35" s="71"/>
      <c r="H35" s="71"/>
      <c r="I35" s="71"/>
      <c r="J35" s="71"/>
      <c r="K35" s="71"/>
      <c r="M35" s="71"/>
      <c r="O35" s="71"/>
      <c r="P35" s="71"/>
      <c r="Q35" s="153" t="s">
        <v>43</v>
      </c>
      <c r="R35" s="117" t="s">
        <v>1916</v>
      </c>
      <c r="T35" s="118"/>
      <c r="AB35" s="10" t="n">
        <v>6</v>
      </c>
      <c r="AC35" s="17" t="s">
        <v>859</v>
      </c>
      <c r="AD35" s="10" t="n">
        <v>24.13924</v>
      </c>
      <c r="AE35" s="10" t="n">
        <v>76.01713</v>
      </c>
    </row>
    <row r="36" customFormat="false" ht="15" hidden="false" customHeight="false" outlineLevel="0" collapsed="false">
      <c r="A36" s="71" t="s">
        <v>415</v>
      </c>
      <c r="B36" s="71" t="s">
        <v>1877</v>
      </c>
      <c r="C36" s="51" t="s">
        <v>1913</v>
      </c>
      <c r="D36" s="71" t="s">
        <v>1922</v>
      </c>
      <c r="E36" s="71"/>
      <c r="F36" s="71"/>
      <c r="G36" s="71"/>
      <c r="H36" s="71"/>
      <c r="I36" s="71"/>
      <c r="J36" s="71"/>
      <c r="K36" s="71"/>
      <c r="M36" s="71"/>
      <c r="O36" s="71"/>
      <c r="P36" s="71"/>
      <c r="Q36" s="153" t="s">
        <v>43</v>
      </c>
      <c r="R36" s="117" t="s">
        <v>1916</v>
      </c>
      <c r="T36" s="118"/>
      <c r="AB36" s="10" t="n">
        <v>2</v>
      </c>
      <c r="AC36" s="17" t="s">
        <v>859</v>
      </c>
      <c r="AD36" s="10" t="n">
        <v>24.13787</v>
      </c>
      <c r="AE36" s="10" t="n">
        <v>76.01636</v>
      </c>
    </row>
    <row r="37" customFormat="false" ht="15" hidden="false" customHeight="false" outlineLevel="0" collapsed="false">
      <c r="A37" s="71" t="s">
        <v>415</v>
      </c>
      <c r="B37" s="71" t="s">
        <v>1877</v>
      </c>
      <c r="C37" s="51" t="s">
        <v>1913</v>
      </c>
      <c r="D37" s="71" t="s">
        <v>1922</v>
      </c>
      <c r="E37" s="71"/>
      <c r="F37" s="71"/>
      <c r="G37" s="71"/>
      <c r="H37" s="71"/>
      <c r="I37" s="71"/>
      <c r="J37" s="71"/>
      <c r="K37" s="71"/>
      <c r="M37" s="71"/>
      <c r="O37" s="71"/>
      <c r="P37" s="71"/>
      <c r="Q37" s="153" t="s">
        <v>43</v>
      </c>
      <c r="R37" s="117" t="s">
        <v>1916</v>
      </c>
      <c r="T37" s="118"/>
      <c r="AB37" s="10" t="n">
        <v>6</v>
      </c>
      <c r="AC37" s="17" t="s">
        <v>859</v>
      </c>
      <c r="AD37" s="10" t="n">
        <v>24.141501</v>
      </c>
      <c r="AE37" s="10" t="n">
        <v>76.022279</v>
      </c>
    </row>
    <row r="38" customFormat="false" ht="15" hidden="false" customHeight="false" outlineLevel="0" collapsed="false">
      <c r="A38" s="71" t="s">
        <v>415</v>
      </c>
      <c r="B38" s="71" t="s">
        <v>1877</v>
      </c>
      <c r="C38" s="51" t="s">
        <v>1913</v>
      </c>
      <c r="D38" s="71" t="s">
        <v>1922</v>
      </c>
      <c r="E38" s="71"/>
      <c r="F38" s="71"/>
      <c r="G38" s="71"/>
      <c r="H38" s="71"/>
      <c r="I38" s="71"/>
      <c r="J38" s="71"/>
      <c r="K38" s="71"/>
      <c r="M38" s="71"/>
      <c r="O38" s="71"/>
      <c r="P38" s="71"/>
      <c r="Q38" s="153" t="s">
        <v>43</v>
      </c>
      <c r="R38" s="117" t="s">
        <v>1916</v>
      </c>
      <c r="T38" s="118"/>
      <c r="AB38" s="10" t="n">
        <v>6</v>
      </c>
      <c r="AC38" s="17" t="s">
        <v>859</v>
      </c>
      <c r="AD38" s="10" t="n">
        <v>24.141501</v>
      </c>
      <c r="AE38" s="10" t="n">
        <v>76.022279</v>
      </c>
    </row>
    <row r="39" customFormat="false" ht="15" hidden="false" customHeight="false" outlineLevel="0" collapsed="false">
      <c r="A39" s="71" t="s">
        <v>415</v>
      </c>
      <c r="B39" s="71" t="s">
        <v>1877</v>
      </c>
      <c r="C39" s="51" t="s">
        <v>1913</v>
      </c>
      <c r="D39" s="71" t="s">
        <v>1922</v>
      </c>
      <c r="E39" s="71"/>
      <c r="F39" s="71"/>
      <c r="G39" s="71"/>
      <c r="H39" s="71"/>
      <c r="I39" s="71"/>
      <c r="J39" s="71"/>
      <c r="K39" s="71"/>
      <c r="M39" s="71"/>
      <c r="O39" s="71"/>
      <c r="P39" s="71"/>
      <c r="Q39" s="153" t="s">
        <v>43</v>
      </c>
      <c r="R39" s="117" t="s">
        <v>1916</v>
      </c>
      <c r="T39" s="118"/>
      <c r="AB39" s="10" t="n">
        <v>5</v>
      </c>
      <c r="AC39" s="17" t="s">
        <v>859</v>
      </c>
      <c r="AD39" s="10" t="n">
        <v>24.141501</v>
      </c>
      <c r="AE39" s="10" t="n">
        <v>76.022279</v>
      </c>
    </row>
    <row r="40" customFormat="false" ht="15" hidden="false" customHeight="false" outlineLevel="0" collapsed="false">
      <c r="A40" s="71" t="s">
        <v>415</v>
      </c>
      <c r="B40" s="71" t="s">
        <v>1877</v>
      </c>
      <c r="C40" s="51" t="s">
        <v>1913</v>
      </c>
      <c r="D40" s="71" t="s">
        <v>1922</v>
      </c>
      <c r="E40" s="71"/>
      <c r="F40" s="71"/>
      <c r="G40" s="71"/>
      <c r="H40" s="71"/>
      <c r="I40" s="71"/>
      <c r="J40" s="71"/>
      <c r="K40" s="71"/>
      <c r="M40" s="71"/>
      <c r="O40" s="71"/>
      <c r="P40" s="71"/>
      <c r="Q40" s="153" t="s">
        <v>43</v>
      </c>
      <c r="R40" s="117" t="s">
        <v>1916</v>
      </c>
      <c r="T40" s="118"/>
      <c r="AB40" s="10" t="n">
        <v>2</v>
      </c>
      <c r="AC40" s="17" t="s">
        <v>859</v>
      </c>
      <c r="AD40" s="10" t="n">
        <v>24.14214</v>
      </c>
      <c r="AE40" s="10" t="n">
        <v>76.02552</v>
      </c>
    </row>
    <row r="41" customFormat="false" ht="15" hidden="false" customHeight="false" outlineLevel="0" collapsed="false">
      <c r="A41" s="71" t="s">
        <v>415</v>
      </c>
      <c r="B41" s="71" t="s">
        <v>1877</v>
      </c>
      <c r="C41" s="51" t="s">
        <v>1913</v>
      </c>
      <c r="D41" s="71" t="s">
        <v>1922</v>
      </c>
      <c r="E41" s="71"/>
      <c r="F41" s="71"/>
      <c r="G41" s="71"/>
      <c r="H41" s="71"/>
      <c r="I41" s="71"/>
      <c r="J41" s="71"/>
      <c r="K41" s="71"/>
      <c r="M41" s="71"/>
      <c r="O41" s="71"/>
      <c r="P41" s="71"/>
      <c r="Q41" s="153" t="s">
        <v>43</v>
      </c>
      <c r="R41" s="117" t="s">
        <v>1916</v>
      </c>
      <c r="T41" s="118"/>
      <c r="AB41" s="10" t="n">
        <v>2</v>
      </c>
      <c r="AC41" s="17" t="s">
        <v>859</v>
      </c>
      <c r="AD41" s="10" t="n">
        <v>24.14059</v>
      </c>
      <c r="AE41" s="10" t="n">
        <v>76.0222</v>
      </c>
    </row>
    <row r="42" customFormat="false" ht="15" hidden="false" customHeight="false" outlineLevel="0" collapsed="false">
      <c r="A42" s="71" t="s">
        <v>415</v>
      </c>
      <c r="B42" s="71" t="s">
        <v>1877</v>
      </c>
      <c r="C42" s="51" t="s">
        <v>1913</v>
      </c>
      <c r="D42" s="71" t="s">
        <v>1656</v>
      </c>
      <c r="E42" s="71" t="s">
        <v>1924</v>
      </c>
      <c r="F42" s="71" t="n">
        <v>585.54</v>
      </c>
      <c r="G42" s="71" t="n">
        <v>234</v>
      </c>
      <c r="H42" s="71" t="n">
        <v>1136</v>
      </c>
      <c r="I42" s="71" t="n">
        <v>570</v>
      </c>
      <c r="J42" s="71" t="n">
        <v>566</v>
      </c>
      <c r="K42" s="71" t="n">
        <v>418</v>
      </c>
      <c r="L42" s="112" t="n">
        <f aca="false">K42/H42*100</f>
        <v>36.7957746478873</v>
      </c>
      <c r="M42" s="71" t="n">
        <v>1</v>
      </c>
      <c r="N42" s="112" t="n">
        <f aca="false">M42/H42*100</f>
        <v>0.0880281690140845</v>
      </c>
      <c r="O42" s="71" t="n">
        <v>44.06</v>
      </c>
      <c r="P42" s="71" t="n">
        <v>0</v>
      </c>
      <c r="Q42" s="153" t="s">
        <v>45</v>
      </c>
      <c r="R42" s="153" t="s">
        <v>1916</v>
      </c>
      <c r="T42" s="118" t="n">
        <v>55.6697</v>
      </c>
      <c r="AB42" s="12" t="n">
        <v>1.5</v>
      </c>
      <c r="AC42" s="229" t="s">
        <v>859</v>
      </c>
      <c r="AD42" s="12" t="n">
        <v>24.137294</v>
      </c>
      <c r="AE42" s="12" t="n">
        <v>76.016805</v>
      </c>
    </row>
    <row r="43" customFormat="false" ht="15" hidden="false" customHeight="false" outlineLevel="0" collapsed="false">
      <c r="A43" s="71" t="s">
        <v>415</v>
      </c>
      <c r="B43" s="71" t="s">
        <v>1877</v>
      </c>
      <c r="C43" s="51" t="s">
        <v>1925</v>
      </c>
      <c r="D43" s="72" t="s">
        <v>1926</v>
      </c>
      <c r="E43" s="71" t="s">
        <v>1927</v>
      </c>
      <c r="F43" s="71" t="n">
        <v>467.9</v>
      </c>
      <c r="G43" s="71" t="n">
        <v>294</v>
      </c>
      <c r="H43" s="71" t="n">
        <v>1692</v>
      </c>
      <c r="I43" s="71" t="n">
        <v>856</v>
      </c>
      <c r="J43" s="71" t="n">
        <v>836</v>
      </c>
      <c r="K43" s="71" t="n">
        <v>359</v>
      </c>
      <c r="L43" s="112" t="n">
        <f aca="false">K43/H43*100</f>
        <v>21.2174940898345</v>
      </c>
      <c r="M43" s="71" t="n">
        <v>249</v>
      </c>
      <c r="N43" s="112" t="n">
        <f aca="false">M43/H43*100</f>
        <v>14.7163120567376</v>
      </c>
      <c r="O43" s="71" t="n">
        <v>35.89</v>
      </c>
      <c r="P43" s="71" t="n">
        <v>0</v>
      </c>
      <c r="Q43" s="172" t="s">
        <v>45</v>
      </c>
      <c r="R43" s="153" t="s">
        <v>1493</v>
      </c>
      <c r="T43" s="146" t="n">
        <v>37.0539</v>
      </c>
      <c r="AB43" s="12" t="n">
        <v>26</v>
      </c>
      <c r="AC43" s="89" t="s">
        <v>852</v>
      </c>
      <c r="AD43" s="12"/>
      <c r="AE43" s="12"/>
    </row>
    <row r="44" customFormat="false" ht="15" hidden="false" customHeight="false" outlineLevel="0" collapsed="false">
      <c r="A44" s="71" t="s">
        <v>415</v>
      </c>
      <c r="B44" s="71" t="s">
        <v>1877</v>
      </c>
      <c r="C44" s="51" t="s">
        <v>1925</v>
      </c>
      <c r="D44" s="72" t="s">
        <v>1926</v>
      </c>
      <c r="E44" s="71"/>
      <c r="F44" s="71"/>
      <c r="G44" s="71"/>
      <c r="H44" s="71"/>
      <c r="I44" s="71"/>
      <c r="J44" s="71"/>
      <c r="K44" s="71"/>
      <c r="M44" s="71"/>
      <c r="O44" s="71"/>
      <c r="P44" s="71"/>
      <c r="Q44" s="172" t="s">
        <v>45</v>
      </c>
      <c r="R44" s="153" t="s">
        <v>1493</v>
      </c>
      <c r="T44" s="146"/>
      <c r="AB44" s="12" t="n">
        <v>11</v>
      </c>
      <c r="AC44" s="89" t="s">
        <v>852</v>
      </c>
      <c r="AD44" s="12" t="n">
        <v>24.334</v>
      </c>
      <c r="AE44" s="12" t="n">
        <v>76.129127</v>
      </c>
    </row>
    <row r="45" customFormat="false" ht="15" hidden="false" customHeight="false" outlineLevel="0" collapsed="false">
      <c r="A45" s="71" t="s">
        <v>415</v>
      </c>
      <c r="B45" s="71" t="s">
        <v>1877</v>
      </c>
      <c r="C45" s="51" t="s">
        <v>1925</v>
      </c>
      <c r="D45" s="71" t="s">
        <v>1928</v>
      </c>
      <c r="E45" s="71" t="s">
        <v>1929</v>
      </c>
      <c r="F45" s="71" t="n">
        <v>200.19</v>
      </c>
      <c r="G45" s="71" t="n">
        <v>68</v>
      </c>
      <c r="H45" s="71" t="n">
        <v>369</v>
      </c>
      <c r="I45" s="71" t="n">
        <v>175</v>
      </c>
      <c r="J45" s="71" t="n">
        <v>194</v>
      </c>
      <c r="K45" s="71" t="n">
        <v>43</v>
      </c>
      <c r="L45" s="112" t="n">
        <f aca="false">K45/H45*100</f>
        <v>11.6531165311653</v>
      </c>
      <c r="M45" s="71" t="n">
        <v>0</v>
      </c>
      <c r="N45" s="112" t="n">
        <f aca="false">M45/H45*100</f>
        <v>0</v>
      </c>
      <c r="O45" s="71" t="n">
        <v>0</v>
      </c>
      <c r="P45" s="71" t="n">
        <v>0</v>
      </c>
      <c r="Q45" s="172" t="s">
        <v>45</v>
      </c>
      <c r="R45" s="153" t="s">
        <v>1493</v>
      </c>
      <c r="T45" s="146" t="n">
        <v>0.0632</v>
      </c>
      <c r="AB45" s="12" t="n">
        <v>0</v>
      </c>
      <c r="AC45" s="89" t="s">
        <v>852</v>
      </c>
      <c r="AD45" s="12"/>
      <c r="AE45" s="12"/>
    </row>
    <row r="46" customFormat="false" ht="15" hidden="false" customHeight="false" outlineLevel="0" collapsed="false">
      <c r="A46" s="71" t="s">
        <v>415</v>
      </c>
      <c r="B46" s="71" t="s">
        <v>1877</v>
      </c>
      <c r="C46" s="51" t="s">
        <v>1925</v>
      </c>
      <c r="D46" s="71" t="s">
        <v>1098</v>
      </c>
      <c r="E46" s="71" t="s">
        <v>1930</v>
      </c>
      <c r="F46" s="71" t="n">
        <v>615.43</v>
      </c>
      <c r="G46" s="71" t="n">
        <v>268</v>
      </c>
      <c r="H46" s="71" t="n">
        <v>1427</v>
      </c>
      <c r="I46" s="71" t="n">
        <v>724</v>
      </c>
      <c r="J46" s="71" t="n">
        <v>703</v>
      </c>
      <c r="K46" s="71" t="n">
        <v>239</v>
      </c>
      <c r="L46" s="112" t="n">
        <f aca="false">K46/H46*100</f>
        <v>16.7484232655922</v>
      </c>
      <c r="M46" s="71" t="n">
        <v>275</v>
      </c>
      <c r="N46" s="112" t="n">
        <f aca="false">M46/H46*100</f>
        <v>19.27119831815</v>
      </c>
      <c r="O46" s="71" t="n">
        <v>32.37</v>
      </c>
      <c r="P46" s="71" t="n">
        <v>0</v>
      </c>
      <c r="Q46" s="172" t="s">
        <v>45</v>
      </c>
      <c r="R46" s="153" t="s">
        <v>1493</v>
      </c>
      <c r="T46" s="146" t="n">
        <v>0.0236</v>
      </c>
      <c r="AB46" s="12" t="n">
        <v>0</v>
      </c>
      <c r="AC46" s="89" t="s">
        <v>852</v>
      </c>
      <c r="AD46" s="12"/>
      <c r="AE46" s="12"/>
    </row>
    <row r="47" customFormat="false" ht="15" hidden="false" customHeight="false" outlineLevel="0" collapsed="false">
      <c r="A47" s="71" t="s">
        <v>415</v>
      </c>
      <c r="B47" s="71" t="s">
        <v>1877</v>
      </c>
      <c r="C47" s="51" t="s">
        <v>1931</v>
      </c>
      <c r="D47" s="72" t="s">
        <v>1932</v>
      </c>
      <c r="E47" s="71" t="s">
        <v>1933</v>
      </c>
      <c r="F47" s="71" t="n">
        <v>970.38</v>
      </c>
      <c r="G47" s="71" t="n">
        <v>433</v>
      </c>
      <c r="H47" s="71" t="n">
        <v>2267</v>
      </c>
      <c r="I47" s="71" t="n">
        <v>1159</v>
      </c>
      <c r="J47" s="71" t="n">
        <v>1108</v>
      </c>
      <c r="K47" s="71" t="n">
        <v>200</v>
      </c>
      <c r="L47" s="112" t="n">
        <f aca="false">K47/H47*100</f>
        <v>8.82223202470225</v>
      </c>
      <c r="M47" s="71" t="n">
        <v>0</v>
      </c>
      <c r="N47" s="112" t="n">
        <f aca="false">M47/H47*100</f>
        <v>0</v>
      </c>
      <c r="O47" s="71" t="n">
        <v>44.2</v>
      </c>
      <c r="P47" s="71" t="n">
        <v>0</v>
      </c>
      <c r="Q47" s="153" t="s">
        <v>45</v>
      </c>
      <c r="R47" s="153" t="s">
        <v>464</v>
      </c>
      <c r="T47" s="118" t="n">
        <v>49.9024</v>
      </c>
      <c r="AB47" s="12" t="n">
        <v>3.9097</v>
      </c>
      <c r="AC47" s="56" t="s">
        <v>859</v>
      </c>
      <c r="AD47" s="12" t="n">
        <v>24.28284</v>
      </c>
      <c r="AE47" s="12" t="n">
        <v>75.959392</v>
      </c>
    </row>
    <row r="48" customFormat="false" ht="15" hidden="false" customHeight="false" outlineLevel="0" collapsed="false">
      <c r="A48" s="71" t="s">
        <v>415</v>
      </c>
      <c r="B48" s="71" t="s">
        <v>1877</v>
      </c>
      <c r="C48" s="51" t="s">
        <v>1931</v>
      </c>
      <c r="D48" s="71" t="s">
        <v>1934</v>
      </c>
      <c r="E48" s="71" t="s">
        <v>1935</v>
      </c>
      <c r="F48" s="71" t="n">
        <v>270.82</v>
      </c>
      <c r="G48" s="71" t="n">
        <v>102</v>
      </c>
      <c r="H48" s="71" t="n">
        <v>560</v>
      </c>
      <c r="I48" s="71" t="n">
        <v>285</v>
      </c>
      <c r="J48" s="71" t="n">
        <v>275</v>
      </c>
      <c r="K48" s="71" t="n">
        <v>55</v>
      </c>
      <c r="L48" s="112" t="n">
        <f aca="false">K48/H48*100</f>
        <v>9.82142857142857</v>
      </c>
      <c r="M48" s="71" t="n">
        <v>0</v>
      </c>
      <c r="N48" s="112" t="n">
        <f aca="false">M48/H48*100</f>
        <v>0</v>
      </c>
      <c r="O48" s="71" t="n">
        <v>36.61</v>
      </c>
      <c r="P48" s="71" t="n">
        <v>0</v>
      </c>
      <c r="Q48" s="153" t="s">
        <v>45</v>
      </c>
      <c r="R48" s="153" t="s">
        <v>464</v>
      </c>
      <c r="T48" s="118" t="n">
        <v>38.116</v>
      </c>
      <c r="AB48" s="12" t="n">
        <v>3.4398</v>
      </c>
      <c r="AC48" s="56" t="s">
        <v>859</v>
      </c>
      <c r="AD48" s="12" t="n">
        <v>24.261301</v>
      </c>
      <c r="AE48" s="12" t="n">
        <v>75.95958</v>
      </c>
    </row>
    <row r="49" customFormat="false" ht="15" hidden="false" customHeight="false" outlineLevel="0" collapsed="false">
      <c r="A49" s="71" t="s">
        <v>415</v>
      </c>
      <c r="B49" s="71" t="s">
        <v>1877</v>
      </c>
      <c r="C49" s="51" t="s">
        <v>1931</v>
      </c>
      <c r="D49" s="71" t="s">
        <v>1936</v>
      </c>
      <c r="E49" s="71" t="s">
        <v>1937</v>
      </c>
      <c r="F49" s="71" t="n">
        <v>306.96</v>
      </c>
      <c r="G49" s="71" t="n">
        <v>71</v>
      </c>
      <c r="H49" s="71" t="n">
        <v>340</v>
      </c>
      <c r="I49" s="71" t="n">
        <v>171</v>
      </c>
      <c r="J49" s="71" t="n">
        <v>169</v>
      </c>
      <c r="K49" s="71" t="n">
        <v>118</v>
      </c>
      <c r="L49" s="112" t="n">
        <f aca="false">K49/H49*100</f>
        <v>34.7058823529412</v>
      </c>
      <c r="M49" s="71" t="n">
        <v>0</v>
      </c>
      <c r="N49" s="112" t="n">
        <f aca="false">M49/H49*100</f>
        <v>0</v>
      </c>
      <c r="O49" s="71" t="n">
        <v>21.28</v>
      </c>
      <c r="P49" s="71" t="n">
        <v>0</v>
      </c>
      <c r="Q49" s="153" t="s">
        <v>45</v>
      </c>
      <c r="R49" s="153" t="s">
        <v>464</v>
      </c>
      <c r="T49" s="118" t="n">
        <v>21.6885</v>
      </c>
      <c r="AB49" s="12" t="n">
        <v>1.5625</v>
      </c>
      <c r="AC49" s="56" t="s">
        <v>859</v>
      </c>
      <c r="AD49" s="12" t="n">
        <v>24.268819</v>
      </c>
      <c r="AE49" s="12" t="n">
        <v>75.957271</v>
      </c>
    </row>
    <row r="50" customFormat="false" ht="15" hidden="false" customHeight="false" outlineLevel="0" collapsed="false">
      <c r="A50" s="71" t="s">
        <v>415</v>
      </c>
      <c r="B50" s="71" t="s">
        <v>1877</v>
      </c>
      <c r="C50" s="51" t="s">
        <v>1931</v>
      </c>
      <c r="D50" s="71" t="s">
        <v>287</v>
      </c>
      <c r="E50" s="71" t="s">
        <v>1938</v>
      </c>
      <c r="F50" s="71" t="n">
        <v>125.75</v>
      </c>
      <c r="G50" s="71" t="n">
        <v>44</v>
      </c>
      <c r="H50" s="71" t="n">
        <v>206</v>
      </c>
      <c r="I50" s="71" t="n">
        <v>107</v>
      </c>
      <c r="J50" s="71" t="n">
        <v>99</v>
      </c>
      <c r="K50" s="71" t="n">
        <v>201</v>
      </c>
      <c r="L50" s="112" t="n">
        <f aca="false">K50/H50*100</f>
        <v>97.5728155339806</v>
      </c>
      <c r="M50" s="71" t="n">
        <v>0</v>
      </c>
      <c r="N50" s="112" t="n">
        <f aca="false">M50/H50*100</f>
        <v>0</v>
      </c>
      <c r="O50" s="71" t="n">
        <v>1.97</v>
      </c>
      <c r="P50" s="71" t="n">
        <v>0</v>
      </c>
      <c r="Q50" s="153" t="s">
        <v>45</v>
      </c>
      <c r="R50" s="153" t="s">
        <v>464</v>
      </c>
      <c r="T50" s="118" t="n">
        <v>1.6187</v>
      </c>
      <c r="AB50" s="12" t="n">
        <v>1.6187</v>
      </c>
      <c r="AC50" s="56" t="s">
        <v>859</v>
      </c>
      <c r="AD50" s="12" t="n">
        <v>24.296012</v>
      </c>
      <c r="AE50" s="12" t="n">
        <v>75.990122</v>
      </c>
    </row>
    <row r="51" customFormat="false" ht="15" hidden="false" customHeight="false" outlineLevel="0" collapsed="false">
      <c r="A51" s="71" t="s">
        <v>415</v>
      </c>
      <c r="B51" s="71" t="s">
        <v>1877</v>
      </c>
      <c r="C51" s="51" t="s">
        <v>1931</v>
      </c>
      <c r="D51" s="71" t="s">
        <v>351</v>
      </c>
      <c r="E51" s="71" t="s">
        <v>1939</v>
      </c>
      <c r="F51" s="71" t="n">
        <v>441.36</v>
      </c>
      <c r="G51" s="71" t="n">
        <v>139</v>
      </c>
      <c r="H51" s="71" t="n">
        <v>661</v>
      </c>
      <c r="I51" s="71" t="n">
        <v>355</v>
      </c>
      <c r="J51" s="71" t="n">
        <v>306</v>
      </c>
      <c r="K51" s="71" t="n">
        <v>451</v>
      </c>
      <c r="L51" s="112" t="n">
        <f aca="false">K51/H51*100</f>
        <v>68.2299546142209</v>
      </c>
      <c r="M51" s="71" t="n">
        <v>0</v>
      </c>
      <c r="N51" s="112" t="n">
        <f aca="false">M51/H51*100</f>
        <v>0</v>
      </c>
      <c r="O51" s="71" t="n">
        <v>3.67</v>
      </c>
      <c r="P51" s="71" t="n">
        <v>0</v>
      </c>
      <c r="Q51" s="153" t="s">
        <v>45</v>
      </c>
      <c r="R51" s="153" t="s">
        <v>464</v>
      </c>
      <c r="T51" s="118" t="n">
        <v>3.6675</v>
      </c>
      <c r="AB51" s="12" t="n">
        <v>1.0675</v>
      </c>
      <c r="AC51" s="56" t="s">
        <v>859</v>
      </c>
      <c r="AD51" s="12" t="n">
        <v>24.294844</v>
      </c>
      <c r="AE51" s="12" t="n">
        <v>75.983188</v>
      </c>
    </row>
    <row r="52" customFormat="false" ht="15" hidden="false" customHeight="false" outlineLevel="0" collapsed="false">
      <c r="A52" s="71" t="s">
        <v>415</v>
      </c>
      <c r="B52" s="71" t="s">
        <v>1877</v>
      </c>
      <c r="C52" s="51" t="s">
        <v>1940</v>
      </c>
      <c r="D52" s="72" t="s">
        <v>1941</v>
      </c>
      <c r="E52" s="71" t="s">
        <v>1942</v>
      </c>
      <c r="F52" s="71" t="n">
        <v>865.03</v>
      </c>
      <c r="G52" s="71" t="n">
        <v>457</v>
      </c>
      <c r="H52" s="71" t="n">
        <v>2353</v>
      </c>
      <c r="I52" s="71" t="n">
        <v>1227</v>
      </c>
      <c r="J52" s="71" t="n">
        <v>1126</v>
      </c>
      <c r="K52" s="71" t="n">
        <v>550</v>
      </c>
      <c r="L52" s="112" t="n">
        <f aca="false">K52/H52*100</f>
        <v>23.374415639609</v>
      </c>
      <c r="M52" s="71" t="n">
        <v>0</v>
      </c>
      <c r="N52" s="112" t="n">
        <f aca="false">M52/H52*100</f>
        <v>0</v>
      </c>
      <c r="O52" s="71" t="n">
        <v>122.4</v>
      </c>
      <c r="P52" s="71" t="n">
        <v>0</v>
      </c>
      <c r="Q52" s="153" t="s">
        <v>45</v>
      </c>
      <c r="R52" s="153" t="s">
        <v>464</v>
      </c>
      <c r="T52" s="118" t="n">
        <v>125.2247</v>
      </c>
      <c r="V52" s="112" t="s">
        <v>43</v>
      </c>
      <c r="AB52" s="12" t="n">
        <v>1.6</v>
      </c>
      <c r="AC52" s="56" t="s">
        <v>859</v>
      </c>
      <c r="AD52" s="12" t="n">
        <v>24.19272</v>
      </c>
      <c r="AE52" s="12" t="n">
        <v>76.103276</v>
      </c>
    </row>
    <row r="53" customFormat="false" ht="15" hidden="false" customHeight="false" outlineLevel="0" collapsed="false">
      <c r="A53" s="71" t="s">
        <v>415</v>
      </c>
      <c r="B53" s="71" t="s">
        <v>1877</v>
      </c>
      <c r="C53" s="51" t="s">
        <v>1940</v>
      </c>
      <c r="D53" s="72" t="s">
        <v>1941</v>
      </c>
      <c r="E53" s="71"/>
      <c r="F53" s="71"/>
      <c r="G53" s="71"/>
      <c r="H53" s="71"/>
      <c r="I53" s="71"/>
      <c r="J53" s="71"/>
      <c r="K53" s="71"/>
      <c r="M53" s="71"/>
      <c r="O53" s="71"/>
      <c r="P53" s="71"/>
      <c r="Q53" s="153" t="s">
        <v>45</v>
      </c>
      <c r="R53" s="153" t="s">
        <v>464</v>
      </c>
      <c r="AB53" s="12" t="n">
        <v>2.8</v>
      </c>
      <c r="AC53" s="56" t="s">
        <v>859</v>
      </c>
      <c r="AD53" s="12" t="n">
        <v>24.19142</v>
      </c>
      <c r="AE53" s="12" t="n">
        <v>76.1062</v>
      </c>
    </row>
    <row r="54" customFormat="false" ht="15" hidden="false" customHeight="false" outlineLevel="0" collapsed="false">
      <c r="A54" s="71" t="s">
        <v>415</v>
      </c>
      <c r="B54" s="71" t="s">
        <v>1877</v>
      </c>
      <c r="C54" s="51" t="s">
        <v>1940</v>
      </c>
      <c r="D54" s="72" t="s">
        <v>1941</v>
      </c>
      <c r="E54" s="71"/>
      <c r="F54" s="71"/>
      <c r="G54" s="71"/>
      <c r="H54" s="71"/>
      <c r="I54" s="71"/>
      <c r="J54" s="71"/>
      <c r="K54" s="71"/>
      <c r="M54" s="71"/>
      <c r="O54" s="71"/>
      <c r="P54" s="71"/>
      <c r="Q54" s="153" t="s">
        <v>45</v>
      </c>
      <c r="R54" s="153" t="s">
        <v>464</v>
      </c>
      <c r="AB54" s="12" t="n">
        <v>3.68</v>
      </c>
      <c r="AC54" s="56" t="s">
        <v>859</v>
      </c>
      <c r="AD54" s="12" t="n">
        <v>24.18697</v>
      </c>
      <c r="AE54" s="12" t="n">
        <v>76.11128</v>
      </c>
    </row>
    <row r="55" customFormat="false" ht="15" hidden="false" customHeight="false" outlineLevel="0" collapsed="false">
      <c r="A55" s="71" t="s">
        <v>415</v>
      </c>
      <c r="B55" s="71" t="s">
        <v>1877</v>
      </c>
      <c r="C55" s="51" t="s">
        <v>1940</v>
      </c>
      <c r="D55" s="72" t="s">
        <v>1941</v>
      </c>
      <c r="E55" s="71"/>
      <c r="F55" s="71"/>
      <c r="G55" s="71"/>
      <c r="H55" s="71"/>
      <c r="I55" s="71"/>
      <c r="J55" s="71"/>
      <c r="K55" s="71"/>
      <c r="M55" s="71"/>
      <c r="O55" s="71"/>
      <c r="P55" s="71"/>
      <c r="Q55" s="153" t="s">
        <v>45</v>
      </c>
      <c r="R55" s="153" t="s">
        <v>464</v>
      </c>
      <c r="AB55" s="12" t="n">
        <v>6</v>
      </c>
      <c r="AC55" s="56" t="s">
        <v>859</v>
      </c>
      <c r="AD55" s="12" t="n">
        <v>24.18875</v>
      </c>
      <c r="AE55" s="12" t="n">
        <v>76.11527</v>
      </c>
    </row>
    <row r="56" customFormat="false" ht="15" hidden="false" customHeight="false" outlineLevel="0" collapsed="false">
      <c r="A56" s="71" t="s">
        <v>415</v>
      </c>
      <c r="B56" s="71" t="s">
        <v>1877</v>
      </c>
      <c r="C56" s="51" t="s">
        <v>1940</v>
      </c>
      <c r="D56" s="72" t="s">
        <v>1941</v>
      </c>
      <c r="E56" s="71"/>
      <c r="F56" s="71"/>
      <c r="G56" s="71"/>
      <c r="H56" s="71"/>
      <c r="I56" s="71"/>
      <c r="J56" s="71"/>
      <c r="K56" s="71"/>
      <c r="M56" s="71"/>
      <c r="O56" s="71"/>
      <c r="P56" s="71"/>
      <c r="Q56" s="153" t="s">
        <v>45</v>
      </c>
      <c r="R56" s="153" t="s">
        <v>464</v>
      </c>
      <c r="AB56" s="12" t="n">
        <v>5.52</v>
      </c>
      <c r="AC56" s="56" t="s">
        <v>859</v>
      </c>
      <c r="AD56" s="12" t="n">
        <v>24.18997</v>
      </c>
      <c r="AE56" s="12" t="n">
        <v>76.11533</v>
      </c>
    </row>
    <row r="57" customFormat="false" ht="15" hidden="false" customHeight="false" outlineLevel="0" collapsed="false">
      <c r="A57" s="71" t="s">
        <v>415</v>
      </c>
      <c r="B57" s="71" t="s">
        <v>1877</v>
      </c>
      <c r="C57" s="51" t="s">
        <v>1940</v>
      </c>
      <c r="D57" s="72" t="s">
        <v>1941</v>
      </c>
      <c r="E57" s="71"/>
      <c r="F57" s="71"/>
      <c r="G57" s="71"/>
      <c r="H57" s="71"/>
      <c r="I57" s="71"/>
      <c r="J57" s="71"/>
      <c r="K57" s="71"/>
      <c r="M57" s="71"/>
      <c r="O57" s="71"/>
      <c r="P57" s="71"/>
      <c r="Q57" s="153" t="s">
        <v>45</v>
      </c>
      <c r="R57" s="171" t="n">
        <v>44693</v>
      </c>
      <c r="AB57" s="12" t="n">
        <v>8</v>
      </c>
      <c r="AC57" s="46" t="s">
        <v>859</v>
      </c>
      <c r="AD57" s="12" t="n">
        <v>23.95101</v>
      </c>
      <c r="AE57" s="12" t="n">
        <v>75.67189</v>
      </c>
    </row>
    <row r="58" customFormat="false" ht="15" hidden="false" customHeight="false" outlineLevel="0" collapsed="false">
      <c r="A58" s="71" t="s">
        <v>415</v>
      </c>
      <c r="B58" s="71" t="s">
        <v>1877</v>
      </c>
      <c r="C58" s="51" t="s">
        <v>1940</v>
      </c>
      <c r="D58" s="72" t="s">
        <v>1941</v>
      </c>
      <c r="E58" s="71"/>
      <c r="F58" s="71"/>
      <c r="G58" s="71"/>
      <c r="H58" s="71"/>
      <c r="I58" s="71"/>
      <c r="J58" s="71"/>
      <c r="K58" s="71"/>
      <c r="M58" s="71"/>
      <c r="O58" s="71"/>
      <c r="P58" s="71"/>
      <c r="Q58" s="153" t="s">
        <v>43</v>
      </c>
      <c r="R58" s="153" t="s">
        <v>464</v>
      </c>
      <c r="AB58" s="12" t="n">
        <v>2</v>
      </c>
      <c r="AC58" s="56" t="s">
        <v>859</v>
      </c>
      <c r="AD58" s="12" t="n">
        <v>24.19259</v>
      </c>
      <c r="AE58" s="12" t="n">
        <v>76.09965</v>
      </c>
    </row>
    <row r="59" customFormat="false" ht="15" hidden="false" customHeight="false" outlineLevel="0" collapsed="false">
      <c r="A59" s="71" t="s">
        <v>415</v>
      </c>
      <c r="B59" s="71" t="s">
        <v>1877</v>
      </c>
      <c r="C59" s="51" t="s">
        <v>1940</v>
      </c>
      <c r="D59" s="72" t="s">
        <v>1941</v>
      </c>
      <c r="E59" s="71"/>
      <c r="F59" s="71"/>
      <c r="G59" s="71"/>
      <c r="H59" s="71"/>
      <c r="I59" s="71"/>
      <c r="J59" s="71"/>
      <c r="K59" s="71"/>
      <c r="M59" s="71"/>
      <c r="O59" s="71"/>
      <c r="P59" s="71"/>
      <c r="Q59" s="153" t="s">
        <v>43</v>
      </c>
      <c r="R59" s="153" t="s">
        <v>464</v>
      </c>
      <c r="AB59" s="12" t="n">
        <v>2</v>
      </c>
      <c r="AC59" s="56" t="s">
        <v>859</v>
      </c>
      <c r="AD59" s="12" t="n">
        <v>24.19396</v>
      </c>
      <c r="AE59" s="12" t="n">
        <v>76.09779</v>
      </c>
    </row>
    <row r="60" customFormat="false" ht="15" hidden="false" customHeight="false" outlineLevel="0" collapsed="false">
      <c r="A60" s="71" t="s">
        <v>415</v>
      </c>
      <c r="B60" s="71" t="s">
        <v>1877</v>
      </c>
      <c r="C60" s="51" t="s">
        <v>1940</v>
      </c>
      <c r="D60" s="72" t="s">
        <v>1941</v>
      </c>
      <c r="E60" s="71"/>
      <c r="F60" s="71"/>
      <c r="G60" s="71"/>
      <c r="H60" s="71"/>
      <c r="I60" s="71"/>
      <c r="J60" s="71"/>
      <c r="K60" s="71"/>
      <c r="M60" s="71"/>
      <c r="O60" s="71"/>
      <c r="P60" s="71"/>
      <c r="Q60" s="153" t="s">
        <v>43</v>
      </c>
      <c r="R60" s="153" t="s">
        <v>464</v>
      </c>
      <c r="AB60" s="12" t="n">
        <v>2</v>
      </c>
      <c r="AC60" s="56" t="s">
        <v>859</v>
      </c>
      <c r="AD60" s="12" t="n">
        <v>24.18014</v>
      </c>
      <c r="AE60" s="12" t="n">
        <v>76.10531</v>
      </c>
    </row>
    <row r="61" customFormat="false" ht="15" hidden="false" customHeight="false" outlineLevel="0" collapsed="false">
      <c r="A61" s="71" t="s">
        <v>415</v>
      </c>
      <c r="B61" s="71" t="s">
        <v>1877</v>
      </c>
      <c r="C61" s="51" t="s">
        <v>1940</v>
      </c>
      <c r="D61" s="72" t="s">
        <v>1941</v>
      </c>
      <c r="E61" s="71"/>
      <c r="F61" s="71"/>
      <c r="G61" s="71"/>
      <c r="H61" s="71"/>
      <c r="I61" s="71"/>
      <c r="J61" s="71"/>
      <c r="K61" s="71"/>
      <c r="M61" s="71"/>
      <c r="O61" s="71"/>
      <c r="P61" s="71"/>
      <c r="Q61" s="153" t="s">
        <v>43</v>
      </c>
      <c r="R61" s="153" t="s">
        <v>464</v>
      </c>
      <c r="AB61" s="12" t="n">
        <v>4.4</v>
      </c>
      <c r="AC61" s="56" t="s">
        <v>859</v>
      </c>
      <c r="AD61" s="12" t="n">
        <v>24.19172</v>
      </c>
      <c r="AE61" s="12" t="n">
        <v>76.10565</v>
      </c>
    </row>
    <row r="62" customFormat="false" ht="15" hidden="false" customHeight="false" outlineLevel="0" collapsed="false">
      <c r="A62" s="71" t="s">
        <v>415</v>
      </c>
      <c r="B62" s="71" t="s">
        <v>1877</v>
      </c>
      <c r="C62" s="51" t="s">
        <v>1940</v>
      </c>
      <c r="D62" s="72" t="s">
        <v>1941</v>
      </c>
      <c r="E62" s="71"/>
      <c r="F62" s="71"/>
      <c r="G62" s="71"/>
      <c r="H62" s="71"/>
      <c r="I62" s="71"/>
      <c r="J62" s="71"/>
      <c r="K62" s="71"/>
      <c r="M62" s="71"/>
      <c r="O62" s="71"/>
      <c r="P62" s="71"/>
      <c r="Q62" s="153" t="s">
        <v>43</v>
      </c>
      <c r="R62" s="153" t="s">
        <v>464</v>
      </c>
      <c r="AB62" s="12" t="n">
        <v>6</v>
      </c>
      <c r="AC62" s="46" t="s">
        <v>859</v>
      </c>
      <c r="AD62" s="12" t="n">
        <v>24.1911</v>
      </c>
      <c r="AE62" s="12" t="n">
        <v>76.11171</v>
      </c>
    </row>
    <row r="63" customFormat="false" ht="15" hidden="false" customHeight="false" outlineLevel="0" collapsed="false">
      <c r="A63" s="71" t="s">
        <v>415</v>
      </c>
      <c r="B63" s="71" t="s">
        <v>1877</v>
      </c>
      <c r="C63" s="51" t="s">
        <v>1940</v>
      </c>
      <c r="D63" s="72" t="s">
        <v>1941</v>
      </c>
      <c r="E63" s="71"/>
      <c r="F63" s="71"/>
      <c r="G63" s="71"/>
      <c r="H63" s="71"/>
      <c r="I63" s="71"/>
      <c r="J63" s="71"/>
      <c r="K63" s="71"/>
      <c r="M63" s="71"/>
      <c r="O63" s="71"/>
      <c r="P63" s="71"/>
      <c r="Q63" s="153" t="s">
        <v>43</v>
      </c>
      <c r="R63" s="153" t="s">
        <v>464</v>
      </c>
      <c r="AB63" s="12" t="n">
        <v>3.68</v>
      </c>
      <c r="AC63" s="46" t="s">
        <v>859</v>
      </c>
      <c r="AD63" s="12" t="n">
        <v>24.18846</v>
      </c>
      <c r="AE63" s="12" t="n">
        <v>76.11395</v>
      </c>
    </row>
    <row r="64" customFormat="false" ht="15" hidden="false" customHeight="false" outlineLevel="0" collapsed="false">
      <c r="A64" s="71" t="s">
        <v>415</v>
      </c>
      <c r="B64" s="71" t="s">
        <v>1877</v>
      </c>
      <c r="C64" s="51" t="s">
        <v>1940</v>
      </c>
      <c r="D64" s="72" t="s">
        <v>1941</v>
      </c>
      <c r="E64" s="71"/>
      <c r="F64" s="71"/>
      <c r="G64" s="71"/>
      <c r="H64" s="71"/>
      <c r="I64" s="71"/>
      <c r="J64" s="71"/>
      <c r="K64" s="71"/>
      <c r="M64" s="71"/>
      <c r="O64" s="71"/>
      <c r="P64" s="71"/>
      <c r="Q64" s="153" t="s">
        <v>43</v>
      </c>
      <c r="R64" s="153" t="s">
        <v>464</v>
      </c>
      <c r="AB64" s="12" t="n">
        <v>7.2</v>
      </c>
      <c r="AC64" s="46" t="s">
        <v>859</v>
      </c>
      <c r="AD64" s="12" t="n">
        <v>24.18868</v>
      </c>
      <c r="AE64" s="12" t="n">
        <v>76.1133</v>
      </c>
    </row>
    <row r="65" customFormat="false" ht="15" hidden="false" customHeight="false" outlineLevel="0" collapsed="false">
      <c r="A65" s="71" t="s">
        <v>415</v>
      </c>
      <c r="B65" s="71" t="s">
        <v>1877</v>
      </c>
      <c r="C65" s="51" t="s">
        <v>1940</v>
      </c>
      <c r="D65" s="72" t="s">
        <v>1941</v>
      </c>
      <c r="E65" s="71"/>
      <c r="F65" s="71"/>
      <c r="G65" s="71"/>
      <c r="H65" s="71"/>
      <c r="I65" s="71"/>
      <c r="J65" s="71"/>
      <c r="K65" s="71"/>
      <c r="M65" s="71"/>
      <c r="O65" s="71"/>
      <c r="P65" s="71"/>
      <c r="Q65" s="153" t="s">
        <v>43</v>
      </c>
      <c r="R65" s="153" t="s">
        <v>464</v>
      </c>
      <c r="AB65" s="12" t="n">
        <v>8</v>
      </c>
      <c r="AC65" s="46" t="s">
        <v>859</v>
      </c>
      <c r="AD65" s="12" t="n">
        <v>24.19165</v>
      </c>
      <c r="AE65" s="12" t="n">
        <v>76.11142</v>
      </c>
    </row>
    <row r="66" customFormat="false" ht="15" hidden="false" customHeight="false" outlineLevel="0" collapsed="false">
      <c r="A66" s="71" t="s">
        <v>415</v>
      </c>
      <c r="B66" s="71" t="s">
        <v>1877</v>
      </c>
      <c r="C66" s="51" t="s">
        <v>1940</v>
      </c>
      <c r="D66" s="72" t="s">
        <v>1941</v>
      </c>
      <c r="E66" s="71"/>
      <c r="F66" s="71"/>
      <c r="G66" s="71"/>
      <c r="H66" s="71"/>
      <c r="I66" s="71"/>
      <c r="J66" s="71"/>
      <c r="K66" s="71"/>
      <c r="M66" s="71"/>
      <c r="O66" s="71"/>
      <c r="P66" s="71"/>
      <c r="Q66" s="153" t="s">
        <v>43</v>
      </c>
      <c r="R66" s="153" t="s">
        <v>464</v>
      </c>
      <c r="AB66" s="12" t="n">
        <v>3.68</v>
      </c>
      <c r="AC66" s="46" t="s">
        <v>859</v>
      </c>
      <c r="AD66" s="12" t="n">
        <v>24.1914</v>
      </c>
      <c r="AE66" s="12" t="n">
        <v>76.11168</v>
      </c>
    </row>
    <row r="67" customFormat="false" ht="15" hidden="false" customHeight="false" outlineLevel="0" collapsed="false">
      <c r="A67" s="71" t="s">
        <v>415</v>
      </c>
      <c r="B67" s="71" t="s">
        <v>1877</v>
      </c>
      <c r="C67" s="51" t="s">
        <v>1940</v>
      </c>
      <c r="D67" s="72" t="s">
        <v>1941</v>
      </c>
      <c r="E67" s="71"/>
      <c r="F67" s="71"/>
      <c r="G67" s="71"/>
      <c r="H67" s="71"/>
      <c r="I67" s="71"/>
      <c r="J67" s="71"/>
      <c r="K67" s="71"/>
      <c r="M67" s="71"/>
      <c r="O67" s="71"/>
      <c r="P67" s="71"/>
      <c r="Q67" s="153" t="s">
        <v>43</v>
      </c>
      <c r="R67" s="153" t="s">
        <v>464</v>
      </c>
      <c r="AB67" s="12" t="n">
        <v>2.8</v>
      </c>
      <c r="AC67" s="46" t="s">
        <v>859</v>
      </c>
      <c r="AD67" s="12" t="n">
        <v>24.19273</v>
      </c>
      <c r="AE67" s="12" t="n">
        <v>76.09748</v>
      </c>
    </row>
    <row r="68" customFormat="false" ht="15" hidden="false" customHeight="false" outlineLevel="0" collapsed="false">
      <c r="A68" s="71" t="s">
        <v>415</v>
      </c>
      <c r="B68" s="71" t="s">
        <v>1877</v>
      </c>
      <c r="C68" s="51" t="s">
        <v>1940</v>
      </c>
      <c r="D68" s="72" t="s">
        <v>1941</v>
      </c>
      <c r="E68" s="71"/>
      <c r="F68" s="71"/>
      <c r="G68" s="71"/>
      <c r="H68" s="71"/>
      <c r="I68" s="71"/>
      <c r="J68" s="71"/>
      <c r="K68" s="71"/>
      <c r="M68" s="71"/>
      <c r="O68" s="71"/>
      <c r="P68" s="71"/>
      <c r="Q68" s="153" t="s">
        <v>43</v>
      </c>
      <c r="R68" s="153" t="s">
        <v>464</v>
      </c>
      <c r="AB68" s="12" t="n">
        <v>5.52</v>
      </c>
      <c r="AC68" s="46" t="s">
        <v>859</v>
      </c>
      <c r="AD68" s="12" t="n">
        <v>24.1925</v>
      </c>
      <c r="AE68" s="12" t="n">
        <v>76.09831</v>
      </c>
    </row>
    <row r="69" customFormat="false" ht="15" hidden="false" customHeight="false" outlineLevel="0" collapsed="false">
      <c r="A69" s="71" t="s">
        <v>415</v>
      </c>
      <c r="B69" s="71" t="s">
        <v>1877</v>
      </c>
      <c r="C69" s="51" t="s">
        <v>1940</v>
      </c>
      <c r="D69" s="72" t="s">
        <v>1941</v>
      </c>
      <c r="E69" s="71"/>
      <c r="F69" s="71"/>
      <c r="G69" s="71"/>
      <c r="H69" s="71"/>
      <c r="I69" s="71"/>
      <c r="J69" s="71"/>
      <c r="K69" s="71"/>
      <c r="M69" s="71"/>
      <c r="O69" s="71"/>
      <c r="P69" s="71"/>
      <c r="Q69" s="153" t="s">
        <v>43</v>
      </c>
      <c r="R69" s="117" t="s">
        <v>464</v>
      </c>
      <c r="AB69" s="10" t="n">
        <v>10</v>
      </c>
      <c r="AC69" s="17" t="s">
        <v>859</v>
      </c>
      <c r="AD69" s="10" t="n">
        <v>24.19114</v>
      </c>
      <c r="AE69" s="10" t="n">
        <v>76.11451</v>
      </c>
    </row>
    <row r="70" customFormat="false" ht="15" hidden="false" customHeight="false" outlineLevel="0" collapsed="false">
      <c r="A70" s="71" t="s">
        <v>415</v>
      </c>
      <c r="B70" s="71" t="s">
        <v>1877</v>
      </c>
      <c r="C70" s="51" t="s">
        <v>1940</v>
      </c>
      <c r="D70" s="72" t="s">
        <v>1941</v>
      </c>
      <c r="E70" s="71"/>
      <c r="F70" s="71"/>
      <c r="G70" s="71"/>
      <c r="H70" s="71"/>
      <c r="I70" s="71"/>
      <c r="J70" s="71"/>
      <c r="K70" s="71"/>
      <c r="M70" s="71"/>
      <c r="O70" s="71"/>
      <c r="P70" s="71"/>
      <c r="Q70" s="153" t="s">
        <v>43</v>
      </c>
      <c r="R70" s="153" t="s">
        <v>464</v>
      </c>
      <c r="AB70" s="12" t="n">
        <v>1.6</v>
      </c>
      <c r="AC70" s="56" t="s">
        <v>859</v>
      </c>
      <c r="AD70" s="12" t="n">
        <v>24.17933</v>
      </c>
      <c r="AE70" s="12" t="n">
        <v>76.10425</v>
      </c>
    </row>
    <row r="71" customFormat="false" ht="15" hidden="false" customHeight="false" outlineLevel="0" collapsed="false">
      <c r="A71" s="71" t="s">
        <v>415</v>
      </c>
      <c r="B71" s="71" t="s">
        <v>1877</v>
      </c>
      <c r="C71" s="51" t="s">
        <v>1940</v>
      </c>
      <c r="D71" s="72" t="s">
        <v>1941</v>
      </c>
      <c r="E71" s="71"/>
      <c r="F71" s="71"/>
      <c r="G71" s="71"/>
      <c r="H71" s="71"/>
      <c r="I71" s="71"/>
      <c r="J71" s="71"/>
      <c r="K71" s="71"/>
      <c r="M71" s="71"/>
      <c r="O71" s="71"/>
      <c r="P71" s="71"/>
      <c r="Q71" s="153" t="s">
        <v>43</v>
      </c>
      <c r="R71" s="153" t="s">
        <v>464</v>
      </c>
      <c r="AB71" s="12" t="n">
        <v>2</v>
      </c>
      <c r="AC71" s="56" t="s">
        <v>859</v>
      </c>
      <c r="AD71" s="12" t="n">
        <v>24.17691</v>
      </c>
      <c r="AE71" s="12" t="n">
        <v>76.08645</v>
      </c>
    </row>
    <row r="72" customFormat="false" ht="15" hidden="false" customHeight="false" outlineLevel="0" collapsed="false">
      <c r="A72" s="71" t="s">
        <v>415</v>
      </c>
      <c r="B72" s="71" t="s">
        <v>1877</v>
      </c>
      <c r="C72" s="51" t="s">
        <v>1940</v>
      </c>
      <c r="D72" s="72" t="s">
        <v>1941</v>
      </c>
      <c r="E72" s="71"/>
      <c r="F72" s="71"/>
      <c r="G72" s="71"/>
      <c r="H72" s="71"/>
      <c r="I72" s="71"/>
      <c r="J72" s="71"/>
      <c r="K72" s="71"/>
      <c r="M72" s="71"/>
      <c r="O72" s="71"/>
      <c r="P72" s="71"/>
      <c r="Q72" s="153" t="s">
        <v>43</v>
      </c>
      <c r="R72" s="153" t="s">
        <v>464</v>
      </c>
      <c r="AB72" s="12" t="n">
        <v>4</v>
      </c>
      <c r="AC72" s="56" t="s">
        <v>859</v>
      </c>
      <c r="AD72" s="12" t="n">
        <v>24.17546</v>
      </c>
      <c r="AE72" s="12" t="n">
        <v>76.0913</v>
      </c>
    </row>
    <row r="73" customFormat="false" ht="15" hidden="false" customHeight="false" outlineLevel="0" collapsed="false">
      <c r="A73" s="71" t="s">
        <v>415</v>
      </c>
      <c r="B73" s="71" t="s">
        <v>1877</v>
      </c>
      <c r="C73" s="51" t="s">
        <v>1940</v>
      </c>
      <c r="D73" s="72" t="s">
        <v>1941</v>
      </c>
      <c r="E73" s="71"/>
      <c r="F73" s="71"/>
      <c r="G73" s="71"/>
      <c r="H73" s="71"/>
      <c r="I73" s="71"/>
      <c r="J73" s="71"/>
      <c r="K73" s="71"/>
      <c r="M73" s="71"/>
      <c r="O73" s="71"/>
      <c r="P73" s="71"/>
      <c r="Q73" s="153" t="s">
        <v>43</v>
      </c>
      <c r="R73" s="153" t="s">
        <v>464</v>
      </c>
      <c r="AB73" s="12" t="n">
        <v>1.8</v>
      </c>
      <c r="AC73" s="56" t="s">
        <v>859</v>
      </c>
      <c r="AD73" s="12" t="n">
        <v>24.18026</v>
      </c>
      <c r="AE73" s="12" t="n">
        <v>76.10537</v>
      </c>
    </row>
    <row r="74" customFormat="false" ht="15" hidden="false" customHeight="false" outlineLevel="0" collapsed="false">
      <c r="A74" s="71" t="s">
        <v>415</v>
      </c>
      <c r="B74" s="71" t="s">
        <v>1877</v>
      </c>
      <c r="C74" s="51" t="s">
        <v>1940</v>
      </c>
      <c r="D74" s="72" t="s">
        <v>1941</v>
      </c>
      <c r="E74" s="71"/>
      <c r="F74" s="71"/>
      <c r="G74" s="71"/>
      <c r="H74" s="71"/>
      <c r="I74" s="71"/>
      <c r="J74" s="71"/>
      <c r="K74" s="71"/>
      <c r="M74" s="71"/>
      <c r="O74" s="71"/>
      <c r="P74" s="71"/>
      <c r="Q74" s="153" t="s">
        <v>43</v>
      </c>
      <c r="R74" s="153" t="s">
        <v>464</v>
      </c>
      <c r="AB74" s="12" t="n">
        <v>2.8</v>
      </c>
      <c r="AC74" s="56" t="s">
        <v>859</v>
      </c>
      <c r="AD74" s="12" t="n">
        <v>24.17884</v>
      </c>
      <c r="AE74" s="12" t="n">
        <v>76.10722</v>
      </c>
    </row>
    <row r="75" customFormat="false" ht="15" hidden="false" customHeight="false" outlineLevel="0" collapsed="false">
      <c r="A75" s="71" t="s">
        <v>415</v>
      </c>
      <c r="B75" s="71" t="s">
        <v>1877</v>
      </c>
      <c r="C75" s="51" t="s">
        <v>1940</v>
      </c>
      <c r="D75" s="72" t="s">
        <v>1941</v>
      </c>
      <c r="E75" s="71"/>
      <c r="F75" s="71"/>
      <c r="G75" s="71"/>
      <c r="H75" s="71"/>
      <c r="I75" s="71"/>
      <c r="J75" s="71"/>
      <c r="K75" s="71"/>
      <c r="M75" s="71"/>
      <c r="O75" s="71"/>
      <c r="P75" s="71"/>
      <c r="Q75" s="153" t="s">
        <v>43</v>
      </c>
      <c r="R75" s="153" t="s">
        <v>464</v>
      </c>
      <c r="AB75" s="12" t="n">
        <v>6</v>
      </c>
      <c r="AC75" s="56" t="s">
        <v>859</v>
      </c>
      <c r="AD75" s="12" t="n">
        <v>24.18867</v>
      </c>
      <c r="AE75" s="12" t="n">
        <v>76.11291</v>
      </c>
    </row>
    <row r="76" customFormat="false" ht="15" hidden="false" customHeight="false" outlineLevel="0" collapsed="false">
      <c r="A76" s="71" t="s">
        <v>415</v>
      </c>
      <c r="B76" s="71" t="s">
        <v>1877</v>
      </c>
      <c r="C76" s="51" t="s">
        <v>1940</v>
      </c>
      <c r="D76" s="72" t="s">
        <v>1941</v>
      </c>
      <c r="E76" s="71"/>
      <c r="F76" s="71"/>
      <c r="G76" s="71"/>
      <c r="H76" s="71"/>
      <c r="I76" s="71"/>
      <c r="J76" s="71"/>
      <c r="K76" s="71"/>
      <c r="M76" s="71"/>
      <c r="O76" s="71"/>
      <c r="P76" s="71"/>
      <c r="Q76" s="153" t="s">
        <v>43</v>
      </c>
      <c r="R76" s="153" t="s">
        <v>464</v>
      </c>
      <c r="AB76" s="12" t="n">
        <v>7</v>
      </c>
      <c r="AC76" s="56" t="s">
        <v>859</v>
      </c>
      <c r="AD76" s="12" t="n">
        <v>24.19044</v>
      </c>
      <c r="AE76" s="12" t="n">
        <v>76.11156</v>
      </c>
    </row>
    <row r="77" customFormat="false" ht="15" hidden="false" customHeight="false" outlineLevel="0" collapsed="false">
      <c r="A77" s="71" t="s">
        <v>415</v>
      </c>
      <c r="B77" s="71" t="s">
        <v>1877</v>
      </c>
      <c r="C77" s="51" t="s">
        <v>1940</v>
      </c>
      <c r="D77" s="71" t="s">
        <v>1943</v>
      </c>
      <c r="E77" s="71" t="s">
        <v>1944</v>
      </c>
      <c r="F77" s="71" t="n">
        <v>364.6</v>
      </c>
      <c r="G77" s="71" t="n">
        <v>253</v>
      </c>
      <c r="H77" s="71" t="n">
        <v>1448</v>
      </c>
      <c r="I77" s="71" t="n">
        <v>749</v>
      </c>
      <c r="J77" s="71" t="n">
        <v>699</v>
      </c>
      <c r="K77" s="71" t="n">
        <v>445</v>
      </c>
      <c r="L77" s="112" t="n">
        <f aca="false">K77/H77*100</f>
        <v>30.732044198895</v>
      </c>
      <c r="M77" s="71" t="n">
        <v>4</v>
      </c>
      <c r="N77" s="112" t="n">
        <f aca="false">M77/H77*100</f>
        <v>0.276243093922652</v>
      </c>
      <c r="O77" s="71" t="n">
        <v>23.84</v>
      </c>
      <c r="P77" s="71" t="n">
        <v>0</v>
      </c>
      <c r="Q77" s="153" t="s">
        <v>45</v>
      </c>
      <c r="R77" s="153" t="s">
        <v>1476</v>
      </c>
      <c r="T77" s="118" t="n">
        <v>23.3324</v>
      </c>
      <c r="AB77" s="12" t="n">
        <v>2.8</v>
      </c>
      <c r="AC77" s="46" t="s">
        <v>1816</v>
      </c>
      <c r="AD77" s="12" t="n">
        <v>24.00022</v>
      </c>
      <c r="AE77" s="12" t="n">
        <v>75.66065</v>
      </c>
    </row>
    <row r="78" customFormat="false" ht="15" hidden="false" customHeight="false" outlineLevel="0" collapsed="false">
      <c r="A78" s="71" t="s">
        <v>415</v>
      </c>
      <c r="B78" s="71" t="s">
        <v>1877</v>
      </c>
      <c r="C78" s="51" t="s">
        <v>1940</v>
      </c>
      <c r="D78" s="71" t="s">
        <v>1945</v>
      </c>
      <c r="E78" s="71" t="s">
        <v>1946</v>
      </c>
      <c r="F78" s="71" t="n">
        <v>159.78</v>
      </c>
      <c r="G78" s="71" t="n">
        <v>0</v>
      </c>
      <c r="H78" s="71" t="n">
        <v>0</v>
      </c>
      <c r="I78" s="71" t="n">
        <v>0</v>
      </c>
      <c r="J78" s="71" t="n">
        <v>0</v>
      </c>
      <c r="K78" s="71" t="n">
        <v>0</v>
      </c>
      <c r="M78" s="71" t="n">
        <v>0</v>
      </c>
      <c r="O78" s="71" t="n">
        <v>0</v>
      </c>
      <c r="P78" s="71" t="n">
        <v>0</v>
      </c>
      <c r="Q78" s="153" t="s">
        <v>45</v>
      </c>
      <c r="R78" s="153" t="s">
        <v>1476</v>
      </c>
      <c r="AB78" s="12" t="n">
        <v>2.2</v>
      </c>
      <c r="AC78" s="46" t="s">
        <v>1816</v>
      </c>
      <c r="AD78" s="12" t="n">
        <v>24.00097</v>
      </c>
      <c r="AE78" s="12" t="n">
        <v>75.65821</v>
      </c>
    </row>
    <row r="79" customFormat="false" ht="15" hidden="false" customHeight="false" outlineLevel="0" collapsed="false">
      <c r="A79" s="71" t="s">
        <v>415</v>
      </c>
      <c r="B79" s="71" t="s">
        <v>1877</v>
      </c>
      <c r="C79" s="51" t="s">
        <v>1947</v>
      </c>
      <c r="D79" s="72" t="s">
        <v>1948</v>
      </c>
      <c r="E79" s="71" t="s">
        <v>1949</v>
      </c>
      <c r="F79" s="71" t="n">
        <v>1062.73</v>
      </c>
      <c r="G79" s="71" t="n">
        <v>264</v>
      </c>
      <c r="H79" s="71" t="n">
        <v>1512</v>
      </c>
      <c r="I79" s="71" t="n">
        <v>760</v>
      </c>
      <c r="J79" s="71" t="n">
        <v>752</v>
      </c>
      <c r="K79" s="71" t="n">
        <v>349</v>
      </c>
      <c r="L79" s="112" t="n">
        <f aca="false">K79/H79*100</f>
        <v>23.0820105820106</v>
      </c>
      <c r="M79" s="71" t="n">
        <v>0</v>
      </c>
      <c r="N79" s="112" t="n">
        <f aca="false">M79/H79*100</f>
        <v>0</v>
      </c>
      <c r="O79" s="71" t="n">
        <v>9.35</v>
      </c>
      <c r="P79" s="71" t="n">
        <v>0</v>
      </c>
      <c r="Q79" s="172" t="s">
        <v>45</v>
      </c>
      <c r="R79" s="153" t="s">
        <v>285</v>
      </c>
      <c r="T79" s="146" t="n">
        <v>10.8874</v>
      </c>
      <c r="AB79" s="12" t="n">
        <v>0</v>
      </c>
      <c r="AC79" s="89" t="s">
        <v>852</v>
      </c>
      <c r="AD79" s="12"/>
      <c r="AE79" s="12"/>
    </row>
    <row r="80" customFormat="false" ht="15" hidden="false" customHeight="false" outlineLevel="0" collapsed="false">
      <c r="A80" s="71" t="s">
        <v>415</v>
      </c>
      <c r="B80" s="71" t="s">
        <v>1877</v>
      </c>
      <c r="C80" s="51" t="s">
        <v>1947</v>
      </c>
      <c r="D80" s="71" t="s">
        <v>1950</v>
      </c>
      <c r="E80" s="71" t="s">
        <v>1951</v>
      </c>
      <c r="F80" s="71" t="n">
        <v>489.24</v>
      </c>
      <c r="G80" s="71" t="n">
        <v>217</v>
      </c>
      <c r="H80" s="71" t="n">
        <v>1163</v>
      </c>
      <c r="I80" s="71" t="n">
        <v>584</v>
      </c>
      <c r="J80" s="71" t="n">
        <v>579</v>
      </c>
      <c r="K80" s="71" t="n">
        <v>109</v>
      </c>
      <c r="L80" s="112" t="n">
        <f aca="false">K80/H80*100</f>
        <v>9.37231298366294</v>
      </c>
      <c r="M80" s="71" t="n">
        <v>0</v>
      </c>
      <c r="N80" s="112" t="n">
        <f aca="false">M80/H80*100</f>
        <v>0</v>
      </c>
      <c r="O80" s="71" t="n">
        <v>19.55</v>
      </c>
      <c r="P80" s="71" t="n">
        <v>0</v>
      </c>
      <c r="Q80" s="172" t="s">
        <v>45</v>
      </c>
      <c r="R80" s="153" t="s">
        <v>285</v>
      </c>
      <c r="T80" s="146" t="n">
        <v>23.2796</v>
      </c>
      <c r="AB80" s="12" t="n">
        <v>4</v>
      </c>
      <c r="AC80" s="89" t="s">
        <v>852</v>
      </c>
      <c r="AD80" s="12"/>
      <c r="AE80" s="12"/>
    </row>
    <row r="81" customFormat="false" ht="15" hidden="false" customHeight="false" outlineLevel="0" collapsed="false">
      <c r="A81" s="71" t="s">
        <v>415</v>
      </c>
      <c r="B81" s="71" t="s">
        <v>1877</v>
      </c>
      <c r="C81" s="51" t="s">
        <v>1947</v>
      </c>
      <c r="D81" s="71" t="s">
        <v>1952</v>
      </c>
      <c r="E81" s="71" t="s">
        <v>1953</v>
      </c>
      <c r="F81" s="71" t="n">
        <v>625.85</v>
      </c>
      <c r="G81" s="71" t="n">
        <v>200</v>
      </c>
      <c r="H81" s="71" t="n">
        <v>1056</v>
      </c>
      <c r="I81" s="71" t="n">
        <v>545</v>
      </c>
      <c r="J81" s="71" t="n">
        <v>511</v>
      </c>
      <c r="K81" s="71" t="n">
        <v>242</v>
      </c>
      <c r="L81" s="112" t="n">
        <f aca="false">K81/H81*100</f>
        <v>22.9166666666667</v>
      </c>
      <c r="M81" s="71" t="n">
        <v>22</v>
      </c>
      <c r="N81" s="112" t="n">
        <f aca="false">M81/H81*100</f>
        <v>2.08333333333333</v>
      </c>
      <c r="O81" s="71" t="n">
        <v>59.65</v>
      </c>
      <c r="P81" s="71" t="n">
        <v>0</v>
      </c>
      <c r="Q81" s="172" t="s">
        <v>45</v>
      </c>
      <c r="R81" s="153" t="s">
        <v>285</v>
      </c>
      <c r="T81" s="146" t="n">
        <v>59.6212</v>
      </c>
      <c r="AB81" s="12" t="n">
        <v>9</v>
      </c>
      <c r="AC81" s="89" t="s">
        <v>852</v>
      </c>
      <c r="AD81" s="12"/>
      <c r="AE81" s="12"/>
    </row>
    <row r="82" customFormat="false" ht="15" hidden="false" customHeight="false" outlineLevel="0" collapsed="false">
      <c r="A82" s="71" t="s">
        <v>415</v>
      </c>
      <c r="B82" s="71" t="s">
        <v>1877</v>
      </c>
      <c r="C82" s="51" t="s">
        <v>1947</v>
      </c>
      <c r="D82" s="71" t="s">
        <v>240</v>
      </c>
      <c r="E82" s="71" t="s">
        <v>1954</v>
      </c>
      <c r="F82" s="71" t="n">
        <v>622.81</v>
      </c>
      <c r="G82" s="71" t="n">
        <v>243</v>
      </c>
      <c r="H82" s="71" t="n">
        <v>1501</v>
      </c>
      <c r="I82" s="71" t="n">
        <v>779</v>
      </c>
      <c r="J82" s="71" t="n">
        <v>722</v>
      </c>
      <c r="K82" s="71" t="n">
        <v>401</v>
      </c>
      <c r="L82" s="112" t="n">
        <f aca="false">K82/H82*100</f>
        <v>26.7155229846769</v>
      </c>
      <c r="M82" s="71" t="n">
        <v>0</v>
      </c>
      <c r="N82" s="112" t="n">
        <f aca="false">M82/H82*100</f>
        <v>0</v>
      </c>
      <c r="O82" s="71" t="n">
        <v>56.25</v>
      </c>
      <c r="P82" s="71" t="n">
        <v>0</v>
      </c>
      <c r="Q82" s="172" t="s">
        <v>45</v>
      </c>
      <c r="R82" s="153" t="s">
        <v>285</v>
      </c>
      <c r="T82" s="146" t="n">
        <v>57.421</v>
      </c>
      <c r="AB82" s="12" t="n">
        <v>4</v>
      </c>
      <c r="AC82" s="89" t="s">
        <v>852</v>
      </c>
      <c r="AD82" s="12" t="n">
        <v>24.24321</v>
      </c>
      <c r="AE82" s="12" t="n">
        <v>75.940292</v>
      </c>
    </row>
    <row r="83" customFormat="false" ht="15" hidden="false" customHeight="false" outlineLevel="0" collapsed="false">
      <c r="A83" s="71" t="s">
        <v>415</v>
      </c>
      <c r="B83" s="71" t="s">
        <v>1877</v>
      </c>
      <c r="C83" s="51" t="s">
        <v>1955</v>
      </c>
      <c r="D83" s="72" t="s">
        <v>1956</v>
      </c>
      <c r="E83" s="71" t="s">
        <v>1957</v>
      </c>
      <c r="F83" s="71" t="n">
        <v>824.52</v>
      </c>
      <c r="G83" s="71" t="n">
        <v>359</v>
      </c>
      <c r="H83" s="71" t="n">
        <v>1796</v>
      </c>
      <c r="I83" s="71" t="n">
        <v>942</v>
      </c>
      <c r="J83" s="71" t="n">
        <v>854</v>
      </c>
      <c r="K83" s="71" t="n">
        <v>247</v>
      </c>
      <c r="L83" s="112" t="n">
        <f aca="false">K83/H83*100</f>
        <v>13.7527839643653</v>
      </c>
      <c r="M83" s="71" t="n">
        <v>263</v>
      </c>
      <c r="N83" s="112" t="n">
        <f aca="false">M83/H83*100</f>
        <v>14.6436525612472</v>
      </c>
      <c r="O83" s="71" t="n">
        <v>26.18</v>
      </c>
      <c r="P83" s="71" t="n">
        <v>0</v>
      </c>
      <c r="Q83" s="153" t="s">
        <v>45</v>
      </c>
      <c r="R83" s="171" t="n">
        <v>44967</v>
      </c>
      <c r="T83" s="118" t="n">
        <v>31.1858</v>
      </c>
      <c r="AB83" s="12" t="n">
        <v>0</v>
      </c>
      <c r="AC83" s="46" t="s">
        <v>859</v>
      </c>
      <c r="AD83" s="12"/>
      <c r="AE83" s="12"/>
    </row>
    <row r="84" customFormat="false" ht="15" hidden="false" customHeight="false" outlineLevel="0" collapsed="false">
      <c r="A84" s="71" t="s">
        <v>415</v>
      </c>
      <c r="B84" s="71" t="s">
        <v>1877</v>
      </c>
      <c r="C84" s="51" t="s">
        <v>1955</v>
      </c>
      <c r="D84" s="71" t="s">
        <v>1958</v>
      </c>
      <c r="E84" s="71" t="s">
        <v>1959</v>
      </c>
      <c r="F84" s="71" t="n">
        <v>391.33</v>
      </c>
      <c r="G84" s="71" t="n">
        <v>65</v>
      </c>
      <c r="H84" s="71" t="n">
        <v>345</v>
      </c>
      <c r="I84" s="71" t="n">
        <v>191</v>
      </c>
      <c r="J84" s="71" t="n">
        <v>154</v>
      </c>
      <c r="K84" s="71" t="n">
        <v>115</v>
      </c>
      <c r="L84" s="112" t="n">
        <f aca="false">K84/H84*100</f>
        <v>33.3333333333333</v>
      </c>
      <c r="M84" s="71" t="n">
        <v>85</v>
      </c>
      <c r="N84" s="112" t="n">
        <f aca="false">M84/H84*100</f>
        <v>24.6376811594203</v>
      </c>
      <c r="O84" s="71" t="n">
        <v>33.84</v>
      </c>
      <c r="P84" s="71" t="n">
        <v>112.59</v>
      </c>
      <c r="Q84" s="153" t="s">
        <v>45</v>
      </c>
      <c r="R84" s="171" t="n">
        <v>44967</v>
      </c>
      <c r="T84" s="118" t="n">
        <v>1.4291</v>
      </c>
      <c r="AB84" s="12" t="n">
        <v>0</v>
      </c>
      <c r="AC84" s="46" t="s">
        <v>859</v>
      </c>
      <c r="AD84" s="12"/>
      <c r="AE84" s="12"/>
    </row>
    <row r="85" customFormat="false" ht="15" hidden="false" customHeight="false" outlineLevel="0" collapsed="false">
      <c r="A85" s="71" t="s">
        <v>415</v>
      </c>
      <c r="B85" s="71" t="s">
        <v>1877</v>
      </c>
      <c r="C85" s="51" t="s">
        <v>1955</v>
      </c>
      <c r="D85" s="71" t="s">
        <v>1958</v>
      </c>
      <c r="E85" s="71"/>
      <c r="F85" s="71"/>
      <c r="G85" s="71"/>
      <c r="H85" s="71"/>
      <c r="I85" s="71"/>
      <c r="J85" s="71"/>
      <c r="K85" s="71"/>
      <c r="M85" s="71"/>
      <c r="O85" s="71"/>
      <c r="P85" s="71"/>
      <c r="Q85" s="153" t="s">
        <v>45</v>
      </c>
      <c r="R85" s="171" t="n">
        <v>44693</v>
      </c>
      <c r="AB85" s="12" t="n">
        <v>2.8</v>
      </c>
      <c r="AC85" s="46" t="s">
        <v>859</v>
      </c>
      <c r="AD85" s="12" t="n">
        <v>23.95941</v>
      </c>
      <c r="AE85" s="12" t="n">
        <v>75.65915</v>
      </c>
    </row>
    <row r="86" customFormat="false" ht="15" hidden="false" customHeight="false" outlineLevel="0" collapsed="false">
      <c r="A86" s="71" t="s">
        <v>415</v>
      </c>
      <c r="B86" s="71" t="s">
        <v>1877</v>
      </c>
      <c r="C86" s="51" t="s">
        <v>1955</v>
      </c>
      <c r="D86" s="71" t="s">
        <v>1960</v>
      </c>
      <c r="E86" s="71" t="s">
        <v>1961</v>
      </c>
      <c r="F86" s="71" t="n">
        <v>649.38</v>
      </c>
      <c r="G86" s="71" t="n">
        <v>307</v>
      </c>
      <c r="H86" s="71" t="n">
        <v>1554</v>
      </c>
      <c r="I86" s="71" t="n">
        <v>778</v>
      </c>
      <c r="J86" s="71" t="n">
        <v>776</v>
      </c>
      <c r="K86" s="71" t="n">
        <v>116</v>
      </c>
      <c r="L86" s="112" t="n">
        <f aca="false">K86/H86*100</f>
        <v>7.46460746460746</v>
      </c>
      <c r="M86" s="71" t="n">
        <v>169</v>
      </c>
      <c r="N86" s="112" t="n">
        <f aca="false">M86/H86*100</f>
        <v>10.8751608751609</v>
      </c>
      <c r="O86" s="71" t="n">
        <v>71.72</v>
      </c>
      <c r="P86" s="71" t="n">
        <v>9.35</v>
      </c>
      <c r="Q86" s="153" t="s">
        <v>45</v>
      </c>
      <c r="R86" s="171" t="n">
        <v>44967</v>
      </c>
      <c r="T86" s="118" t="n">
        <v>71.856</v>
      </c>
      <c r="AB86" s="12" t="n">
        <v>47</v>
      </c>
      <c r="AC86" s="46" t="s">
        <v>859</v>
      </c>
      <c r="AD86" s="12" t="n">
        <v>24.362407</v>
      </c>
      <c r="AE86" s="12" t="n">
        <v>76.095858</v>
      </c>
    </row>
    <row r="87" customFormat="false" ht="15" hidden="false" customHeight="false" outlineLevel="0" collapsed="false">
      <c r="A87" s="71" t="s">
        <v>415</v>
      </c>
      <c r="B87" s="71" t="s">
        <v>1877</v>
      </c>
      <c r="C87" s="51" t="s">
        <v>1955</v>
      </c>
      <c r="D87" s="71" t="s">
        <v>1960</v>
      </c>
      <c r="E87" s="71"/>
      <c r="F87" s="71"/>
      <c r="G87" s="71"/>
      <c r="H87" s="71"/>
      <c r="I87" s="71"/>
      <c r="J87" s="71"/>
      <c r="K87" s="71"/>
      <c r="M87" s="71"/>
      <c r="O87" s="71"/>
      <c r="P87" s="71"/>
      <c r="Q87" s="153" t="s">
        <v>150</v>
      </c>
      <c r="R87" s="153" t="s">
        <v>1547</v>
      </c>
      <c r="AB87" s="12" t="n">
        <v>2.8</v>
      </c>
      <c r="AC87" s="46" t="s">
        <v>859</v>
      </c>
      <c r="AD87" s="12" t="n">
        <v>24.32438</v>
      </c>
      <c r="AE87" s="12" t="n">
        <v>75.88765</v>
      </c>
    </row>
    <row r="88" customFormat="false" ht="15" hidden="false" customHeight="false" outlineLevel="0" collapsed="false">
      <c r="A88" s="71" t="s">
        <v>415</v>
      </c>
      <c r="B88" s="71" t="s">
        <v>1877</v>
      </c>
      <c r="C88" s="51" t="s">
        <v>1955</v>
      </c>
      <c r="D88" s="71" t="s">
        <v>1962</v>
      </c>
      <c r="E88" s="71" t="s">
        <v>1963</v>
      </c>
      <c r="F88" s="71" t="n">
        <v>200.17</v>
      </c>
      <c r="G88" s="71" t="n">
        <v>51</v>
      </c>
      <c r="H88" s="71" t="n">
        <v>274</v>
      </c>
      <c r="I88" s="71" t="n">
        <v>130</v>
      </c>
      <c r="J88" s="71" t="n">
        <v>144</v>
      </c>
      <c r="K88" s="71" t="n">
        <v>47</v>
      </c>
      <c r="L88" s="112" t="n">
        <f aca="false">K88/H88*100</f>
        <v>17.1532846715328</v>
      </c>
      <c r="M88" s="71" t="n">
        <v>0</v>
      </c>
      <c r="N88" s="112" t="n">
        <f aca="false">M88/H88*100</f>
        <v>0</v>
      </c>
      <c r="O88" s="71" t="n">
        <v>14.66</v>
      </c>
      <c r="P88" s="71" t="n">
        <v>0</v>
      </c>
      <c r="Q88" s="153" t="s">
        <v>45</v>
      </c>
      <c r="R88" s="171" t="n">
        <v>44967</v>
      </c>
      <c r="T88" s="118" t="n">
        <v>15.0619</v>
      </c>
      <c r="AB88" s="12" t="n">
        <v>0</v>
      </c>
      <c r="AC88" s="46" t="s">
        <v>859</v>
      </c>
      <c r="AD88" s="12"/>
      <c r="AE88" s="12"/>
    </row>
    <row r="89" customFormat="false" ht="15" hidden="false" customHeight="false" outlineLevel="0" collapsed="false">
      <c r="A89" s="71" t="s">
        <v>415</v>
      </c>
      <c r="B89" s="71" t="s">
        <v>1877</v>
      </c>
      <c r="C89" s="51" t="s">
        <v>1955</v>
      </c>
      <c r="D89" s="71" t="s">
        <v>1962</v>
      </c>
      <c r="E89" s="71"/>
      <c r="F89" s="71"/>
      <c r="G89" s="71"/>
      <c r="H89" s="71"/>
      <c r="I89" s="71"/>
      <c r="J89" s="71"/>
      <c r="K89" s="71"/>
      <c r="M89" s="71"/>
      <c r="O89" s="71"/>
      <c r="P89" s="71"/>
      <c r="Q89" s="153" t="s">
        <v>45</v>
      </c>
      <c r="R89" s="153" t="s">
        <v>1964</v>
      </c>
      <c r="AB89" s="12" t="n">
        <v>2.48</v>
      </c>
      <c r="AC89" s="46" t="s">
        <v>859</v>
      </c>
      <c r="AD89" s="12" t="n">
        <v>24.25219</v>
      </c>
      <c r="AE89" s="12" t="n">
        <v>75.88902</v>
      </c>
    </row>
    <row r="90" customFormat="false" ht="15" hidden="false" customHeight="false" outlineLevel="0" collapsed="false">
      <c r="A90" s="71" t="s">
        <v>415</v>
      </c>
      <c r="B90" s="71" t="s">
        <v>1877</v>
      </c>
      <c r="C90" s="51" t="s">
        <v>1955</v>
      </c>
      <c r="D90" s="71" t="s">
        <v>1965</v>
      </c>
      <c r="E90" s="71" t="s">
        <v>1966</v>
      </c>
      <c r="F90" s="71" t="n">
        <v>215.07</v>
      </c>
      <c r="G90" s="71" t="n">
        <v>0</v>
      </c>
      <c r="H90" s="71" t="n">
        <v>0</v>
      </c>
      <c r="I90" s="71" t="n">
        <v>0</v>
      </c>
      <c r="J90" s="71" t="n">
        <v>0</v>
      </c>
      <c r="K90" s="71" t="n">
        <v>0</v>
      </c>
      <c r="M90" s="71" t="n">
        <v>0</v>
      </c>
      <c r="O90" s="71" t="n">
        <v>0</v>
      </c>
      <c r="P90" s="71" t="n">
        <v>7.42</v>
      </c>
      <c r="Q90" s="153" t="s">
        <v>45</v>
      </c>
      <c r="R90" s="153" t="s">
        <v>1964</v>
      </c>
      <c r="AB90" s="12" t="n">
        <v>4</v>
      </c>
      <c r="AC90" s="46" t="s">
        <v>859</v>
      </c>
      <c r="AD90" s="12" t="n">
        <v>24.27523</v>
      </c>
      <c r="AE90" s="12" t="n">
        <v>75.89081</v>
      </c>
    </row>
    <row r="91" customFormat="false" ht="15" hidden="false" customHeight="false" outlineLevel="0" collapsed="false">
      <c r="A91" s="71" t="s">
        <v>415</v>
      </c>
      <c r="B91" s="71" t="s">
        <v>1877</v>
      </c>
      <c r="C91" s="51" t="s">
        <v>1967</v>
      </c>
      <c r="D91" s="72" t="s">
        <v>1968</v>
      </c>
      <c r="E91" s="71" t="s">
        <v>1969</v>
      </c>
      <c r="F91" s="71" t="n">
        <v>985.05</v>
      </c>
      <c r="G91" s="71" t="n">
        <v>286</v>
      </c>
      <c r="H91" s="71" t="n">
        <v>1356</v>
      </c>
      <c r="I91" s="71" t="n">
        <v>694</v>
      </c>
      <c r="J91" s="71" t="n">
        <v>662</v>
      </c>
      <c r="K91" s="71" t="n">
        <v>389</v>
      </c>
      <c r="L91" s="112" t="n">
        <f aca="false">K91/H91*100</f>
        <v>28.6873156342183</v>
      </c>
      <c r="M91" s="71" t="n">
        <v>5</v>
      </c>
      <c r="N91" s="112" t="n">
        <f aca="false">M91/H91*100</f>
        <v>0.368731563421829</v>
      </c>
      <c r="O91" s="71" t="n">
        <v>74.58</v>
      </c>
      <c r="P91" s="71" t="n">
        <v>112.07</v>
      </c>
      <c r="Q91" s="153" t="s">
        <v>43</v>
      </c>
      <c r="R91" s="173" t="s">
        <v>285</v>
      </c>
      <c r="T91" s="146" t="n">
        <v>74.6389</v>
      </c>
      <c r="AB91" s="12" t="n">
        <v>0</v>
      </c>
      <c r="AC91" s="17" t="s">
        <v>859</v>
      </c>
      <c r="AD91" s="226"/>
      <c r="AE91" s="226"/>
    </row>
    <row r="92" customFormat="false" ht="15" hidden="false" customHeight="false" outlineLevel="0" collapsed="false">
      <c r="A92" s="71" t="s">
        <v>415</v>
      </c>
      <c r="B92" s="71" t="s">
        <v>1877</v>
      </c>
      <c r="C92" s="51" t="s">
        <v>1967</v>
      </c>
      <c r="D92" s="72" t="s">
        <v>1968</v>
      </c>
      <c r="E92" s="71"/>
      <c r="F92" s="71"/>
      <c r="G92" s="71"/>
      <c r="H92" s="71"/>
      <c r="I92" s="71"/>
      <c r="J92" s="71"/>
      <c r="K92" s="71"/>
      <c r="M92" s="71"/>
      <c r="O92" s="71"/>
      <c r="P92" s="71"/>
      <c r="Q92" s="153" t="s">
        <v>43</v>
      </c>
      <c r="R92" s="173" t="s">
        <v>285</v>
      </c>
      <c r="T92" s="146"/>
      <c r="AB92" s="12" t="n">
        <v>1.8</v>
      </c>
      <c r="AC92" s="17" t="s">
        <v>859</v>
      </c>
      <c r="AD92" s="226" t="n">
        <v>24.23308</v>
      </c>
      <c r="AE92" s="226" t="n">
        <v>76.14172</v>
      </c>
    </row>
    <row r="93" customFormat="false" ht="15" hidden="false" customHeight="false" outlineLevel="0" collapsed="false">
      <c r="A93" s="71" t="s">
        <v>415</v>
      </c>
      <c r="B93" s="71" t="s">
        <v>1877</v>
      </c>
      <c r="C93" s="51" t="s">
        <v>1967</v>
      </c>
      <c r="D93" s="72" t="s">
        <v>1968</v>
      </c>
      <c r="E93" s="71"/>
      <c r="F93" s="71"/>
      <c r="G93" s="71"/>
      <c r="H93" s="71"/>
      <c r="I93" s="71"/>
      <c r="J93" s="71"/>
      <c r="K93" s="71"/>
      <c r="M93" s="71"/>
      <c r="O93" s="71"/>
      <c r="P93" s="71"/>
      <c r="Q93" s="153" t="s">
        <v>43</v>
      </c>
      <c r="R93" s="173" t="s">
        <v>285</v>
      </c>
      <c r="T93" s="146"/>
      <c r="AB93" s="12" t="n">
        <v>1.8</v>
      </c>
      <c r="AC93" s="17" t="s">
        <v>859</v>
      </c>
      <c r="AD93" s="226" t="n">
        <v>24.2293</v>
      </c>
      <c r="AE93" s="226" t="n">
        <v>76.1403</v>
      </c>
    </row>
    <row r="94" customFormat="false" ht="15" hidden="false" customHeight="false" outlineLevel="0" collapsed="false">
      <c r="A94" s="71" t="s">
        <v>415</v>
      </c>
      <c r="B94" s="71" t="s">
        <v>1877</v>
      </c>
      <c r="C94" s="51" t="s">
        <v>1967</v>
      </c>
      <c r="D94" s="72" t="s">
        <v>1968</v>
      </c>
      <c r="E94" s="71"/>
      <c r="F94" s="71"/>
      <c r="G94" s="71"/>
      <c r="H94" s="71"/>
      <c r="I94" s="71"/>
      <c r="J94" s="71"/>
      <c r="K94" s="71"/>
      <c r="M94" s="71"/>
      <c r="O94" s="71"/>
      <c r="P94" s="71"/>
      <c r="Q94" s="153" t="s">
        <v>43</v>
      </c>
      <c r="R94" s="173" t="s">
        <v>285</v>
      </c>
      <c r="T94" s="146"/>
      <c r="AB94" s="12" t="n">
        <v>1.8</v>
      </c>
      <c r="AC94" s="17" t="s">
        <v>859</v>
      </c>
      <c r="AD94" s="226" t="n">
        <v>24.23043</v>
      </c>
      <c r="AE94" s="226" t="n">
        <v>76.13785</v>
      </c>
    </row>
    <row r="95" customFormat="false" ht="15" hidden="false" customHeight="false" outlineLevel="0" collapsed="false">
      <c r="A95" s="71" t="s">
        <v>415</v>
      </c>
      <c r="B95" s="71" t="s">
        <v>1877</v>
      </c>
      <c r="C95" s="51" t="s">
        <v>1967</v>
      </c>
      <c r="D95" s="72" t="s">
        <v>1968</v>
      </c>
      <c r="E95" s="71"/>
      <c r="F95" s="71"/>
      <c r="G95" s="71"/>
      <c r="H95" s="71"/>
      <c r="I95" s="71"/>
      <c r="J95" s="71"/>
      <c r="K95" s="71"/>
      <c r="M95" s="71"/>
      <c r="O95" s="71"/>
      <c r="P95" s="71"/>
      <c r="Q95" s="153" t="s">
        <v>43</v>
      </c>
      <c r="R95" s="173" t="s">
        <v>285</v>
      </c>
      <c r="T95" s="146"/>
      <c r="AB95" s="12" t="n">
        <v>1.8</v>
      </c>
      <c r="AC95" s="17" t="s">
        <v>859</v>
      </c>
      <c r="AD95" s="226" t="n">
        <v>24.22232</v>
      </c>
      <c r="AE95" s="226" t="n">
        <v>76.14121</v>
      </c>
    </row>
    <row r="96" customFormat="false" ht="15" hidden="false" customHeight="false" outlineLevel="0" collapsed="false">
      <c r="A96" s="71" t="s">
        <v>415</v>
      </c>
      <c r="B96" s="71" t="s">
        <v>1877</v>
      </c>
      <c r="C96" s="51" t="s">
        <v>1967</v>
      </c>
      <c r="D96" s="72" t="s">
        <v>1968</v>
      </c>
      <c r="E96" s="71"/>
      <c r="F96" s="71"/>
      <c r="G96" s="71"/>
      <c r="H96" s="71"/>
      <c r="I96" s="71"/>
      <c r="J96" s="71"/>
      <c r="K96" s="71"/>
      <c r="M96" s="71"/>
      <c r="O96" s="71"/>
      <c r="P96" s="71"/>
      <c r="Q96" s="153" t="s">
        <v>43</v>
      </c>
      <c r="R96" s="173" t="s">
        <v>285</v>
      </c>
      <c r="T96" s="146"/>
      <c r="AB96" s="12" t="n">
        <v>1.8</v>
      </c>
      <c r="AC96" s="17" t="s">
        <v>859</v>
      </c>
      <c r="AD96" s="226" t="n">
        <v>24.22399</v>
      </c>
      <c r="AE96" s="226" t="n">
        <v>76.13864</v>
      </c>
    </row>
    <row r="97" customFormat="false" ht="15" hidden="false" customHeight="false" outlineLevel="0" collapsed="false">
      <c r="A97" s="71" t="s">
        <v>415</v>
      </c>
      <c r="B97" s="71" t="s">
        <v>1877</v>
      </c>
      <c r="C97" s="51" t="s">
        <v>1967</v>
      </c>
      <c r="D97" s="72" t="s">
        <v>1968</v>
      </c>
      <c r="E97" s="71"/>
      <c r="F97" s="71"/>
      <c r="G97" s="71"/>
      <c r="H97" s="71"/>
      <c r="I97" s="71"/>
      <c r="J97" s="71"/>
      <c r="K97" s="71"/>
      <c r="M97" s="71"/>
      <c r="O97" s="71"/>
      <c r="P97" s="71"/>
      <c r="Q97" s="153" t="s">
        <v>43</v>
      </c>
      <c r="R97" s="173" t="s">
        <v>285</v>
      </c>
      <c r="T97" s="146"/>
      <c r="AB97" s="12" t="n">
        <v>1.8</v>
      </c>
      <c r="AC97" s="17" t="s">
        <v>859</v>
      </c>
      <c r="AD97" s="226" t="n">
        <v>24.22345</v>
      </c>
      <c r="AE97" s="226" t="n">
        <v>76.13777</v>
      </c>
    </row>
    <row r="98" customFormat="false" ht="15" hidden="false" customHeight="false" outlineLevel="0" collapsed="false">
      <c r="A98" s="71" t="s">
        <v>415</v>
      </c>
      <c r="B98" s="71" t="s">
        <v>1877</v>
      </c>
      <c r="C98" s="51" t="s">
        <v>1967</v>
      </c>
      <c r="D98" s="72" t="s">
        <v>1968</v>
      </c>
      <c r="E98" s="71"/>
      <c r="F98" s="71"/>
      <c r="G98" s="71"/>
      <c r="H98" s="71"/>
      <c r="I98" s="71"/>
      <c r="J98" s="71"/>
      <c r="K98" s="71"/>
      <c r="M98" s="71"/>
      <c r="O98" s="71"/>
      <c r="P98" s="71"/>
      <c r="Q98" s="153" t="s">
        <v>43</v>
      </c>
      <c r="R98" s="173" t="s">
        <v>285</v>
      </c>
      <c r="T98" s="146"/>
      <c r="AB98" s="12" t="n">
        <v>1.8</v>
      </c>
      <c r="AC98" s="17" t="s">
        <v>859</v>
      </c>
      <c r="AD98" s="226" t="n">
        <v>24.22303</v>
      </c>
      <c r="AE98" s="226" t="n">
        <v>76.13865</v>
      </c>
    </row>
    <row r="99" customFormat="false" ht="15" hidden="false" customHeight="false" outlineLevel="0" collapsed="false">
      <c r="A99" s="71" t="s">
        <v>415</v>
      </c>
      <c r="B99" s="71" t="s">
        <v>1877</v>
      </c>
      <c r="C99" s="51" t="s">
        <v>1967</v>
      </c>
      <c r="D99" s="72" t="s">
        <v>1968</v>
      </c>
      <c r="E99" s="71"/>
      <c r="F99" s="71"/>
      <c r="G99" s="71"/>
      <c r="H99" s="71"/>
      <c r="I99" s="71"/>
      <c r="J99" s="71"/>
      <c r="K99" s="71"/>
      <c r="M99" s="71"/>
      <c r="O99" s="71"/>
      <c r="P99" s="71"/>
      <c r="Q99" s="153" t="s">
        <v>43</v>
      </c>
      <c r="R99" s="173" t="s">
        <v>285</v>
      </c>
      <c r="T99" s="146"/>
      <c r="AB99" s="12" t="n">
        <v>1.8</v>
      </c>
      <c r="AC99" s="17" t="s">
        <v>859</v>
      </c>
      <c r="AD99" s="226" t="n">
        <v>24.22281</v>
      </c>
      <c r="AE99" s="226" t="n">
        <v>76.13993</v>
      </c>
    </row>
    <row r="100" customFormat="false" ht="15" hidden="false" customHeight="false" outlineLevel="0" collapsed="false">
      <c r="A100" s="71" t="s">
        <v>415</v>
      </c>
      <c r="B100" s="71" t="s">
        <v>1877</v>
      </c>
      <c r="C100" s="51" t="s">
        <v>1967</v>
      </c>
      <c r="D100" s="72" t="s">
        <v>1968</v>
      </c>
      <c r="E100" s="71"/>
      <c r="F100" s="71"/>
      <c r="G100" s="71"/>
      <c r="H100" s="71"/>
      <c r="I100" s="71"/>
      <c r="J100" s="71"/>
      <c r="K100" s="71"/>
      <c r="M100" s="71"/>
      <c r="O100" s="71"/>
      <c r="P100" s="71"/>
      <c r="Q100" s="153" t="s">
        <v>43</v>
      </c>
      <c r="R100" s="173" t="s">
        <v>285</v>
      </c>
      <c r="T100" s="146"/>
      <c r="AB100" s="12" t="n">
        <v>1.8</v>
      </c>
      <c r="AC100" s="17" t="s">
        <v>859</v>
      </c>
      <c r="AD100" s="226" t="n">
        <v>24.22212</v>
      </c>
      <c r="AE100" s="226" t="n">
        <v>76.13893</v>
      </c>
    </row>
    <row r="101" customFormat="false" ht="15" hidden="false" customHeight="false" outlineLevel="0" collapsed="false">
      <c r="A101" s="71" t="s">
        <v>415</v>
      </c>
      <c r="B101" s="71" t="s">
        <v>1877</v>
      </c>
      <c r="C101" s="51" t="s">
        <v>1967</v>
      </c>
      <c r="D101" s="72" t="s">
        <v>1968</v>
      </c>
      <c r="E101" s="71"/>
      <c r="F101" s="71"/>
      <c r="G101" s="71"/>
      <c r="H101" s="71"/>
      <c r="I101" s="71"/>
      <c r="J101" s="71"/>
      <c r="K101" s="71"/>
      <c r="M101" s="71"/>
      <c r="O101" s="71"/>
      <c r="P101" s="71"/>
      <c r="Q101" s="153" t="s">
        <v>43</v>
      </c>
      <c r="R101" s="173" t="s">
        <v>285</v>
      </c>
      <c r="T101" s="146"/>
      <c r="AB101" s="12" t="n">
        <v>1.8</v>
      </c>
      <c r="AC101" s="17" t="s">
        <v>859</v>
      </c>
      <c r="AD101" s="226" t="n">
        <v>24.22173</v>
      </c>
      <c r="AE101" s="226" t="n">
        <v>76.13985</v>
      </c>
    </row>
    <row r="102" customFormat="false" ht="15" hidden="false" customHeight="false" outlineLevel="0" collapsed="false">
      <c r="A102" s="71" t="s">
        <v>415</v>
      </c>
      <c r="B102" s="71" t="s">
        <v>1877</v>
      </c>
      <c r="C102" s="51" t="s">
        <v>1967</v>
      </c>
      <c r="D102" s="72" t="s">
        <v>1968</v>
      </c>
      <c r="E102" s="71"/>
      <c r="F102" s="71"/>
      <c r="G102" s="71"/>
      <c r="H102" s="71"/>
      <c r="I102" s="71"/>
      <c r="J102" s="71"/>
      <c r="K102" s="71"/>
      <c r="M102" s="71"/>
      <c r="O102" s="71"/>
      <c r="P102" s="71"/>
      <c r="Q102" s="153" t="s">
        <v>43</v>
      </c>
      <c r="R102" s="173" t="s">
        <v>285</v>
      </c>
      <c r="T102" s="146"/>
      <c r="AB102" s="12" t="n">
        <v>1.8</v>
      </c>
      <c r="AC102" s="17" t="s">
        <v>859</v>
      </c>
      <c r="AD102" s="226" t="n">
        <v>24.22143</v>
      </c>
      <c r="AE102" s="226" t="n">
        <v>76.14039</v>
      </c>
    </row>
    <row r="103" customFormat="false" ht="15" hidden="false" customHeight="false" outlineLevel="0" collapsed="false">
      <c r="A103" s="71" t="s">
        <v>415</v>
      </c>
      <c r="B103" s="71" t="s">
        <v>1877</v>
      </c>
      <c r="C103" s="51" t="s">
        <v>1967</v>
      </c>
      <c r="D103" s="72" t="s">
        <v>1968</v>
      </c>
      <c r="E103" s="71"/>
      <c r="F103" s="71"/>
      <c r="G103" s="71"/>
      <c r="H103" s="71"/>
      <c r="I103" s="71"/>
      <c r="J103" s="71"/>
      <c r="K103" s="71"/>
      <c r="M103" s="71"/>
      <c r="O103" s="71"/>
      <c r="P103" s="71"/>
      <c r="Q103" s="153" t="s">
        <v>43</v>
      </c>
      <c r="R103" s="173" t="s">
        <v>285</v>
      </c>
      <c r="T103" s="146"/>
      <c r="AB103" s="12" t="n">
        <v>1.8</v>
      </c>
      <c r="AC103" s="17" t="s">
        <v>859</v>
      </c>
      <c r="AD103" s="226" t="n">
        <v>24.22072</v>
      </c>
      <c r="AE103" s="226" t="n">
        <v>76.14011</v>
      </c>
    </row>
    <row r="104" customFormat="false" ht="15" hidden="false" customHeight="false" outlineLevel="0" collapsed="false">
      <c r="A104" s="71" t="s">
        <v>415</v>
      </c>
      <c r="B104" s="71" t="s">
        <v>1877</v>
      </c>
      <c r="C104" s="51" t="s">
        <v>1967</v>
      </c>
      <c r="D104" s="72" t="s">
        <v>1968</v>
      </c>
      <c r="E104" s="71"/>
      <c r="F104" s="71"/>
      <c r="G104" s="71"/>
      <c r="H104" s="71"/>
      <c r="I104" s="71"/>
      <c r="J104" s="71"/>
      <c r="K104" s="71"/>
      <c r="M104" s="71"/>
      <c r="O104" s="71"/>
      <c r="P104" s="71"/>
      <c r="Q104" s="153" t="s">
        <v>43</v>
      </c>
      <c r="R104" s="173" t="s">
        <v>285</v>
      </c>
      <c r="T104" s="146"/>
      <c r="AB104" s="12" t="n">
        <v>1.8</v>
      </c>
      <c r="AC104" s="17" t="s">
        <v>859</v>
      </c>
      <c r="AD104" s="226" t="n">
        <v>24.22208</v>
      </c>
      <c r="AE104" s="226" t="n">
        <v>76.14175</v>
      </c>
    </row>
    <row r="105" customFormat="false" ht="15" hidden="false" customHeight="false" outlineLevel="0" collapsed="false">
      <c r="A105" s="71" t="s">
        <v>415</v>
      </c>
      <c r="B105" s="71" t="s">
        <v>1877</v>
      </c>
      <c r="C105" s="51" t="s">
        <v>1967</v>
      </c>
      <c r="D105" s="72" t="s">
        <v>1968</v>
      </c>
      <c r="E105" s="71"/>
      <c r="F105" s="71"/>
      <c r="G105" s="71"/>
      <c r="H105" s="71"/>
      <c r="I105" s="71"/>
      <c r="J105" s="71"/>
      <c r="K105" s="71"/>
      <c r="M105" s="71"/>
      <c r="O105" s="71"/>
      <c r="P105" s="71"/>
      <c r="Q105" s="153" t="s">
        <v>43</v>
      </c>
      <c r="R105" s="173" t="s">
        <v>285</v>
      </c>
      <c r="T105" s="146"/>
      <c r="AB105" s="12" t="n">
        <v>1.8</v>
      </c>
      <c r="AC105" s="17" t="s">
        <v>859</v>
      </c>
      <c r="AD105" s="226" t="n">
        <v>24.22372</v>
      </c>
      <c r="AE105" s="226" t="n">
        <v>76.14487</v>
      </c>
    </row>
    <row r="106" customFormat="false" ht="15" hidden="false" customHeight="false" outlineLevel="0" collapsed="false">
      <c r="A106" s="71" t="s">
        <v>415</v>
      </c>
      <c r="B106" s="71" t="s">
        <v>1877</v>
      </c>
      <c r="C106" s="51" t="s">
        <v>1967</v>
      </c>
      <c r="D106" s="72" t="s">
        <v>1968</v>
      </c>
      <c r="E106" s="71"/>
      <c r="F106" s="71"/>
      <c r="G106" s="71"/>
      <c r="H106" s="71"/>
      <c r="I106" s="71"/>
      <c r="J106" s="71"/>
      <c r="K106" s="71"/>
      <c r="M106" s="71"/>
      <c r="O106" s="71"/>
      <c r="P106" s="71"/>
      <c r="Q106" s="153" t="s">
        <v>43</v>
      </c>
      <c r="R106" s="173" t="s">
        <v>285</v>
      </c>
      <c r="T106" s="146"/>
      <c r="AB106" s="12" t="n">
        <v>5.52</v>
      </c>
      <c r="AC106" s="17" t="s">
        <v>859</v>
      </c>
      <c r="AD106" s="226" t="n">
        <v>24.22386</v>
      </c>
      <c r="AE106" s="226" t="n">
        <v>76.13825</v>
      </c>
    </row>
    <row r="107" customFormat="false" ht="15" hidden="false" customHeight="false" outlineLevel="0" collapsed="false">
      <c r="A107" s="71" t="s">
        <v>415</v>
      </c>
      <c r="B107" s="71" t="s">
        <v>1877</v>
      </c>
      <c r="C107" s="51" t="s">
        <v>1967</v>
      </c>
      <c r="D107" s="72" t="s">
        <v>1968</v>
      </c>
      <c r="E107" s="71"/>
      <c r="F107" s="71"/>
      <c r="G107" s="71"/>
      <c r="H107" s="71"/>
      <c r="I107" s="71"/>
      <c r="J107" s="71"/>
      <c r="K107" s="71"/>
      <c r="M107" s="71"/>
      <c r="O107" s="71"/>
      <c r="P107" s="71"/>
      <c r="Q107" s="153" t="s">
        <v>43</v>
      </c>
      <c r="R107" s="173" t="s">
        <v>285</v>
      </c>
      <c r="T107" s="146"/>
      <c r="AB107" s="12" t="n">
        <v>5.52</v>
      </c>
      <c r="AC107" s="17" t="s">
        <v>859</v>
      </c>
      <c r="AD107" s="226" t="n">
        <v>24.22371</v>
      </c>
      <c r="AE107" s="226" t="n">
        <v>76.1382</v>
      </c>
    </row>
    <row r="108" customFormat="false" ht="15" hidden="false" customHeight="false" outlineLevel="0" collapsed="false">
      <c r="A108" s="71" t="s">
        <v>415</v>
      </c>
      <c r="B108" s="71" t="s">
        <v>1877</v>
      </c>
      <c r="C108" s="51" t="s">
        <v>1967</v>
      </c>
      <c r="D108" s="72" t="s">
        <v>1968</v>
      </c>
      <c r="E108" s="71"/>
      <c r="F108" s="71"/>
      <c r="G108" s="71"/>
      <c r="H108" s="71"/>
      <c r="I108" s="71"/>
      <c r="J108" s="71"/>
      <c r="K108" s="71"/>
      <c r="M108" s="71"/>
      <c r="O108" s="71"/>
      <c r="P108" s="71"/>
      <c r="Q108" s="153" t="s">
        <v>43</v>
      </c>
      <c r="R108" s="173" t="s">
        <v>285</v>
      </c>
      <c r="T108" s="146"/>
      <c r="AB108" s="12" t="n">
        <v>5.52</v>
      </c>
      <c r="AC108" s="17" t="s">
        <v>859</v>
      </c>
      <c r="AD108" s="226" t="n">
        <v>24.22262</v>
      </c>
      <c r="AE108" s="226" t="n">
        <v>76.14086</v>
      </c>
    </row>
    <row r="109" customFormat="false" ht="15" hidden="false" customHeight="false" outlineLevel="0" collapsed="false">
      <c r="A109" s="71" t="s">
        <v>415</v>
      </c>
      <c r="B109" s="71" t="s">
        <v>1877</v>
      </c>
      <c r="C109" s="51" t="s">
        <v>1967</v>
      </c>
      <c r="D109" s="72" t="s">
        <v>1968</v>
      </c>
      <c r="E109" s="71"/>
      <c r="F109" s="71"/>
      <c r="G109" s="71"/>
      <c r="H109" s="71"/>
      <c r="I109" s="71"/>
      <c r="J109" s="71"/>
      <c r="K109" s="71"/>
      <c r="M109" s="71"/>
      <c r="O109" s="71"/>
      <c r="P109" s="71"/>
      <c r="Q109" s="153" t="s">
        <v>43</v>
      </c>
      <c r="R109" s="173" t="s">
        <v>285</v>
      </c>
      <c r="T109" s="146"/>
      <c r="AB109" s="12" t="n">
        <v>5.52</v>
      </c>
      <c r="AC109" s="17" t="s">
        <v>859</v>
      </c>
      <c r="AD109" s="226" t="n">
        <v>24.22903</v>
      </c>
      <c r="AE109" s="226" t="n">
        <v>76.14049</v>
      </c>
    </row>
    <row r="110" customFormat="false" ht="15" hidden="false" customHeight="false" outlineLevel="0" collapsed="false">
      <c r="A110" s="71" t="s">
        <v>415</v>
      </c>
      <c r="B110" s="71" t="s">
        <v>1877</v>
      </c>
      <c r="C110" s="51" t="s">
        <v>1967</v>
      </c>
      <c r="D110" s="72" t="s">
        <v>1968</v>
      </c>
      <c r="E110" s="71"/>
      <c r="F110" s="71"/>
      <c r="G110" s="71"/>
      <c r="H110" s="71"/>
      <c r="I110" s="71"/>
      <c r="J110" s="71"/>
      <c r="K110" s="71"/>
      <c r="M110" s="71"/>
      <c r="O110" s="71"/>
      <c r="P110" s="71"/>
      <c r="Q110" s="153" t="s">
        <v>43</v>
      </c>
      <c r="R110" s="173" t="s">
        <v>285</v>
      </c>
      <c r="T110" s="146"/>
      <c r="AB110" s="12" t="n">
        <v>5.52</v>
      </c>
      <c r="AC110" s="17" t="s">
        <v>859</v>
      </c>
      <c r="AD110" s="226" t="n">
        <v>24.22863</v>
      </c>
      <c r="AE110" s="226" t="n">
        <v>76.14339</v>
      </c>
    </row>
    <row r="111" customFormat="false" ht="15" hidden="false" customHeight="false" outlineLevel="0" collapsed="false">
      <c r="A111" s="71" t="s">
        <v>415</v>
      </c>
      <c r="B111" s="71" t="s">
        <v>1877</v>
      </c>
      <c r="C111" s="51" t="s">
        <v>1967</v>
      </c>
      <c r="D111" s="72" t="s">
        <v>1968</v>
      </c>
      <c r="E111" s="71"/>
      <c r="F111" s="71"/>
      <c r="G111" s="71"/>
      <c r="H111" s="71"/>
      <c r="I111" s="71"/>
      <c r="J111" s="71"/>
      <c r="K111" s="71"/>
      <c r="M111" s="71"/>
      <c r="O111" s="71"/>
      <c r="P111" s="71"/>
      <c r="Q111" s="153" t="s">
        <v>43</v>
      </c>
      <c r="R111" s="173" t="s">
        <v>285</v>
      </c>
      <c r="T111" s="146"/>
      <c r="AB111" s="12" t="n">
        <v>3.68</v>
      </c>
      <c r="AC111" s="17" t="s">
        <v>859</v>
      </c>
      <c r="AD111" s="226" t="n">
        <v>24.22794</v>
      </c>
      <c r="AE111" s="226" t="n">
        <v>76.14471</v>
      </c>
    </row>
    <row r="112" customFormat="false" ht="15" hidden="false" customHeight="false" outlineLevel="0" collapsed="false">
      <c r="A112" s="71" t="s">
        <v>415</v>
      </c>
      <c r="B112" s="71" t="s">
        <v>1877</v>
      </c>
      <c r="C112" s="51" t="s">
        <v>1967</v>
      </c>
      <c r="D112" s="72" t="s">
        <v>1968</v>
      </c>
      <c r="E112" s="71"/>
      <c r="F112" s="71"/>
      <c r="G112" s="71"/>
      <c r="H112" s="71"/>
      <c r="I112" s="71"/>
      <c r="J112" s="71"/>
      <c r="K112" s="71"/>
      <c r="M112" s="71"/>
      <c r="O112" s="71"/>
      <c r="P112" s="71"/>
      <c r="Q112" s="153" t="s">
        <v>43</v>
      </c>
      <c r="R112" s="173" t="s">
        <v>285</v>
      </c>
      <c r="T112" s="146"/>
      <c r="AB112" s="12" t="n">
        <v>1.8</v>
      </c>
      <c r="AC112" s="17" t="s">
        <v>859</v>
      </c>
      <c r="AD112" s="226" t="n">
        <v>24.22596</v>
      </c>
      <c r="AE112" s="226" t="n">
        <v>76.14577</v>
      </c>
    </row>
    <row r="113" customFormat="false" ht="15" hidden="false" customHeight="false" outlineLevel="0" collapsed="false">
      <c r="A113" s="71" t="s">
        <v>415</v>
      </c>
      <c r="B113" s="71" t="s">
        <v>1877</v>
      </c>
      <c r="C113" s="51" t="s">
        <v>1967</v>
      </c>
      <c r="D113" s="72" t="s">
        <v>1968</v>
      </c>
      <c r="E113" s="71"/>
      <c r="F113" s="71"/>
      <c r="G113" s="71"/>
      <c r="H113" s="71"/>
      <c r="I113" s="71"/>
      <c r="J113" s="71"/>
      <c r="K113" s="71"/>
      <c r="M113" s="71"/>
      <c r="O113" s="71"/>
      <c r="P113" s="71"/>
      <c r="Q113" s="153" t="s">
        <v>43</v>
      </c>
      <c r="R113" s="173" t="s">
        <v>285</v>
      </c>
      <c r="T113" s="146"/>
      <c r="AB113" s="12" t="n">
        <v>1.8</v>
      </c>
      <c r="AC113" s="17" t="s">
        <v>859</v>
      </c>
      <c r="AD113" s="226" t="n">
        <v>24.22685</v>
      </c>
      <c r="AE113" s="226" t="n">
        <v>76.14582</v>
      </c>
    </row>
    <row r="114" customFormat="false" ht="15" hidden="false" customHeight="false" outlineLevel="0" collapsed="false">
      <c r="A114" s="71" t="s">
        <v>415</v>
      </c>
      <c r="B114" s="71" t="s">
        <v>1877</v>
      </c>
      <c r="C114" s="51" t="s">
        <v>1967</v>
      </c>
      <c r="D114" s="72" t="s">
        <v>1968</v>
      </c>
      <c r="E114" s="71"/>
      <c r="F114" s="71"/>
      <c r="G114" s="71"/>
      <c r="H114" s="71"/>
      <c r="I114" s="71"/>
      <c r="J114" s="71"/>
      <c r="K114" s="71"/>
      <c r="M114" s="71"/>
      <c r="O114" s="71"/>
      <c r="P114" s="71"/>
      <c r="Q114" s="153" t="s">
        <v>43</v>
      </c>
      <c r="R114" s="173" t="s">
        <v>285</v>
      </c>
      <c r="T114" s="146"/>
      <c r="AB114" s="12" t="n">
        <v>1.8</v>
      </c>
      <c r="AC114" s="17" t="s">
        <v>859</v>
      </c>
      <c r="AD114" s="226" t="n">
        <v>24.22893</v>
      </c>
      <c r="AE114" s="226" t="n">
        <v>76.14594</v>
      </c>
    </row>
    <row r="115" customFormat="false" ht="15" hidden="false" customHeight="false" outlineLevel="0" collapsed="false">
      <c r="A115" s="71" t="s">
        <v>415</v>
      </c>
      <c r="B115" s="71" t="s">
        <v>1877</v>
      </c>
      <c r="C115" s="51" t="s">
        <v>1967</v>
      </c>
      <c r="D115" s="72" t="s">
        <v>1968</v>
      </c>
      <c r="E115" s="71"/>
      <c r="F115" s="71"/>
      <c r="G115" s="71"/>
      <c r="H115" s="71"/>
      <c r="I115" s="71"/>
      <c r="J115" s="71"/>
      <c r="K115" s="71"/>
      <c r="M115" s="71"/>
      <c r="O115" s="71"/>
      <c r="P115" s="71"/>
      <c r="Q115" s="153" t="s">
        <v>43</v>
      </c>
      <c r="R115" s="173" t="s">
        <v>285</v>
      </c>
      <c r="T115" s="146"/>
      <c r="AB115" s="12" t="n">
        <v>3.68</v>
      </c>
      <c r="AC115" s="17" t="s">
        <v>859</v>
      </c>
      <c r="AD115" s="226" t="n">
        <v>24.2268</v>
      </c>
      <c r="AE115" s="226" t="n">
        <v>76.14487</v>
      </c>
    </row>
    <row r="116" customFormat="false" ht="15" hidden="false" customHeight="false" outlineLevel="0" collapsed="false">
      <c r="A116" s="71" t="s">
        <v>415</v>
      </c>
      <c r="B116" s="71" t="s">
        <v>1877</v>
      </c>
      <c r="C116" s="51" t="s">
        <v>1967</v>
      </c>
      <c r="D116" s="72" t="s">
        <v>1968</v>
      </c>
      <c r="E116" s="71"/>
      <c r="F116" s="71"/>
      <c r="G116" s="71"/>
      <c r="H116" s="71"/>
      <c r="I116" s="71"/>
      <c r="J116" s="71"/>
      <c r="K116" s="71"/>
      <c r="M116" s="71"/>
      <c r="O116" s="71"/>
      <c r="P116" s="71"/>
      <c r="Q116" s="153" t="s">
        <v>43</v>
      </c>
      <c r="R116" s="173" t="s">
        <v>285</v>
      </c>
      <c r="T116" s="146"/>
      <c r="AB116" s="12" t="n">
        <v>3.68</v>
      </c>
      <c r="AC116" s="17" t="s">
        <v>859</v>
      </c>
      <c r="AD116" s="226" t="n">
        <v>24.22504</v>
      </c>
      <c r="AE116" s="226" t="n">
        <v>76.14537</v>
      </c>
    </row>
    <row r="117" customFormat="false" ht="15" hidden="false" customHeight="false" outlineLevel="0" collapsed="false">
      <c r="A117" s="71" t="s">
        <v>415</v>
      </c>
      <c r="B117" s="71" t="s">
        <v>1877</v>
      </c>
      <c r="C117" s="51" t="s">
        <v>1967</v>
      </c>
      <c r="D117" s="72" t="s">
        <v>1968</v>
      </c>
      <c r="E117" s="71"/>
      <c r="F117" s="71"/>
      <c r="G117" s="71"/>
      <c r="H117" s="71"/>
      <c r="I117" s="71"/>
      <c r="J117" s="71"/>
      <c r="K117" s="71"/>
      <c r="M117" s="71"/>
      <c r="O117" s="71"/>
      <c r="P117" s="71"/>
      <c r="Q117" s="153" t="s">
        <v>43</v>
      </c>
      <c r="R117" s="173" t="s">
        <v>285</v>
      </c>
      <c r="T117" s="146"/>
      <c r="AB117" s="12" t="n">
        <v>3.68</v>
      </c>
      <c r="AC117" s="17" t="s">
        <v>859</v>
      </c>
      <c r="AD117" s="226" t="n">
        <v>24.22321</v>
      </c>
      <c r="AE117" s="226" t="n">
        <v>76.14479</v>
      </c>
    </row>
    <row r="118" customFormat="false" ht="15" hidden="false" customHeight="false" outlineLevel="0" collapsed="false">
      <c r="A118" s="71" t="s">
        <v>415</v>
      </c>
      <c r="B118" s="71" t="s">
        <v>1877</v>
      </c>
      <c r="C118" s="51" t="s">
        <v>1967</v>
      </c>
      <c r="D118" s="72" t="s">
        <v>1968</v>
      </c>
      <c r="E118" s="71"/>
      <c r="F118" s="71"/>
      <c r="G118" s="71"/>
      <c r="H118" s="71"/>
      <c r="I118" s="71"/>
      <c r="J118" s="71"/>
      <c r="K118" s="71"/>
      <c r="M118" s="71"/>
      <c r="O118" s="71"/>
      <c r="P118" s="71"/>
      <c r="Q118" s="153" t="s">
        <v>43</v>
      </c>
      <c r="R118" s="173" t="s">
        <v>285</v>
      </c>
      <c r="T118" s="146"/>
      <c r="AB118" s="12" t="n">
        <v>3.68</v>
      </c>
      <c r="AC118" s="17" t="s">
        <v>859</v>
      </c>
      <c r="AD118" s="226" t="n">
        <v>24.22261</v>
      </c>
      <c r="AE118" s="226" t="n">
        <v>76.14247</v>
      </c>
    </row>
    <row r="119" customFormat="false" ht="15" hidden="false" customHeight="false" outlineLevel="0" collapsed="false">
      <c r="A119" s="71" t="s">
        <v>415</v>
      </c>
      <c r="B119" s="71" t="s">
        <v>1877</v>
      </c>
      <c r="C119" s="51" t="s">
        <v>1967</v>
      </c>
      <c r="D119" s="72" t="s">
        <v>1968</v>
      </c>
      <c r="E119" s="71"/>
      <c r="F119" s="71"/>
      <c r="G119" s="71"/>
      <c r="H119" s="71"/>
      <c r="I119" s="71"/>
      <c r="J119" s="71"/>
      <c r="K119" s="71"/>
      <c r="M119" s="71"/>
      <c r="O119" s="71"/>
      <c r="P119" s="71"/>
      <c r="Q119" s="153" t="s">
        <v>43</v>
      </c>
      <c r="R119" s="173" t="s">
        <v>285</v>
      </c>
      <c r="T119" s="146"/>
      <c r="AB119" s="12" t="n">
        <v>4.4</v>
      </c>
      <c r="AC119" s="17" t="s">
        <v>859</v>
      </c>
      <c r="AD119" s="226" t="n">
        <v>24.20445</v>
      </c>
      <c r="AE119" s="226" t="n">
        <v>76.12477</v>
      </c>
    </row>
    <row r="120" customFormat="false" ht="15" hidden="false" customHeight="false" outlineLevel="0" collapsed="false">
      <c r="A120" s="71" t="s">
        <v>415</v>
      </c>
      <c r="B120" s="71" t="s">
        <v>1877</v>
      </c>
      <c r="C120" s="51" t="s">
        <v>1967</v>
      </c>
      <c r="D120" s="71" t="s">
        <v>1970</v>
      </c>
      <c r="E120" s="71" t="s">
        <v>1971</v>
      </c>
      <c r="F120" s="71" t="n">
        <v>425.97</v>
      </c>
      <c r="G120" s="71" t="n">
        <v>164</v>
      </c>
      <c r="H120" s="71" t="n">
        <v>908</v>
      </c>
      <c r="I120" s="71" t="n">
        <v>453</v>
      </c>
      <c r="J120" s="71" t="n">
        <v>455</v>
      </c>
      <c r="K120" s="71" t="n">
        <v>133</v>
      </c>
      <c r="L120" s="112" t="n">
        <f aca="false">K120/H120*100</f>
        <v>14.647577092511</v>
      </c>
      <c r="M120" s="71" t="n">
        <v>5</v>
      </c>
      <c r="N120" s="112" t="n">
        <f aca="false">M120/H120*100</f>
        <v>0.550660792951542</v>
      </c>
      <c r="O120" s="71" t="n">
        <v>60.74</v>
      </c>
      <c r="P120" s="71" t="n">
        <v>0</v>
      </c>
      <c r="Q120" s="153" t="s">
        <v>43</v>
      </c>
      <c r="R120" s="173" t="s">
        <v>285</v>
      </c>
      <c r="T120" s="146" t="n">
        <v>61.2845</v>
      </c>
      <c r="AB120" s="230" t="n">
        <v>0</v>
      </c>
      <c r="AC120" s="17" t="s">
        <v>859</v>
      </c>
      <c r="AD120" s="226"/>
      <c r="AE120" s="226"/>
    </row>
    <row r="121" customFormat="false" ht="15" hidden="false" customHeight="false" outlineLevel="0" collapsed="false">
      <c r="A121" s="71" t="s">
        <v>415</v>
      </c>
      <c r="B121" s="71" t="s">
        <v>1877</v>
      </c>
      <c r="C121" s="51" t="s">
        <v>1967</v>
      </c>
      <c r="D121" s="71" t="s">
        <v>1970</v>
      </c>
      <c r="E121" s="71"/>
      <c r="F121" s="71"/>
      <c r="G121" s="71"/>
      <c r="H121" s="71"/>
      <c r="I121" s="71"/>
      <c r="J121" s="71"/>
      <c r="K121" s="71"/>
      <c r="M121" s="71"/>
      <c r="O121" s="71"/>
      <c r="P121" s="71"/>
      <c r="Q121" s="153" t="s">
        <v>43</v>
      </c>
      <c r="R121" s="173" t="s">
        <v>285</v>
      </c>
      <c r="T121" s="146"/>
      <c r="AB121" s="230" t="n">
        <v>4</v>
      </c>
      <c r="AC121" s="17" t="s">
        <v>859</v>
      </c>
      <c r="AD121" s="226" t="n">
        <v>24.19684</v>
      </c>
      <c r="AE121" s="226" t="n">
        <v>76.11581</v>
      </c>
    </row>
    <row r="122" customFormat="false" ht="15" hidden="false" customHeight="false" outlineLevel="0" collapsed="false">
      <c r="A122" s="71" t="s">
        <v>415</v>
      </c>
      <c r="B122" s="71" t="s">
        <v>1877</v>
      </c>
      <c r="C122" s="51" t="s">
        <v>1967</v>
      </c>
      <c r="D122" s="71" t="s">
        <v>1970</v>
      </c>
      <c r="E122" s="71"/>
      <c r="F122" s="71"/>
      <c r="G122" s="71"/>
      <c r="H122" s="71"/>
      <c r="I122" s="71"/>
      <c r="J122" s="71"/>
      <c r="K122" s="71"/>
      <c r="M122" s="71"/>
      <c r="O122" s="71"/>
      <c r="P122" s="71"/>
      <c r="Q122" s="153" t="s">
        <v>43</v>
      </c>
      <c r="R122" s="173" t="s">
        <v>285</v>
      </c>
      <c r="T122" s="146"/>
      <c r="AB122" s="230" t="n">
        <v>4</v>
      </c>
      <c r="AC122" s="17" t="s">
        <v>859</v>
      </c>
      <c r="AD122" s="226" t="n">
        <v>24.19544</v>
      </c>
      <c r="AE122" s="226" t="n">
        <v>76.11785</v>
      </c>
    </row>
    <row r="123" customFormat="false" ht="15" hidden="false" customHeight="false" outlineLevel="0" collapsed="false">
      <c r="A123" s="71" t="s">
        <v>415</v>
      </c>
      <c r="B123" s="71" t="s">
        <v>1877</v>
      </c>
      <c r="C123" s="51" t="s">
        <v>1967</v>
      </c>
      <c r="D123" s="71" t="s">
        <v>1970</v>
      </c>
      <c r="E123" s="71"/>
      <c r="F123" s="71"/>
      <c r="G123" s="71"/>
      <c r="H123" s="71"/>
      <c r="I123" s="71"/>
      <c r="J123" s="71"/>
      <c r="K123" s="71"/>
      <c r="M123" s="71"/>
      <c r="O123" s="71"/>
      <c r="P123" s="71"/>
      <c r="Q123" s="153" t="s">
        <v>43</v>
      </c>
      <c r="R123" s="173" t="s">
        <v>285</v>
      </c>
      <c r="T123" s="146"/>
      <c r="AB123" s="230" t="n">
        <v>4</v>
      </c>
      <c r="AC123" s="17" t="s">
        <v>859</v>
      </c>
      <c r="AD123" s="226" t="n">
        <v>24.19413</v>
      </c>
      <c r="AE123" s="226" t="n">
        <v>76.11473</v>
      </c>
    </row>
    <row r="124" customFormat="false" ht="15" hidden="false" customHeight="false" outlineLevel="0" collapsed="false">
      <c r="A124" s="71" t="s">
        <v>415</v>
      </c>
      <c r="B124" s="71" t="s">
        <v>1877</v>
      </c>
      <c r="C124" s="51" t="s">
        <v>1967</v>
      </c>
      <c r="D124" s="71" t="s">
        <v>1970</v>
      </c>
      <c r="E124" s="71"/>
      <c r="F124" s="71"/>
      <c r="G124" s="71"/>
      <c r="H124" s="71"/>
      <c r="I124" s="71"/>
      <c r="J124" s="71"/>
      <c r="K124" s="71"/>
      <c r="M124" s="71"/>
      <c r="O124" s="71"/>
      <c r="P124" s="71"/>
      <c r="Q124" s="153" t="s">
        <v>43</v>
      </c>
      <c r="R124" s="173" t="s">
        <v>285</v>
      </c>
      <c r="T124" s="146"/>
      <c r="AB124" s="230" t="n">
        <v>4</v>
      </c>
      <c r="AC124" s="17" t="s">
        <v>859</v>
      </c>
      <c r="AD124" s="226" t="n">
        <v>24.19425</v>
      </c>
      <c r="AE124" s="226" t="n">
        <v>76.1162</v>
      </c>
    </row>
    <row r="125" customFormat="false" ht="15" hidden="false" customHeight="false" outlineLevel="0" collapsed="false">
      <c r="A125" s="71" t="s">
        <v>415</v>
      </c>
      <c r="B125" s="71" t="s">
        <v>1877</v>
      </c>
      <c r="C125" s="51" t="s">
        <v>1967</v>
      </c>
      <c r="D125" s="71" t="s">
        <v>1970</v>
      </c>
      <c r="E125" s="71"/>
      <c r="F125" s="71"/>
      <c r="G125" s="71"/>
      <c r="H125" s="71"/>
      <c r="I125" s="71"/>
      <c r="J125" s="71"/>
      <c r="K125" s="71"/>
      <c r="M125" s="71"/>
      <c r="O125" s="71"/>
      <c r="P125" s="71"/>
      <c r="Q125" s="153" t="s">
        <v>43</v>
      </c>
      <c r="R125" s="173" t="s">
        <v>285</v>
      </c>
      <c r="T125" s="146"/>
      <c r="AB125" s="230" t="n">
        <v>5</v>
      </c>
      <c r="AC125" s="17" t="s">
        <v>859</v>
      </c>
      <c r="AD125" s="226" t="n">
        <v>24.20302</v>
      </c>
      <c r="AE125" s="226" t="n">
        <v>76.12472</v>
      </c>
    </row>
    <row r="126" customFormat="false" ht="15" hidden="false" customHeight="false" outlineLevel="0" collapsed="false">
      <c r="A126" s="71" t="s">
        <v>415</v>
      </c>
      <c r="B126" s="71" t="s">
        <v>1877</v>
      </c>
      <c r="C126" s="51" t="s">
        <v>1967</v>
      </c>
      <c r="D126" s="71" t="s">
        <v>1970</v>
      </c>
      <c r="E126" s="71"/>
      <c r="F126" s="71"/>
      <c r="G126" s="71"/>
      <c r="H126" s="71"/>
      <c r="I126" s="71"/>
      <c r="J126" s="71"/>
      <c r="K126" s="71"/>
      <c r="M126" s="71"/>
      <c r="O126" s="71"/>
      <c r="P126" s="71"/>
      <c r="Q126" s="153" t="s">
        <v>43</v>
      </c>
      <c r="R126" s="173" t="s">
        <v>285</v>
      </c>
      <c r="T126" s="146"/>
      <c r="AB126" s="230" t="n">
        <v>4</v>
      </c>
      <c r="AC126" s="17" t="s">
        <v>859</v>
      </c>
      <c r="AD126" s="226" t="n">
        <v>24.19805</v>
      </c>
      <c r="AE126" s="226" t="n">
        <v>76.12191</v>
      </c>
    </row>
    <row r="127" customFormat="false" ht="15" hidden="false" customHeight="false" outlineLevel="0" collapsed="false">
      <c r="A127" s="71" t="s">
        <v>415</v>
      </c>
      <c r="B127" s="71" t="s">
        <v>1877</v>
      </c>
      <c r="C127" s="51" t="s">
        <v>1967</v>
      </c>
      <c r="D127" s="71" t="s">
        <v>1970</v>
      </c>
      <c r="E127" s="71"/>
      <c r="F127" s="71"/>
      <c r="G127" s="71"/>
      <c r="H127" s="71"/>
      <c r="I127" s="71"/>
      <c r="J127" s="71"/>
      <c r="K127" s="71"/>
      <c r="M127" s="71"/>
      <c r="O127" s="71"/>
      <c r="P127" s="71"/>
      <c r="Q127" s="153" t="s">
        <v>43</v>
      </c>
      <c r="R127" s="173" t="s">
        <v>285</v>
      </c>
      <c r="T127" s="146"/>
      <c r="AB127" s="230" t="n">
        <v>4</v>
      </c>
      <c r="AC127" s="17" t="s">
        <v>859</v>
      </c>
      <c r="AD127" s="226" t="n">
        <v>24.19738</v>
      </c>
      <c r="AE127" s="226" t="n">
        <v>76.1212</v>
      </c>
    </row>
    <row r="128" customFormat="false" ht="15" hidden="false" customHeight="false" outlineLevel="0" collapsed="false">
      <c r="A128" s="71" t="s">
        <v>415</v>
      </c>
      <c r="B128" s="71" t="s">
        <v>1877</v>
      </c>
      <c r="C128" s="51" t="s">
        <v>1967</v>
      </c>
      <c r="D128" s="71" t="s">
        <v>1970</v>
      </c>
      <c r="E128" s="71"/>
      <c r="F128" s="71"/>
      <c r="G128" s="71"/>
      <c r="H128" s="71"/>
      <c r="I128" s="71"/>
      <c r="J128" s="71"/>
      <c r="K128" s="71"/>
      <c r="M128" s="71"/>
      <c r="O128" s="71"/>
      <c r="P128" s="71"/>
      <c r="Q128" s="153" t="s">
        <v>43</v>
      </c>
      <c r="R128" s="173" t="s">
        <v>285</v>
      </c>
      <c r="T128" s="146"/>
      <c r="AB128" s="230" t="n">
        <v>4</v>
      </c>
      <c r="AC128" s="17" t="s">
        <v>859</v>
      </c>
      <c r="AD128" s="226" t="n">
        <v>24.19802</v>
      </c>
      <c r="AE128" s="226" t="n">
        <v>76.11713</v>
      </c>
    </row>
    <row r="129" customFormat="false" ht="15" hidden="false" customHeight="false" outlineLevel="0" collapsed="false">
      <c r="A129" s="71" t="s">
        <v>415</v>
      </c>
      <c r="B129" s="71" t="s">
        <v>1877</v>
      </c>
      <c r="C129" s="51" t="s">
        <v>1967</v>
      </c>
      <c r="D129" s="71" t="s">
        <v>1970</v>
      </c>
      <c r="E129" s="71"/>
      <c r="F129" s="71"/>
      <c r="G129" s="71"/>
      <c r="H129" s="71"/>
      <c r="I129" s="71"/>
      <c r="J129" s="71"/>
      <c r="K129" s="71"/>
      <c r="M129" s="71"/>
      <c r="O129" s="71"/>
      <c r="P129" s="71"/>
      <c r="Q129" s="153" t="s">
        <v>43</v>
      </c>
      <c r="R129" s="173" t="s">
        <v>285</v>
      </c>
      <c r="T129" s="146"/>
      <c r="AB129" s="230" t="n">
        <v>4</v>
      </c>
      <c r="AC129" s="17" t="s">
        <v>859</v>
      </c>
      <c r="AD129" s="226" t="n">
        <v>24.19828</v>
      </c>
      <c r="AE129" s="226" t="n">
        <v>76.1161</v>
      </c>
    </row>
    <row r="130" customFormat="false" ht="15" hidden="false" customHeight="false" outlineLevel="0" collapsed="false">
      <c r="A130" s="71" t="s">
        <v>415</v>
      </c>
      <c r="B130" s="71" t="s">
        <v>1877</v>
      </c>
      <c r="C130" s="51" t="s">
        <v>1967</v>
      </c>
      <c r="D130" s="71" t="s">
        <v>1970</v>
      </c>
      <c r="E130" s="71"/>
      <c r="F130" s="71"/>
      <c r="G130" s="71"/>
      <c r="H130" s="71"/>
      <c r="I130" s="71"/>
      <c r="J130" s="71"/>
      <c r="K130" s="71"/>
      <c r="M130" s="71"/>
      <c r="O130" s="71"/>
      <c r="P130" s="71"/>
      <c r="Q130" s="153" t="s">
        <v>43</v>
      </c>
      <c r="R130" s="173" t="s">
        <v>285</v>
      </c>
      <c r="T130" s="146"/>
      <c r="AB130" s="230" t="n">
        <v>5.52</v>
      </c>
      <c r="AC130" s="17" t="s">
        <v>859</v>
      </c>
      <c r="AD130" s="226" t="n">
        <v>24.1994</v>
      </c>
      <c r="AE130" s="226" t="n">
        <v>76.11985</v>
      </c>
    </row>
    <row r="131" customFormat="false" ht="15" hidden="false" customHeight="false" outlineLevel="0" collapsed="false">
      <c r="A131" s="71" t="s">
        <v>415</v>
      </c>
      <c r="B131" s="71" t="s">
        <v>1877</v>
      </c>
      <c r="C131" s="51" t="s">
        <v>1967</v>
      </c>
      <c r="D131" s="71" t="s">
        <v>1970</v>
      </c>
      <c r="E131" s="71"/>
      <c r="F131" s="71"/>
      <c r="G131" s="71"/>
      <c r="H131" s="71"/>
      <c r="I131" s="71"/>
      <c r="J131" s="71"/>
      <c r="K131" s="71"/>
      <c r="M131" s="71"/>
      <c r="O131" s="71"/>
      <c r="P131" s="71"/>
      <c r="Q131" s="153" t="s">
        <v>43</v>
      </c>
      <c r="R131" s="173" t="s">
        <v>285</v>
      </c>
      <c r="T131" s="146"/>
      <c r="AB131" s="230" t="n">
        <v>4.4</v>
      </c>
      <c r="AC131" s="17" t="s">
        <v>859</v>
      </c>
      <c r="AD131" s="226" t="n">
        <v>24.20162</v>
      </c>
      <c r="AE131" s="226" t="n">
        <v>76.1246</v>
      </c>
    </row>
    <row r="132" customFormat="false" ht="15" hidden="false" customHeight="false" outlineLevel="0" collapsed="false">
      <c r="A132" s="71" t="s">
        <v>415</v>
      </c>
      <c r="B132" s="71" t="s">
        <v>1877</v>
      </c>
      <c r="C132" s="51" t="s">
        <v>1967</v>
      </c>
      <c r="D132" s="71" t="s">
        <v>1970</v>
      </c>
      <c r="E132" s="71"/>
      <c r="F132" s="71"/>
      <c r="G132" s="71"/>
      <c r="H132" s="71"/>
      <c r="I132" s="71"/>
      <c r="J132" s="71"/>
      <c r="K132" s="71"/>
      <c r="M132" s="71"/>
      <c r="O132" s="71"/>
      <c r="P132" s="71"/>
      <c r="Q132" s="153" t="s">
        <v>43</v>
      </c>
      <c r="R132" s="173" t="s">
        <v>285</v>
      </c>
      <c r="T132" s="146"/>
      <c r="AB132" s="230" t="n">
        <v>4</v>
      </c>
      <c r="AC132" s="17" t="s">
        <v>859</v>
      </c>
      <c r="AD132" s="226" t="n">
        <v>24.2062</v>
      </c>
      <c r="AE132" s="226" t="n">
        <v>76.12418</v>
      </c>
    </row>
    <row r="133" customFormat="false" ht="15" hidden="false" customHeight="false" outlineLevel="0" collapsed="false">
      <c r="A133" s="71" t="s">
        <v>415</v>
      </c>
      <c r="B133" s="71" t="s">
        <v>1877</v>
      </c>
      <c r="C133" s="51" t="s">
        <v>1967</v>
      </c>
      <c r="D133" s="71" t="s">
        <v>1970</v>
      </c>
      <c r="E133" s="71"/>
      <c r="F133" s="71"/>
      <c r="G133" s="71"/>
      <c r="H133" s="71"/>
      <c r="I133" s="71"/>
      <c r="J133" s="71"/>
      <c r="K133" s="71"/>
      <c r="M133" s="71"/>
      <c r="O133" s="71"/>
      <c r="P133" s="71"/>
      <c r="Q133" s="153" t="s">
        <v>43</v>
      </c>
      <c r="R133" s="173" t="s">
        <v>285</v>
      </c>
      <c r="T133" s="146"/>
      <c r="AB133" s="230" t="n">
        <v>2</v>
      </c>
      <c r="AC133" s="17" t="s">
        <v>859</v>
      </c>
      <c r="AD133" s="226" t="n">
        <v>24.19636</v>
      </c>
      <c r="AE133" s="226" t="n">
        <v>76.11585</v>
      </c>
    </row>
    <row r="134" customFormat="false" ht="15" hidden="false" customHeight="false" outlineLevel="0" collapsed="false">
      <c r="A134" s="71" t="s">
        <v>415</v>
      </c>
      <c r="B134" s="71" t="s">
        <v>1877</v>
      </c>
      <c r="C134" s="51" t="s">
        <v>1967</v>
      </c>
      <c r="D134" s="71" t="s">
        <v>1970</v>
      </c>
      <c r="E134" s="71"/>
      <c r="F134" s="71"/>
      <c r="G134" s="71"/>
      <c r="H134" s="71"/>
      <c r="I134" s="71"/>
      <c r="J134" s="71"/>
      <c r="K134" s="71"/>
      <c r="M134" s="71"/>
      <c r="O134" s="71"/>
      <c r="P134" s="71"/>
      <c r="Q134" s="153" t="s">
        <v>43</v>
      </c>
      <c r="R134" s="173" t="s">
        <v>285</v>
      </c>
      <c r="T134" s="146"/>
      <c r="AB134" s="230" t="n">
        <v>2</v>
      </c>
      <c r="AC134" s="17" t="s">
        <v>859</v>
      </c>
      <c r="AD134" s="226" t="n">
        <v>24.19514</v>
      </c>
      <c r="AE134" s="226" t="n">
        <v>76.11575</v>
      </c>
    </row>
    <row r="135" customFormat="false" ht="15" hidden="false" customHeight="false" outlineLevel="0" collapsed="false">
      <c r="A135" s="71" t="s">
        <v>415</v>
      </c>
      <c r="B135" s="71" t="s">
        <v>1877</v>
      </c>
      <c r="C135" s="51" t="s">
        <v>1967</v>
      </c>
      <c r="D135" s="71" t="s">
        <v>1970</v>
      </c>
      <c r="E135" s="71"/>
      <c r="F135" s="71"/>
      <c r="G135" s="71"/>
      <c r="H135" s="71"/>
      <c r="I135" s="71"/>
      <c r="J135" s="71"/>
      <c r="K135" s="71"/>
      <c r="M135" s="71"/>
      <c r="O135" s="71"/>
      <c r="P135" s="71"/>
      <c r="Q135" s="153" t="s">
        <v>43</v>
      </c>
      <c r="R135" s="173" t="s">
        <v>285</v>
      </c>
      <c r="T135" s="146"/>
      <c r="AB135" s="230" t="n">
        <v>2.8</v>
      </c>
      <c r="AC135" s="17" t="s">
        <v>859</v>
      </c>
      <c r="AD135" s="226" t="n">
        <v>24.19736</v>
      </c>
      <c r="AE135" s="226" t="n">
        <v>76.11878</v>
      </c>
    </row>
    <row r="136" customFormat="false" ht="15" hidden="false" customHeight="false" outlineLevel="0" collapsed="false">
      <c r="A136" s="71" t="s">
        <v>415</v>
      </c>
      <c r="B136" s="71" t="s">
        <v>1877</v>
      </c>
      <c r="C136" s="51" t="s">
        <v>1967</v>
      </c>
      <c r="D136" s="71" t="s">
        <v>1970</v>
      </c>
      <c r="E136" s="71"/>
      <c r="F136" s="71"/>
      <c r="G136" s="71"/>
      <c r="H136" s="71"/>
      <c r="I136" s="71"/>
      <c r="J136" s="71"/>
      <c r="K136" s="71"/>
      <c r="M136" s="71"/>
      <c r="O136" s="71"/>
      <c r="P136" s="71"/>
      <c r="Q136" s="153" t="s">
        <v>43</v>
      </c>
      <c r="R136" s="173" t="s">
        <v>285</v>
      </c>
      <c r="T136" s="146"/>
      <c r="AB136" s="230" t="n">
        <v>2.8</v>
      </c>
      <c r="AC136" s="17" t="s">
        <v>859</v>
      </c>
      <c r="AD136" s="226" t="n">
        <v>24.19786</v>
      </c>
      <c r="AE136" s="226" t="n">
        <v>76.11717</v>
      </c>
    </row>
    <row r="137" customFormat="false" ht="15" hidden="false" customHeight="false" outlineLevel="0" collapsed="false">
      <c r="A137" s="71" t="s">
        <v>415</v>
      </c>
      <c r="B137" s="71" t="s">
        <v>1877</v>
      </c>
      <c r="C137" s="51" t="s">
        <v>1967</v>
      </c>
      <c r="D137" s="71" t="s">
        <v>1972</v>
      </c>
      <c r="E137" s="71" t="s">
        <v>1973</v>
      </c>
      <c r="F137" s="71" t="n">
        <v>451.21</v>
      </c>
      <c r="G137" s="71" t="n">
        <v>202</v>
      </c>
      <c r="H137" s="71" t="n">
        <v>861</v>
      </c>
      <c r="I137" s="71" t="n">
        <v>441</v>
      </c>
      <c r="J137" s="71" t="n">
        <v>420</v>
      </c>
      <c r="K137" s="71" t="n">
        <v>137</v>
      </c>
      <c r="L137" s="112" t="n">
        <f aca="false">K137/H137*100</f>
        <v>15.9117305458769</v>
      </c>
      <c r="M137" s="71" t="n">
        <v>0</v>
      </c>
      <c r="N137" s="112" t="n">
        <f aca="false">M137/H137*100</f>
        <v>0</v>
      </c>
      <c r="O137" s="71" t="n">
        <v>23.97</v>
      </c>
      <c r="P137" s="71" t="n">
        <v>37.8</v>
      </c>
      <c r="Q137" s="153" t="s">
        <v>43</v>
      </c>
      <c r="R137" s="173" t="s">
        <v>285</v>
      </c>
      <c r="T137" s="146" t="n">
        <v>26.4942</v>
      </c>
      <c r="AB137" s="230" t="n">
        <v>0</v>
      </c>
      <c r="AC137" s="17" t="s">
        <v>859</v>
      </c>
      <c r="AD137" s="226"/>
      <c r="AE137" s="226"/>
    </row>
    <row r="138" customFormat="false" ht="15" hidden="false" customHeight="false" outlineLevel="0" collapsed="false">
      <c r="A138" s="71" t="s">
        <v>415</v>
      </c>
      <c r="B138" s="71" t="s">
        <v>1877</v>
      </c>
      <c r="C138" s="51" t="s">
        <v>1967</v>
      </c>
      <c r="D138" s="71" t="s">
        <v>1972</v>
      </c>
      <c r="E138" s="71"/>
      <c r="F138" s="71"/>
      <c r="G138" s="71"/>
      <c r="H138" s="71"/>
      <c r="I138" s="71"/>
      <c r="J138" s="71"/>
      <c r="K138" s="71"/>
      <c r="M138" s="71"/>
      <c r="O138" s="71"/>
      <c r="P138" s="71"/>
      <c r="Q138" s="153" t="s">
        <v>43</v>
      </c>
      <c r="R138" s="173" t="s">
        <v>285</v>
      </c>
      <c r="T138" s="146"/>
      <c r="AB138" s="230" t="n">
        <v>2</v>
      </c>
      <c r="AC138" s="17" t="s">
        <v>859</v>
      </c>
      <c r="AD138" s="226" t="n">
        <v>24.21671</v>
      </c>
      <c r="AE138" s="226" t="n">
        <v>76.10671</v>
      </c>
    </row>
    <row r="139" customFormat="false" ht="15" hidden="false" customHeight="false" outlineLevel="0" collapsed="false">
      <c r="A139" s="71" t="s">
        <v>415</v>
      </c>
      <c r="B139" s="71" t="s">
        <v>1877</v>
      </c>
      <c r="C139" s="51" t="s">
        <v>1967</v>
      </c>
      <c r="D139" s="71" t="s">
        <v>1972</v>
      </c>
      <c r="E139" s="71"/>
      <c r="F139" s="71"/>
      <c r="G139" s="71"/>
      <c r="H139" s="71"/>
      <c r="I139" s="71"/>
      <c r="J139" s="71"/>
      <c r="K139" s="71"/>
      <c r="M139" s="71"/>
      <c r="O139" s="71"/>
      <c r="P139" s="71"/>
      <c r="Q139" s="153" t="s">
        <v>43</v>
      </c>
      <c r="R139" s="173" t="s">
        <v>285</v>
      </c>
      <c r="T139" s="146"/>
      <c r="AB139" s="230" t="n">
        <v>2</v>
      </c>
      <c r="AC139" s="17" t="s">
        <v>859</v>
      </c>
      <c r="AD139" s="226" t="n">
        <v>24.21691</v>
      </c>
      <c r="AE139" s="226" t="n">
        <v>76.10497</v>
      </c>
    </row>
    <row r="140" customFormat="false" ht="15" hidden="false" customHeight="false" outlineLevel="0" collapsed="false">
      <c r="A140" s="71" t="s">
        <v>415</v>
      </c>
      <c r="B140" s="71" t="s">
        <v>1877</v>
      </c>
      <c r="C140" s="51" t="s">
        <v>1967</v>
      </c>
      <c r="D140" s="71" t="s">
        <v>1972</v>
      </c>
      <c r="E140" s="71"/>
      <c r="F140" s="71"/>
      <c r="G140" s="71"/>
      <c r="H140" s="71"/>
      <c r="I140" s="71"/>
      <c r="J140" s="71"/>
      <c r="K140" s="71"/>
      <c r="M140" s="71"/>
      <c r="O140" s="71"/>
      <c r="P140" s="71"/>
      <c r="Q140" s="153" t="s">
        <v>43</v>
      </c>
      <c r="R140" s="173" t="s">
        <v>285</v>
      </c>
      <c r="T140" s="146"/>
      <c r="AB140" s="230" t="n">
        <v>2</v>
      </c>
      <c r="AC140" s="17" t="s">
        <v>859</v>
      </c>
      <c r="AD140" s="226" t="n">
        <v>24.21827</v>
      </c>
      <c r="AE140" s="226" t="n">
        <v>76.10493</v>
      </c>
    </row>
    <row r="141" customFormat="false" ht="15" hidden="false" customHeight="false" outlineLevel="0" collapsed="false">
      <c r="A141" s="71" t="s">
        <v>415</v>
      </c>
      <c r="B141" s="71" t="s">
        <v>1877</v>
      </c>
      <c r="C141" s="51" t="s">
        <v>1967</v>
      </c>
      <c r="D141" s="71" t="s">
        <v>1972</v>
      </c>
      <c r="E141" s="71"/>
      <c r="F141" s="71"/>
      <c r="G141" s="71"/>
      <c r="H141" s="71"/>
      <c r="I141" s="71"/>
      <c r="J141" s="71"/>
      <c r="K141" s="71"/>
      <c r="M141" s="71"/>
      <c r="O141" s="71"/>
      <c r="P141" s="71"/>
      <c r="Q141" s="153" t="s">
        <v>43</v>
      </c>
      <c r="R141" s="173" t="s">
        <v>285</v>
      </c>
      <c r="T141" s="146"/>
      <c r="AB141" s="230" t="n">
        <v>2</v>
      </c>
      <c r="AC141" s="17" t="s">
        <v>859</v>
      </c>
      <c r="AD141" s="226" t="n">
        <v>24.22015</v>
      </c>
      <c r="AE141" s="226" t="n">
        <v>76.12409</v>
      </c>
    </row>
    <row r="142" customFormat="false" ht="15" hidden="false" customHeight="false" outlineLevel="0" collapsed="false">
      <c r="A142" s="71" t="s">
        <v>415</v>
      </c>
      <c r="B142" s="71" t="s">
        <v>1877</v>
      </c>
      <c r="C142" s="51" t="s">
        <v>1967</v>
      </c>
      <c r="D142" s="71" t="s">
        <v>1972</v>
      </c>
      <c r="E142" s="71"/>
      <c r="F142" s="71"/>
      <c r="G142" s="71"/>
      <c r="H142" s="71"/>
      <c r="I142" s="71"/>
      <c r="J142" s="71"/>
      <c r="K142" s="71"/>
      <c r="M142" s="71"/>
      <c r="O142" s="71"/>
      <c r="P142" s="71"/>
      <c r="Q142" s="153" t="s">
        <v>43</v>
      </c>
      <c r="R142" s="173" t="s">
        <v>285</v>
      </c>
      <c r="T142" s="146"/>
      <c r="AB142" s="230" t="n">
        <v>3</v>
      </c>
      <c r="AC142" s="17" t="s">
        <v>859</v>
      </c>
      <c r="AD142" s="226" t="n">
        <v>24.2184</v>
      </c>
      <c r="AE142" s="226" t="n">
        <v>76.12378</v>
      </c>
    </row>
    <row r="143" customFormat="false" ht="15" hidden="false" customHeight="false" outlineLevel="0" collapsed="false">
      <c r="A143" s="71" t="s">
        <v>415</v>
      </c>
      <c r="B143" s="71" t="s">
        <v>1877</v>
      </c>
      <c r="C143" s="51" t="s">
        <v>1967</v>
      </c>
      <c r="D143" s="71" t="s">
        <v>1972</v>
      </c>
      <c r="E143" s="71"/>
      <c r="F143" s="71"/>
      <c r="G143" s="71"/>
      <c r="H143" s="71"/>
      <c r="I143" s="71"/>
      <c r="J143" s="71"/>
      <c r="K143" s="71"/>
      <c r="M143" s="71"/>
      <c r="O143" s="71"/>
      <c r="P143" s="71"/>
      <c r="Q143" s="153" t="s">
        <v>43</v>
      </c>
      <c r="R143" s="173" t="s">
        <v>285</v>
      </c>
      <c r="T143" s="146"/>
      <c r="AB143" s="230" t="n">
        <v>1.6</v>
      </c>
      <c r="AC143" s="17" t="s">
        <v>859</v>
      </c>
      <c r="AD143" s="226" t="n">
        <v>24.20805</v>
      </c>
      <c r="AE143" s="226" t="n">
        <v>76.1302</v>
      </c>
    </row>
    <row r="144" customFormat="false" ht="15" hidden="false" customHeight="false" outlineLevel="0" collapsed="false">
      <c r="A144" s="71" t="s">
        <v>415</v>
      </c>
      <c r="B144" s="71" t="s">
        <v>1877</v>
      </c>
      <c r="C144" s="51" t="s">
        <v>1967</v>
      </c>
      <c r="D144" s="71" t="s">
        <v>1972</v>
      </c>
      <c r="E144" s="71"/>
      <c r="F144" s="71"/>
      <c r="G144" s="71"/>
      <c r="H144" s="71"/>
      <c r="I144" s="71"/>
      <c r="J144" s="71"/>
      <c r="K144" s="71"/>
      <c r="M144" s="71"/>
      <c r="O144" s="71"/>
      <c r="P144" s="71"/>
      <c r="Q144" s="153" t="s">
        <v>43</v>
      </c>
      <c r="R144" s="173" t="s">
        <v>285</v>
      </c>
      <c r="T144" s="146"/>
      <c r="AB144" s="230" t="n">
        <v>2</v>
      </c>
      <c r="AC144" s="17" t="s">
        <v>859</v>
      </c>
      <c r="AD144" s="226" t="n">
        <v>24.21959</v>
      </c>
      <c r="AE144" s="226" t="n">
        <v>76.12393</v>
      </c>
    </row>
    <row r="145" customFormat="false" ht="15" hidden="false" customHeight="false" outlineLevel="0" collapsed="false">
      <c r="A145" s="71" t="s">
        <v>415</v>
      </c>
      <c r="B145" s="71" t="s">
        <v>1877</v>
      </c>
      <c r="C145" s="51" t="s">
        <v>1967</v>
      </c>
      <c r="D145" s="71" t="s">
        <v>1974</v>
      </c>
      <c r="E145" s="71" t="s">
        <v>1975</v>
      </c>
      <c r="F145" s="71" t="n">
        <v>235.49</v>
      </c>
      <c r="G145" s="71" t="n">
        <v>215</v>
      </c>
      <c r="H145" s="71" t="n">
        <v>1045</v>
      </c>
      <c r="I145" s="71" t="n">
        <v>529</v>
      </c>
      <c r="J145" s="71" t="n">
        <v>516</v>
      </c>
      <c r="K145" s="71" t="n">
        <v>112</v>
      </c>
      <c r="L145" s="112" t="n">
        <f aca="false">K145/H145*100</f>
        <v>10.7177033492823</v>
      </c>
      <c r="M145" s="71" t="n">
        <v>0</v>
      </c>
      <c r="N145" s="112" t="n">
        <f aca="false">M145/H145*100</f>
        <v>0</v>
      </c>
      <c r="O145" s="71" t="n">
        <v>0</v>
      </c>
      <c r="P145" s="71" t="n">
        <v>0</v>
      </c>
      <c r="Q145" s="153" t="s">
        <v>43</v>
      </c>
      <c r="R145" s="173" t="s">
        <v>285</v>
      </c>
      <c r="T145" s="146" t="n">
        <v>0</v>
      </c>
      <c r="AB145" s="12" t="n">
        <v>0</v>
      </c>
      <c r="AC145" s="17" t="s">
        <v>859</v>
      </c>
      <c r="AD145" s="226"/>
      <c r="AE145" s="226"/>
    </row>
    <row r="146" customFormat="false" ht="15" hidden="false" customHeight="false" outlineLevel="0" collapsed="false">
      <c r="A146" s="71" t="s">
        <v>415</v>
      </c>
      <c r="B146" s="71" t="s">
        <v>1877</v>
      </c>
      <c r="C146" s="51" t="s">
        <v>1976</v>
      </c>
      <c r="D146" s="72" t="s">
        <v>400</v>
      </c>
      <c r="E146" s="71" t="s">
        <v>1977</v>
      </c>
      <c r="F146" s="71" t="n">
        <v>487.7</v>
      </c>
      <c r="G146" s="71" t="n">
        <v>260</v>
      </c>
      <c r="H146" s="71" t="n">
        <v>1350</v>
      </c>
      <c r="I146" s="71" t="n">
        <v>709</v>
      </c>
      <c r="J146" s="71" t="n">
        <v>641</v>
      </c>
      <c r="K146" s="71" t="n">
        <v>186</v>
      </c>
      <c r="L146" s="112" t="n">
        <f aca="false">K146/H146*100</f>
        <v>13.7777777777778</v>
      </c>
      <c r="M146" s="71" t="n">
        <v>399</v>
      </c>
      <c r="N146" s="112" t="n">
        <f aca="false">M146/H146*100</f>
        <v>29.5555555555556</v>
      </c>
      <c r="O146" s="71" t="n">
        <v>43.81</v>
      </c>
      <c r="P146" s="71" t="n">
        <v>0</v>
      </c>
      <c r="Q146" s="153" t="s">
        <v>45</v>
      </c>
      <c r="R146" s="153" t="s">
        <v>1964</v>
      </c>
      <c r="T146" s="231" t="n">
        <v>21.58</v>
      </c>
      <c r="AB146" s="12" t="n">
        <v>6.48</v>
      </c>
      <c r="AC146" s="46" t="s">
        <v>859</v>
      </c>
      <c r="AD146" s="12" t="n">
        <v>24.26426</v>
      </c>
      <c r="AE146" s="12" t="n">
        <v>75.89913</v>
      </c>
    </row>
    <row r="147" customFormat="false" ht="15" hidden="false" customHeight="false" outlineLevel="0" collapsed="false">
      <c r="A147" s="71" t="s">
        <v>415</v>
      </c>
      <c r="B147" s="71" t="s">
        <v>1877</v>
      </c>
      <c r="C147" s="51" t="s">
        <v>1976</v>
      </c>
      <c r="D147" s="71" t="s">
        <v>1978</v>
      </c>
      <c r="E147" s="71" t="s">
        <v>1979</v>
      </c>
      <c r="F147" s="71" t="n">
        <v>138.19</v>
      </c>
      <c r="G147" s="71" t="n">
        <v>26</v>
      </c>
      <c r="H147" s="71" t="n">
        <v>138</v>
      </c>
      <c r="I147" s="71" t="n">
        <v>71</v>
      </c>
      <c r="J147" s="71" t="n">
        <v>67</v>
      </c>
      <c r="K147" s="71" t="n">
        <v>0</v>
      </c>
      <c r="L147" s="112" t="n">
        <f aca="false">K147/H147*100</f>
        <v>0</v>
      </c>
      <c r="M147" s="71" t="n">
        <v>0</v>
      </c>
      <c r="N147" s="112" t="n">
        <f aca="false">M147/H147*100</f>
        <v>0</v>
      </c>
      <c r="O147" s="71" t="n">
        <v>16.44</v>
      </c>
      <c r="P147" s="71" t="n">
        <v>37.83</v>
      </c>
      <c r="Q147" s="153" t="s">
        <v>45</v>
      </c>
      <c r="R147" s="153" t="s">
        <v>464</v>
      </c>
      <c r="T147" s="232" t="n">
        <v>10.91</v>
      </c>
      <c r="AB147" s="12" t="n">
        <v>12.44</v>
      </c>
      <c r="AC147" s="56" t="s">
        <v>859</v>
      </c>
      <c r="AD147" s="12" t="n">
        <v>24.31295</v>
      </c>
      <c r="AE147" s="12" t="n">
        <v>76.70795</v>
      </c>
    </row>
    <row r="148" customFormat="false" ht="15" hidden="false" customHeight="false" outlineLevel="0" collapsed="false">
      <c r="A148" s="71" t="s">
        <v>415</v>
      </c>
      <c r="B148" s="71" t="s">
        <v>1877</v>
      </c>
      <c r="C148" s="51" t="s">
        <v>1976</v>
      </c>
      <c r="D148" s="71" t="s">
        <v>1097</v>
      </c>
      <c r="E148" s="71" t="s">
        <v>1980</v>
      </c>
      <c r="F148" s="71" t="n">
        <v>111.77</v>
      </c>
      <c r="G148" s="71" t="n">
        <v>12</v>
      </c>
      <c r="H148" s="71" t="n">
        <v>47</v>
      </c>
      <c r="I148" s="71" t="n">
        <v>25</v>
      </c>
      <c r="J148" s="71" t="n">
        <v>22</v>
      </c>
      <c r="K148" s="71" t="n">
        <v>0</v>
      </c>
      <c r="L148" s="112" t="n">
        <f aca="false">K148/H148*100</f>
        <v>0</v>
      </c>
      <c r="M148" s="71" t="n">
        <v>0</v>
      </c>
      <c r="N148" s="112" t="n">
        <f aca="false">M148/H148*100</f>
        <v>0</v>
      </c>
      <c r="O148" s="71" t="n">
        <v>5.5</v>
      </c>
      <c r="P148" s="71" t="n">
        <v>0</v>
      </c>
      <c r="Q148" s="153" t="s">
        <v>45</v>
      </c>
      <c r="R148" s="153" t="s">
        <v>1964</v>
      </c>
      <c r="AB148" s="12" t="n">
        <v>2.48</v>
      </c>
      <c r="AC148" s="46" t="s">
        <v>859</v>
      </c>
      <c r="AD148" s="12" t="n">
        <v>24.27604</v>
      </c>
      <c r="AE148" s="12" t="n">
        <v>75.89861</v>
      </c>
    </row>
    <row r="149" customFormat="false" ht="15" hidden="false" customHeight="false" outlineLevel="0" collapsed="false">
      <c r="A149" s="71" t="s">
        <v>415</v>
      </c>
      <c r="B149" s="71" t="s">
        <v>1877</v>
      </c>
      <c r="C149" s="51" t="s">
        <v>1976</v>
      </c>
      <c r="D149" s="71" t="s">
        <v>1981</v>
      </c>
      <c r="E149" s="71" t="s">
        <v>1982</v>
      </c>
      <c r="F149" s="71" t="n">
        <v>367.05</v>
      </c>
      <c r="G149" s="71" t="n">
        <v>44</v>
      </c>
      <c r="H149" s="71" t="n">
        <v>243</v>
      </c>
      <c r="I149" s="71" t="n">
        <v>122</v>
      </c>
      <c r="J149" s="71" t="n">
        <v>121</v>
      </c>
      <c r="K149" s="71" t="n">
        <v>0</v>
      </c>
      <c r="L149" s="112" t="n">
        <f aca="false">K149/H149*100</f>
        <v>0</v>
      </c>
      <c r="M149" s="71" t="n">
        <v>0</v>
      </c>
      <c r="N149" s="112" t="n">
        <f aca="false">M149/H149*100</f>
        <v>0</v>
      </c>
      <c r="O149" s="71" t="n">
        <v>19.94</v>
      </c>
      <c r="P149" s="71" t="n">
        <v>151.33</v>
      </c>
      <c r="Q149" s="153" t="s">
        <v>45</v>
      </c>
      <c r="R149" s="153" t="s">
        <v>464</v>
      </c>
      <c r="T149" s="112" t="n">
        <v>14.67</v>
      </c>
      <c r="AB149" s="12" t="n">
        <v>10.04</v>
      </c>
      <c r="AC149" s="56" t="s">
        <v>859</v>
      </c>
      <c r="AD149" s="12" t="n">
        <v>24.33834</v>
      </c>
      <c r="AE149" s="12" t="n">
        <v>76.7222</v>
      </c>
    </row>
    <row r="150" customFormat="false" ht="15" hidden="false" customHeight="false" outlineLevel="0" collapsed="false">
      <c r="A150" s="71" t="s">
        <v>415</v>
      </c>
      <c r="B150" s="71" t="s">
        <v>1877</v>
      </c>
      <c r="C150" s="51" t="s">
        <v>1976</v>
      </c>
      <c r="D150" s="71" t="s">
        <v>1983</v>
      </c>
      <c r="E150" s="71" t="s">
        <v>1984</v>
      </c>
      <c r="F150" s="71" t="n">
        <v>553.41</v>
      </c>
      <c r="G150" s="71" t="n">
        <v>235</v>
      </c>
      <c r="H150" s="71" t="n">
        <v>1254</v>
      </c>
      <c r="I150" s="71" t="n">
        <v>634</v>
      </c>
      <c r="J150" s="71" t="n">
        <v>620</v>
      </c>
      <c r="K150" s="71" t="n">
        <v>237</v>
      </c>
      <c r="L150" s="112" t="n">
        <f aca="false">K150/H150*100</f>
        <v>18.8995215311005</v>
      </c>
      <c r="M150" s="71" t="n">
        <v>41</v>
      </c>
      <c r="N150" s="112" t="n">
        <f aca="false">M150/H150*100</f>
        <v>3.2695374800638</v>
      </c>
      <c r="O150" s="71" t="n">
        <v>34.56</v>
      </c>
      <c r="P150" s="71" t="n">
        <v>0</v>
      </c>
      <c r="Q150" s="153" t="s">
        <v>45</v>
      </c>
      <c r="R150" s="153" t="s">
        <v>464</v>
      </c>
      <c r="T150" s="112" t="n">
        <v>20.67</v>
      </c>
      <c r="AB150" s="12" t="n">
        <v>2</v>
      </c>
      <c r="AC150" s="56" t="s">
        <v>859</v>
      </c>
      <c r="AD150" s="12" t="n">
        <v>24.33863</v>
      </c>
      <c r="AE150" s="12" t="n">
        <v>76.72253</v>
      </c>
    </row>
    <row r="151" customFormat="false" ht="15" hidden="false" customHeight="false" outlineLevel="0" collapsed="false">
      <c r="A151" s="71" t="s">
        <v>415</v>
      </c>
      <c r="B151" s="71" t="s">
        <v>1877</v>
      </c>
      <c r="C151" s="51" t="s">
        <v>1976</v>
      </c>
      <c r="D151" s="71" t="s">
        <v>1985</v>
      </c>
      <c r="E151" s="71" t="s">
        <v>1986</v>
      </c>
      <c r="F151" s="71" t="n">
        <v>558.37</v>
      </c>
      <c r="G151" s="71" t="n">
        <v>291</v>
      </c>
      <c r="H151" s="71" t="n">
        <v>1489</v>
      </c>
      <c r="I151" s="71" t="n">
        <v>760</v>
      </c>
      <c r="J151" s="71" t="n">
        <v>729</v>
      </c>
      <c r="K151" s="71" t="n">
        <v>181</v>
      </c>
      <c r="L151" s="112" t="n">
        <f aca="false">K151/H151*100</f>
        <v>12.1558092679651</v>
      </c>
      <c r="M151" s="71" t="n">
        <v>288</v>
      </c>
      <c r="N151" s="112" t="n">
        <f aca="false">M151/H151*100</f>
        <v>19.341840161182</v>
      </c>
      <c r="O151" s="71" t="n">
        <v>52.28</v>
      </c>
      <c r="P151" s="71" t="n">
        <v>0</v>
      </c>
      <c r="Q151" s="172" t="s">
        <v>82</v>
      </c>
      <c r="R151" s="172" t="s">
        <v>970</v>
      </c>
      <c r="T151" s="232" t="n">
        <v>35.9</v>
      </c>
      <c r="AB151" s="23" t="n">
        <v>12.4</v>
      </c>
      <c r="AC151" s="56" t="s">
        <v>859</v>
      </c>
      <c r="AD151" s="23" t="n">
        <v>24.65616</v>
      </c>
      <c r="AE151" s="23" t="n">
        <v>76.32753</v>
      </c>
    </row>
    <row r="152" customFormat="false" ht="15" hidden="false" customHeight="false" outlineLevel="0" collapsed="false">
      <c r="A152" s="71" t="s">
        <v>415</v>
      </c>
      <c r="B152" s="71" t="s">
        <v>1877</v>
      </c>
      <c r="C152" s="51" t="s">
        <v>1987</v>
      </c>
      <c r="D152" s="72" t="s">
        <v>1988</v>
      </c>
      <c r="E152" s="71" t="s">
        <v>1989</v>
      </c>
      <c r="F152" s="71" t="n">
        <v>524.36</v>
      </c>
      <c r="G152" s="71" t="n">
        <v>241</v>
      </c>
      <c r="H152" s="71" t="n">
        <v>1238</v>
      </c>
      <c r="I152" s="71" t="n">
        <v>628</v>
      </c>
      <c r="J152" s="71" t="n">
        <v>610</v>
      </c>
      <c r="K152" s="71" t="n">
        <v>419</v>
      </c>
      <c r="L152" s="112" t="n">
        <f aca="false">K152/H152*100</f>
        <v>33.8449111470113</v>
      </c>
      <c r="M152" s="71" t="n">
        <v>182</v>
      </c>
      <c r="N152" s="112" t="n">
        <f aca="false">M152/H152*100</f>
        <v>14.7011308562197</v>
      </c>
      <c r="O152" s="71" t="n">
        <v>22.81</v>
      </c>
      <c r="P152" s="71" t="n">
        <v>106.34</v>
      </c>
      <c r="Q152" s="153" t="s">
        <v>43</v>
      </c>
      <c r="R152" s="171" t="s">
        <v>540</v>
      </c>
      <c r="T152" s="118" t="n">
        <v>24.0282</v>
      </c>
      <c r="AB152" s="12" t="n">
        <v>9.0587</v>
      </c>
      <c r="AC152" s="46" t="s">
        <v>910</v>
      </c>
      <c r="AD152" s="12" t="n">
        <v>24.221938</v>
      </c>
      <c r="AE152" s="12" t="n">
        <v>75.906509</v>
      </c>
    </row>
    <row r="153" customFormat="false" ht="15" hidden="false" customHeight="false" outlineLevel="0" collapsed="false">
      <c r="A153" s="71" t="s">
        <v>415</v>
      </c>
      <c r="B153" s="71" t="s">
        <v>1877</v>
      </c>
      <c r="C153" s="51" t="s">
        <v>1987</v>
      </c>
      <c r="D153" s="72" t="s">
        <v>1988</v>
      </c>
      <c r="E153" s="71"/>
      <c r="F153" s="71"/>
      <c r="G153" s="71"/>
      <c r="H153" s="71"/>
      <c r="I153" s="71"/>
      <c r="J153" s="71"/>
      <c r="K153" s="71"/>
      <c r="M153" s="71"/>
      <c r="O153" s="71"/>
      <c r="P153" s="71"/>
      <c r="Q153" s="153" t="s">
        <v>43</v>
      </c>
      <c r="R153" s="171" t="s">
        <v>540</v>
      </c>
      <c r="T153" s="118"/>
      <c r="AB153" s="10" t="n">
        <v>1.32</v>
      </c>
      <c r="AC153" s="46" t="s">
        <v>910</v>
      </c>
      <c r="AD153" s="10" t="n">
        <v>24.20716</v>
      </c>
      <c r="AE153" s="10" t="n">
        <v>75.90873</v>
      </c>
    </row>
    <row r="154" customFormat="false" ht="15" hidden="false" customHeight="false" outlineLevel="0" collapsed="false">
      <c r="A154" s="71" t="s">
        <v>415</v>
      </c>
      <c r="B154" s="71" t="s">
        <v>1877</v>
      </c>
      <c r="C154" s="51" t="s">
        <v>1987</v>
      </c>
      <c r="D154" s="71" t="s">
        <v>1990</v>
      </c>
      <c r="E154" s="71" t="s">
        <v>1991</v>
      </c>
      <c r="F154" s="71" t="n">
        <v>190.64</v>
      </c>
      <c r="G154" s="71" t="n">
        <v>31</v>
      </c>
      <c r="H154" s="71" t="n">
        <v>156</v>
      </c>
      <c r="I154" s="71" t="n">
        <v>87</v>
      </c>
      <c r="J154" s="71" t="n">
        <v>69</v>
      </c>
      <c r="K154" s="71" t="n">
        <v>156</v>
      </c>
      <c r="L154" s="112" t="n">
        <f aca="false">K154/H154*100</f>
        <v>100</v>
      </c>
      <c r="M154" s="71" t="n">
        <v>0</v>
      </c>
      <c r="N154" s="112" t="n">
        <f aca="false">M154/H154*100</f>
        <v>0</v>
      </c>
      <c r="O154" s="71" t="n">
        <v>1.52</v>
      </c>
      <c r="P154" s="71" t="n">
        <v>64.31</v>
      </c>
      <c r="Q154" s="153"/>
      <c r="R154" s="153"/>
      <c r="AB154" s="12"/>
      <c r="AC154" s="46"/>
      <c r="AD154" s="12"/>
      <c r="AE154" s="12"/>
    </row>
    <row r="155" customFormat="false" ht="15" hidden="false" customHeight="false" outlineLevel="0" collapsed="false">
      <c r="A155" s="71" t="s">
        <v>415</v>
      </c>
      <c r="B155" s="71" t="s">
        <v>1877</v>
      </c>
      <c r="C155" s="51" t="s">
        <v>1987</v>
      </c>
      <c r="D155" s="71" t="s">
        <v>1992</v>
      </c>
      <c r="E155" s="71" t="s">
        <v>1993</v>
      </c>
      <c r="F155" s="71" t="n">
        <v>365.12</v>
      </c>
      <c r="G155" s="71" t="n">
        <v>94</v>
      </c>
      <c r="H155" s="71" t="n">
        <v>462</v>
      </c>
      <c r="I155" s="71" t="n">
        <v>240</v>
      </c>
      <c r="J155" s="71" t="n">
        <v>222</v>
      </c>
      <c r="K155" s="71" t="n">
        <v>109</v>
      </c>
      <c r="L155" s="112" t="n">
        <f aca="false">K155/H155*100</f>
        <v>23.5930735930736</v>
      </c>
      <c r="M155" s="71" t="n">
        <v>0</v>
      </c>
      <c r="N155" s="112" t="n">
        <f aca="false">M155/H155*100</f>
        <v>0</v>
      </c>
      <c r="O155" s="71" t="n">
        <v>22.18</v>
      </c>
      <c r="P155" s="71" t="n">
        <v>0</v>
      </c>
      <c r="Q155" s="153" t="s">
        <v>43</v>
      </c>
      <c r="R155" s="153" t="s">
        <v>1994</v>
      </c>
      <c r="T155" s="118" t="n">
        <v>24.7996</v>
      </c>
      <c r="AB155" s="12" t="n">
        <v>13.756</v>
      </c>
      <c r="AC155" s="46" t="s">
        <v>910</v>
      </c>
      <c r="AD155" s="12" t="n">
        <v>24.206966</v>
      </c>
      <c r="AE155" s="12" t="n">
        <v>75.922487</v>
      </c>
    </row>
    <row r="156" customFormat="false" ht="15" hidden="false" customHeight="false" outlineLevel="0" collapsed="false">
      <c r="A156" s="71" t="s">
        <v>415</v>
      </c>
      <c r="B156" s="71" t="s">
        <v>1877</v>
      </c>
      <c r="C156" s="51" t="s">
        <v>1987</v>
      </c>
      <c r="D156" s="71" t="s">
        <v>1992</v>
      </c>
      <c r="E156" s="71"/>
      <c r="F156" s="71"/>
      <c r="G156" s="71"/>
      <c r="H156" s="71"/>
      <c r="I156" s="71"/>
      <c r="J156" s="71"/>
      <c r="K156" s="71"/>
      <c r="M156" s="71"/>
      <c r="O156" s="71"/>
      <c r="P156" s="71"/>
      <c r="Q156" s="153" t="s">
        <v>43</v>
      </c>
      <c r="R156" s="153" t="s">
        <v>1994</v>
      </c>
      <c r="T156" s="118"/>
      <c r="AB156" s="10" t="n">
        <v>1.46</v>
      </c>
      <c r="AC156" s="46" t="s">
        <v>910</v>
      </c>
      <c r="AD156" s="10" t="n">
        <v>24.20591</v>
      </c>
      <c r="AE156" s="10" t="n">
        <v>75.91966</v>
      </c>
    </row>
    <row r="157" customFormat="false" ht="15" hidden="false" customHeight="false" outlineLevel="0" collapsed="false">
      <c r="A157" s="71" t="s">
        <v>415</v>
      </c>
      <c r="B157" s="71" t="s">
        <v>1877</v>
      </c>
      <c r="C157" s="51" t="s">
        <v>1987</v>
      </c>
      <c r="D157" s="71" t="s">
        <v>1992</v>
      </c>
      <c r="E157" s="71"/>
      <c r="F157" s="71"/>
      <c r="G157" s="71"/>
      <c r="H157" s="71"/>
      <c r="I157" s="71"/>
      <c r="J157" s="71"/>
      <c r="K157" s="71"/>
      <c r="M157" s="71"/>
      <c r="O157" s="71"/>
      <c r="P157" s="71"/>
      <c r="Q157" s="153" t="s">
        <v>43</v>
      </c>
      <c r="R157" s="153" t="s">
        <v>1994</v>
      </c>
      <c r="T157" s="118"/>
      <c r="AB157" s="10" t="n">
        <v>1.272</v>
      </c>
      <c r="AC157" s="46" t="s">
        <v>910</v>
      </c>
      <c r="AD157" s="10" t="n">
        <v>24.201</v>
      </c>
      <c r="AE157" s="10" t="n">
        <v>75.90747</v>
      </c>
    </row>
    <row r="158" customFormat="false" ht="15" hidden="false" customHeight="false" outlineLevel="0" collapsed="false">
      <c r="A158" s="71" t="s">
        <v>415</v>
      </c>
      <c r="B158" s="71" t="s">
        <v>1877</v>
      </c>
      <c r="C158" s="51" t="s">
        <v>1987</v>
      </c>
      <c r="D158" s="71" t="s">
        <v>381</v>
      </c>
      <c r="E158" s="71" t="s">
        <v>1995</v>
      </c>
      <c r="F158" s="71" t="n">
        <v>413.47</v>
      </c>
      <c r="G158" s="71" t="n">
        <v>97</v>
      </c>
      <c r="H158" s="71" t="n">
        <v>568</v>
      </c>
      <c r="I158" s="71" t="n">
        <v>293</v>
      </c>
      <c r="J158" s="71" t="n">
        <v>275</v>
      </c>
      <c r="K158" s="71" t="n">
        <v>56</v>
      </c>
      <c r="L158" s="112" t="n">
        <f aca="false">K158/H158*100</f>
        <v>9.85915492957746</v>
      </c>
      <c r="M158" s="71" t="n">
        <v>56</v>
      </c>
      <c r="N158" s="112" t="n">
        <f aca="false">M158/H158*100</f>
        <v>9.85915492957746</v>
      </c>
      <c r="O158" s="71" t="n">
        <v>23.66</v>
      </c>
      <c r="P158" s="71" t="n">
        <v>93.47</v>
      </c>
      <c r="Q158" s="153" t="s">
        <v>43</v>
      </c>
      <c r="R158" s="153" t="s">
        <v>1506</v>
      </c>
      <c r="T158" s="118" t="n">
        <v>25.7986</v>
      </c>
      <c r="AB158" s="12" t="n">
        <v>19.0086</v>
      </c>
      <c r="AC158" s="46" t="s">
        <v>910</v>
      </c>
      <c r="AD158" s="12" t="n">
        <v>24.227004</v>
      </c>
      <c r="AE158" s="12" t="n">
        <v>75.891038</v>
      </c>
    </row>
    <row r="159" customFormat="false" ht="15" hidden="false" customHeight="false" outlineLevel="0" collapsed="false">
      <c r="A159" s="71" t="s">
        <v>415</v>
      </c>
      <c r="B159" s="71" t="s">
        <v>1877</v>
      </c>
      <c r="C159" s="51" t="s">
        <v>1987</v>
      </c>
      <c r="D159" s="71" t="s">
        <v>381</v>
      </c>
      <c r="E159" s="71"/>
      <c r="F159" s="71"/>
      <c r="G159" s="71"/>
      <c r="H159" s="71"/>
      <c r="I159" s="71"/>
      <c r="J159" s="71"/>
      <c r="K159" s="71"/>
      <c r="M159" s="71"/>
      <c r="O159" s="71"/>
      <c r="P159" s="71"/>
      <c r="Q159" s="153" t="s">
        <v>43</v>
      </c>
      <c r="R159" s="153" t="s">
        <v>1506</v>
      </c>
      <c r="T159" s="118"/>
      <c r="AB159" s="10" t="n">
        <v>2.256</v>
      </c>
      <c r="AC159" s="46" t="s">
        <v>910</v>
      </c>
      <c r="AD159" s="10" t="n">
        <v>24.22171</v>
      </c>
      <c r="AE159" s="10" t="n">
        <v>75.87742</v>
      </c>
    </row>
    <row r="160" customFormat="false" ht="15" hidden="false" customHeight="false" outlineLevel="0" collapsed="false">
      <c r="A160" s="71" t="s">
        <v>415</v>
      </c>
      <c r="B160" s="71" t="s">
        <v>1877</v>
      </c>
      <c r="C160" s="51" t="s">
        <v>1987</v>
      </c>
      <c r="D160" s="71" t="s">
        <v>381</v>
      </c>
      <c r="E160" s="71"/>
      <c r="F160" s="71"/>
      <c r="G160" s="71"/>
      <c r="H160" s="71"/>
      <c r="I160" s="71"/>
      <c r="J160" s="71"/>
      <c r="K160" s="71"/>
      <c r="M160" s="71"/>
      <c r="O160" s="71"/>
      <c r="P160" s="71"/>
      <c r="Q160" s="153" t="s">
        <v>43</v>
      </c>
      <c r="R160" s="153" t="s">
        <v>1506</v>
      </c>
      <c r="T160" s="118"/>
      <c r="AB160" s="10" t="n">
        <v>2.42</v>
      </c>
      <c r="AC160" s="46" t="s">
        <v>910</v>
      </c>
      <c r="AD160" s="10" t="n">
        <v>24.22459</v>
      </c>
      <c r="AE160" s="10" t="n">
        <v>75.87754</v>
      </c>
    </row>
    <row r="161" customFormat="false" ht="15" hidden="false" customHeight="false" outlineLevel="0" collapsed="false">
      <c r="A161" s="71" t="s">
        <v>415</v>
      </c>
      <c r="B161" s="71" t="s">
        <v>1877</v>
      </c>
      <c r="C161" s="51" t="s">
        <v>1987</v>
      </c>
      <c r="D161" s="71" t="s">
        <v>1996</v>
      </c>
      <c r="E161" s="71" t="s">
        <v>1997</v>
      </c>
      <c r="F161" s="71" t="n">
        <v>452.83</v>
      </c>
      <c r="G161" s="71" t="n">
        <v>265</v>
      </c>
      <c r="H161" s="71" t="n">
        <v>1333</v>
      </c>
      <c r="I161" s="71" t="n">
        <v>670</v>
      </c>
      <c r="J161" s="71" t="n">
        <v>663</v>
      </c>
      <c r="K161" s="71" t="n">
        <v>508</v>
      </c>
      <c r="L161" s="112" t="n">
        <f aca="false">K161/H161*100</f>
        <v>38.1095273818455</v>
      </c>
      <c r="M161" s="71" t="n">
        <v>0</v>
      </c>
      <c r="N161" s="112" t="n">
        <f aca="false">M161/H161*100</f>
        <v>0</v>
      </c>
      <c r="O161" s="71" t="n">
        <v>70.75</v>
      </c>
      <c r="P161" s="71" t="n">
        <v>0</v>
      </c>
      <c r="Q161" s="153" t="s">
        <v>43</v>
      </c>
      <c r="R161" s="171" t="s">
        <v>1493</v>
      </c>
      <c r="T161" s="118" t="n">
        <v>61.9327</v>
      </c>
      <c r="AB161" s="12" t="n">
        <v>15.0782</v>
      </c>
      <c r="AC161" s="46" t="s">
        <v>910</v>
      </c>
      <c r="AD161" s="12" t="n">
        <v>24.229316</v>
      </c>
      <c r="AE161" s="12" t="n">
        <v>75.89566</v>
      </c>
    </row>
    <row r="162" customFormat="false" ht="15" hidden="false" customHeight="false" outlineLevel="0" collapsed="false">
      <c r="A162" s="71" t="s">
        <v>415</v>
      </c>
      <c r="B162" s="71" t="s">
        <v>1877</v>
      </c>
      <c r="C162" s="51" t="s">
        <v>280</v>
      </c>
      <c r="D162" s="72" t="s">
        <v>281</v>
      </c>
      <c r="E162" s="71" t="s">
        <v>1998</v>
      </c>
      <c r="F162" s="71" t="n">
        <v>408.26</v>
      </c>
      <c r="G162" s="71" t="n">
        <v>141</v>
      </c>
      <c r="H162" s="71" t="n">
        <v>747</v>
      </c>
      <c r="I162" s="71" t="n">
        <v>384</v>
      </c>
      <c r="J162" s="71" t="n">
        <v>363</v>
      </c>
      <c r="K162" s="71" t="n">
        <v>279</v>
      </c>
      <c r="L162" s="112" t="n">
        <f aca="false">K162/H162*100</f>
        <v>37.3493975903614</v>
      </c>
      <c r="M162" s="71" t="n">
        <v>3</v>
      </c>
      <c r="N162" s="112" t="n">
        <f aca="false">M162/H162*100</f>
        <v>0.401606425702811</v>
      </c>
      <c r="O162" s="71" t="n">
        <v>25.81</v>
      </c>
      <c r="P162" s="71" t="n">
        <v>226.6</v>
      </c>
      <c r="Q162" s="153" t="s">
        <v>45</v>
      </c>
      <c r="R162" s="153" t="s">
        <v>1523</v>
      </c>
      <c r="T162" s="118" t="n">
        <v>30.5791</v>
      </c>
      <c r="AB162" s="12" t="n">
        <v>2.36</v>
      </c>
      <c r="AC162" s="46" t="s">
        <v>1816</v>
      </c>
      <c r="AD162" s="12" t="n">
        <v>24.176486</v>
      </c>
      <c r="AE162" s="12" t="n">
        <v>75.89264</v>
      </c>
    </row>
    <row r="163" customFormat="false" ht="15" hidden="false" customHeight="false" outlineLevel="0" collapsed="false">
      <c r="A163" s="71" t="s">
        <v>415</v>
      </c>
      <c r="B163" s="71" t="s">
        <v>1877</v>
      </c>
      <c r="C163" s="51" t="s">
        <v>280</v>
      </c>
      <c r="D163" s="72" t="s">
        <v>281</v>
      </c>
      <c r="E163" s="71"/>
      <c r="F163" s="71"/>
      <c r="G163" s="71"/>
      <c r="H163" s="71"/>
      <c r="I163" s="71"/>
      <c r="J163" s="71"/>
      <c r="K163" s="71"/>
      <c r="M163" s="71"/>
      <c r="O163" s="71"/>
      <c r="P163" s="71"/>
      <c r="Q163" s="153" t="s">
        <v>43</v>
      </c>
      <c r="R163" s="117" t="s">
        <v>1523</v>
      </c>
      <c r="T163" s="118"/>
      <c r="AB163" s="10" t="n">
        <v>1.68</v>
      </c>
      <c r="AC163" s="38" t="s">
        <v>1816</v>
      </c>
      <c r="AD163" s="10" t="n">
        <v>24.18307</v>
      </c>
      <c r="AE163" s="10" t="n">
        <v>75.88136</v>
      </c>
    </row>
    <row r="164" customFormat="false" ht="15" hidden="false" customHeight="false" outlineLevel="0" collapsed="false">
      <c r="A164" s="71" t="s">
        <v>415</v>
      </c>
      <c r="B164" s="71" t="s">
        <v>1877</v>
      </c>
      <c r="C164" s="51" t="s">
        <v>280</v>
      </c>
      <c r="D164" s="71" t="s">
        <v>1999</v>
      </c>
      <c r="E164" s="71" t="s">
        <v>2000</v>
      </c>
      <c r="F164" s="71" t="n">
        <v>309.35</v>
      </c>
      <c r="G164" s="71" t="n">
        <v>28</v>
      </c>
      <c r="H164" s="71" t="n">
        <v>146</v>
      </c>
      <c r="I164" s="71" t="n">
        <v>80</v>
      </c>
      <c r="J164" s="71" t="n">
        <v>66</v>
      </c>
      <c r="K164" s="71" t="n">
        <v>21</v>
      </c>
      <c r="L164" s="112" t="n">
        <f aca="false">K164/H164*100</f>
        <v>14.3835616438356</v>
      </c>
      <c r="M164" s="71" t="n">
        <v>0</v>
      </c>
      <c r="N164" s="112" t="n">
        <f aca="false">M164/H164*100</f>
        <v>0</v>
      </c>
      <c r="O164" s="71" t="n">
        <v>14.74</v>
      </c>
      <c r="P164" s="71" t="n">
        <v>0</v>
      </c>
      <c r="Q164" s="153" t="s">
        <v>45</v>
      </c>
      <c r="R164" s="153" t="s">
        <v>1523</v>
      </c>
      <c r="T164" s="118" t="n">
        <v>16.086</v>
      </c>
      <c r="AB164" s="12" t="n">
        <v>0</v>
      </c>
      <c r="AC164" s="46" t="s">
        <v>1816</v>
      </c>
      <c r="AD164" s="12"/>
      <c r="AE164" s="12"/>
    </row>
    <row r="165" customFormat="false" ht="15" hidden="false" customHeight="false" outlineLevel="0" collapsed="false">
      <c r="A165" s="71" t="s">
        <v>415</v>
      </c>
      <c r="B165" s="71" t="s">
        <v>1877</v>
      </c>
      <c r="C165" s="51" t="s">
        <v>280</v>
      </c>
      <c r="D165" s="71" t="s">
        <v>2001</v>
      </c>
      <c r="E165" s="71" t="s">
        <v>2002</v>
      </c>
      <c r="F165" s="71" t="n">
        <v>434.01</v>
      </c>
      <c r="G165" s="71" t="n">
        <v>201</v>
      </c>
      <c r="H165" s="71" t="n">
        <v>1063</v>
      </c>
      <c r="I165" s="71" t="n">
        <v>553</v>
      </c>
      <c r="J165" s="71" t="n">
        <v>510</v>
      </c>
      <c r="K165" s="71" t="n">
        <v>489</v>
      </c>
      <c r="L165" s="112" t="n">
        <f aca="false">K165/H165*100</f>
        <v>46.0018814675447</v>
      </c>
      <c r="M165" s="71" t="n">
        <v>0</v>
      </c>
      <c r="N165" s="112" t="n">
        <f aca="false">M165/H165*100</f>
        <v>0</v>
      </c>
      <c r="O165" s="71" t="n">
        <v>40.75</v>
      </c>
      <c r="P165" s="71" t="n">
        <v>42.11</v>
      </c>
      <c r="Q165" s="153" t="s">
        <v>45</v>
      </c>
      <c r="R165" s="153" t="s">
        <v>1523</v>
      </c>
      <c r="T165" s="118" t="n">
        <v>42.8965</v>
      </c>
      <c r="AB165" s="12" t="n">
        <v>23.2567</v>
      </c>
      <c r="AC165" s="46" t="s">
        <v>1816</v>
      </c>
      <c r="AD165" s="12" t="n">
        <v>24.190063</v>
      </c>
      <c r="AE165" s="12" t="n">
        <v>75.90318</v>
      </c>
    </row>
    <row r="166" customFormat="false" ht="15" hidden="false" customHeight="false" outlineLevel="0" collapsed="false">
      <c r="A166" s="71" t="s">
        <v>415</v>
      </c>
      <c r="B166" s="71" t="s">
        <v>1877</v>
      </c>
      <c r="C166" s="51" t="s">
        <v>280</v>
      </c>
      <c r="D166" s="71" t="s">
        <v>2001</v>
      </c>
      <c r="E166" s="71"/>
      <c r="F166" s="71"/>
      <c r="G166" s="71"/>
      <c r="H166" s="71"/>
      <c r="I166" s="71"/>
      <c r="J166" s="71"/>
      <c r="K166" s="71"/>
      <c r="M166" s="71"/>
      <c r="O166" s="71"/>
      <c r="P166" s="71"/>
      <c r="Q166" s="153" t="s">
        <v>45</v>
      </c>
      <c r="R166" s="153" t="s">
        <v>1523</v>
      </c>
      <c r="T166" s="118"/>
      <c r="AB166" s="12" t="n">
        <v>3.196</v>
      </c>
      <c r="AC166" s="46" t="s">
        <v>2003</v>
      </c>
      <c r="AD166" s="12" t="n">
        <v>24.1855</v>
      </c>
      <c r="AE166" s="12" t="n">
        <v>75.91405</v>
      </c>
    </row>
    <row r="167" customFormat="false" ht="15" hidden="false" customHeight="false" outlineLevel="0" collapsed="false">
      <c r="A167" s="71" t="s">
        <v>415</v>
      </c>
      <c r="B167" s="71" t="s">
        <v>1877</v>
      </c>
      <c r="C167" s="51" t="s">
        <v>280</v>
      </c>
      <c r="D167" s="71" t="s">
        <v>1539</v>
      </c>
      <c r="E167" s="71" t="s">
        <v>2004</v>
      </c>
      <c r="F167" s="71" t="n">
        <v>209.32</v>
      </c>
      <c r="G167" s="71" t="n">
        <v>73</v>
      </c>
      <c r="H167" s="71" t="n">
        <v>362</v>
      </c>
      <c r="I167" s="71" t="n">
        <v>178</v>
      </c>
      <c r="J167" s="71" t="n">
        <v>184</v>
      </c>
      <c r="K167" s="71" t="n">
        <v>232</v>
      </c>
      <c r="L167" s="112" t="n">
        <f aca="false">K167/H167*100</f>
        <v>64.0883977900553</v>
      </c>
      <c r="M167" s="71" t="n">
        <v>0</v>
      </c>
      <c r="N167" s="112" t="n">
        <f aca="false">M167/H167*100</f>
        <v>0</v>
      </c>
      <c r="O167" s="71" t="n">
        <v>25.63</v>
      </c>
      <c r="P167" s="71" t="n">
        <v>2.09</v>
      </c>
      <c r="Q167" s="153" t="s">
        <v>45</v>
      </c>
      <c r="R167" s="153" t="s">
        <v>1523</v>
      </c>
      <c r="T167" s="118" t="n">
        <v>26.9368</v>
      </c>
      <c r="AB167" s="12" t="n">
        <v>0</v>
      </c>
      <c r="AC167" s="46" t="s">
        <v>1816</v>
      </c>
      <c r="AD167" s="12"/>
      <c r="AE167" s="12"/>
    </row>
    <row r="168" customFormat="false" ht="15" hidden="false" customHeight="false" outlineLevel="0" collapsed="false">
      <c r="A168" s="71" t="s">
        <v>415</v>
      </c>
      <c r="B168" s="71" t="s">
        <v>1877</v>
      </c>
      <c r="C168" s="51" t="s">
        <v>280</v>
      </c>
      <c r="D168" s="71" t="s">
        <v>2005</v>
      </c>
      <c r="E168" s="71" t="s">
        <v>2006</v>
      </c>
      <c r="F168" s="71" t="n">
        <v>115.88</v>
      </c>
      <c r="G168" s="71" t="n">
        <v>75</v>
      </c>
      <c r="H168" s="71" t="n">
        <v>382</v>
      </c>
      <c r="I168" s="71" t="n">
        <v>187</v>
      </c>
      <c r="J168" s="71" t="n">
        <v>195</v>
      </c>
      <c r="K168" s="71" t="n">
        <v>0</v>
      </c>
      <c r="L168" s="112" t="n">
        <f aca="false">K168/H168*100</f>
        <v>0</v>
      </c>
      <c r="M168" s="71" t="n">
        <v>0</v>
      </c>
      <c r="N168" s="112" t="n">
        <f aca="false">M168/H168*100</f>
        <v>0</v>
      </c>
      <c r="O168" s="71" t="n">
        <v>6.95</v>
      </c>
      <c r="P168" s="71" t="n">
        <v>24.76</v>
      </c>
      <c r="Q168" s="153" t="s">
        <v>45</v>
      </c>
      <c r="R168" s="153" t="s">
        <v>1523</v>
      </c>
      <c r="T168" s="118" t="n">
        <v>8.5364</v>
      </c>
      <c r="AB168" s="12" t="n">
        <v>0</v>
      </c>
      <c r="AC168" s="46" t="s">
        <v>1816</v>
      </c>
      <c r="AD168" s="12"/>
      <c r="AE168" s="12"/>
    </row>
    <row r="169" customFormat="false" ht="15" hidden="false" customHeight="false" outlineLevel="0" collapsed="false">
      <c r="A169" s="71" t="s">
        <v>415</v>
      </c>
      <c r="B169" s="71" t="s">
        <v>1877</v>
      </c>
      <c r="C169" s="51" t="s">
        <v>280</v>
      </c>
      <c r="D169" s="71" t="s">
        <v>2005</v>
      </c>
      <c r="E169" s="71"/>
      <c r="F169" s="71"/>
      <c r="G169" s="71"/>
      <c r="H169" s="71"/>
      <c r="I169" s="71"/>
      <c r="J169" s="71"/>
      <c r="K169" s="71"/>
      <c r="M169" s="71"/>
      <c r="O169" s="71"/>
      <c r="P169" s="71"/>
      <c r="Q169" s="153" t="s">
        <v>45</v>
      </c>
      <c r="R169" s="153" t="s">
        <v>1523</v>
      </c>
      <c r="T169" s="118"/>
      <c r="AB169" s="12" t="n">
        <v>3.792</v>
      </c>
      <c r="AC169" s="46" t="s">
        <v>2007</v>
      </c>
      <c r="AD169" s="12" t="n">
        <v>24.18905</v>
      </c>
      <c r="AE169" s="12" t="n">
        <v>75.90419</v>
      </c>
    </row>
    <row r="170" customFormat="false" ht="15" hidden="false" customHeight="false" outlineLevel="0" collapsed="false">
      <c r="A170" s="71" t="s">
        <v>415</v>
      </c>
      <c r="B170" s="71" t="s">
        <v>1877</v>
      </c>
      <c r="C170" s="51" t="s">
        <v>280</v>
      </c>
      <c r="D170" s="71" t="s">
        <v>2008</v>
      </c>
      <c r="E170" s="71" t="s">
        <v>2009</v>
      </c>
      <c r="F170" s="71" t="n">
        <v>373.86</v>
      </c>
      <c r="G170" s="71" t="n">
        <v>16</v>
      </c>
      <c r="H170" s="71" t="n">
        <v>85</v>
      </c>
      <c r="I170" s="71" t="n">
        <v>41</v>
      </c>
      <c r="J170" s="71" t="n">
        <v>44</v>
      </c>
      <c r="K170" s="71" t="n">
        <v>0</v>
      </c>
      <c r="L170" s="112" t="n">
        <f aca="false">K170/H170*100</f>
        <v>0</v>
      </c>
      <c r="M170" s="71" t="n">
        <v>0</v>
      </c>
      <c r="N170" s="112" t="n">
        <f aca="false">M170/H170*100</f>
        <v>0</v>
      </c>
      <c r="O170" s="71" t="n">
        <v>4.24</v>
      </c>
      <c r="P170" s="71" t="n">
        <v>168.13</v>
      </c>
      <c r="Q170" s="153" t="s">
        <v>45</v>
      </c>
      <c r="R170" s="153" t="s">
        <v>1523</v>
      </c>
      <c r="T170" s="118" t="n">
        <v>4.3377</v>
      </c>
      <c r="AB170" s="12" t="n">
        <v>0</v>
      </c>
      <c r="AC170" s="46" t="s">
        <v>1816</v>
      </c>
      <c r="AD170" s="12"/>
      <c r="AE170" s="12"/>
    </row>
    <row r="171" customFormat="false" ht="15" hidden="false" customHeight="false" outlineLevel="0" collapsed="false">
      <c r="A171" s="71" t="s">
        <v>415</v>
      </c>
      <c r="B171" s="71" t="s">
        <v>1877</v>
      </c>
      <c r="C171" s="51" t="s">
        <v>280</v>
      </c>
      <c r="D171" s="71" t="s">
        <v>2010</v>
      </c>
      <c r="E171" s="71" t="s">
        <v>2011</v>
      </c>
      <c r="F171" s="71" t="n">
        <v>202.01</v>
      </c>
      <c r="G171" s="71" t="n">
        <v>5</v>
      </c>
      <c r="H171" s="71" t="n">
        <v>34</v>
      </c>
      <c r="I171" s="71" t="n">
        <v>18</v>
      </c>
      <c r="J171" s="71" t="n">
        <v>16</v>
      </c>
      <c r="K171" s="71" t="n">
        <v>32</v>
      </c>
      <c r="L171" s="112" t="n">
        <f aca="false">K171/H171*100</f>
        <v>94.1176470588235</v>
      </c>
      <c r="M171" s="71" t="n">
        <v>0</v>
      </c>
      <c r="N171" s="112" t="n">
        <f aca="false">M171/H171*100</f>
        <v>0</v>
      </c>
      <c r="O171" s="71" t="n">
        <v>5.12</v>
      </c>
      <c r="P171" s="71" t="n">
        <v>34.24</v>
      </c>
      <c r="Q171" s="153" t="s">
        <v>45</v>
      </c>
      <c r="R171" s="153" t="s">
        <v>1523</v>
      </c>
      <c r="T171" s="118" t="n">
        <v>4.8183</v>
      </c>
      <c r="AB171" s="12" t="n">
        <v>0</v>
      </c>
      <c r="AC171" s="46" t="s">
        <v>1816</v>
      </c>
      <c r="AD171" s="12"/>
      <c r="AE171" s="12"/>
    </row>
    <row r="172" customFormat="false" ht="15" hidden="false" customHeight="false" outlineLevel="0" collapsed="false">
      <c r="A172" s="71" t="s">
        <v>415</v>
      </c>
      <c r="B172" s="71" t="s">
        <v>1877</v>
      </c>
      <c r="C172" s="51" t="s">
        <v>280</v>
      </c>
      <c r="D172" s="71" t="s">
        <v>2012</v>
      </c>
      <c r="E172" s="71" t="s">
        <v>2013</v>
      </c>
      <c r="F172" s="71" t="n">
        <v>213.14</v>
      </c>
      <c r="G172" s="71" t="n">
        <v>111</v>
      </c>
      <c r="H172" s="71" t="n">
        <v>561</v>
      </c>
      <c r="I172" s="71" t="n">
        <v>291</v>
      </c>
      <c r="J172" s="71" t="n">
        <v>270</v>
      </c>
      <c r="K172" s="71" t="n">
        <v>60</v>
      </c>
      <c r="L172" s="112" t="n">
        <f aca="false">K172/H172*100</f>
        <v>10.6951871657754</v>
      </c>
      <c r="M172" s="71" t="n">
        <v>0</v>
      </c>
      <c r="N172" s="112" t="n">
        <f aca="false">M172/H172*100</f>
        <v>0</v>
      </c>
      <c r="O172" s="71" t="n">
        <v>41.85</v>
      </c>
      <c r="P172" s="71" t="n">
        <v>22.35</v>
      </c>
      <c r="Q172" s="153" t="s">
        <v>45</v>
      </c>
      <c r="R172" s="153" t="s">
        <v>1523</v>
      </c>
      <c r="T172" s="118" t="n">
        <v>39.09</v>
      </c>
      <c r="AB172" s="12" t="n">
        <v>0</v>
      </c>
      <c r="AC172" s="46" t="s">
        <v>1816</v>
      </c>
      <c r="AD172" s="12"/>
      <c r="AE172" s="12"/>
    </row>
    <row r="173" customFormat="false" ht="15" hidden="false" customHeight="false" outlineLevel="0" collapsed="false">
      <c r="A173" s="71" t="s">
        <v>415</v>
      </c>
      <c r="B173" s="71" t="s">
        <v>1877</v>
      </c>
      <c r="C173" s="51" t="s">
        <v>280</v>
      </c>
      <c r="D173" s="71" t="s">
        <v>2014</v>
      </c>
      <c r="E173" s="71" t="s">
        <v>2015</v>
      </c>
      <c r="F173" s="71" t="n">
        <v>678.42</v>
      </c>
      <c r="G173" s="71" t="n">
        <v>197</v>
      </c>
      <c r="H173" s="71" t="n">
        <v>965</v>
      </c>
      <c r="I173" s="71" t="n">
        <v>512</v>
      </c>
      <c r="J173" s="71" t="n">
        <v>453</v>
      </c>
      <c r="K173" s="71" t="n">
        <v>345</v>
      </c>
      <c r="L173" s="112" t="n">
        <f aca="false">K173/H173*100</f>
        <v>35.7512953367876</v>
      </c>
      <c r="M173" s="71" t="n">
        <v>0</v>
      </c>
      <c r="N173" s="112" t="n">
        <f aca="false">M173/H173*100</f>
        <v>0</v>
      </c>
      <c r="O173" s="71" t="n">
        <v>67.97</v>
      </c>
      <c r="P173" s="71" t="n">
        <v>116.7</v>
      </c>
      <c r="Q173" s="153" t="s">
        <v>45</v>
      </c>
      <c r="R173" s="153" t="s">
        <v>1523</v>
      </c>
      <c r="T173" s="118" t="n">
        <v>77.0164</v>
      </c>
      <c r="AB173" s="12" t="n">
        <v>0</v>
      </c>
      <c r="AC173" s="46" t="s">
        <v>1816</v>
      </c>
      <c r="AD173" s="12"/>
      <c r="AE173" s="12"/>
    </row>
    <row r="174" customFormat="false" ht="15" hidden="false" customHeight="false" outlineLevel="0" collapsed="false">
      <c r="A174" s="71" t="s">
        <v>415</v>
      </c>
      <c r="B174" s="71" t="s">
        <v>1877</v>
      </c>
      <c r="C174" s="51" t="s">
        <v>2016</v>
      </c>
      <c r="D174" s="72" t="s">
        <v>2017</v>
      </c>
      <c r="E174" s="71" t="s">
        <v>2018</v>
      </c>
      <c r="F174" s="71" t="n">
        <v>1066.6</v>
      </c>
      <c r="G174" s="71" t="n">
        <v>300</v>
      </c>
      <c r="H174" s="71" t="n">
        <v>1451</v>
      </c>
      <c r="I174" s="71" t="n">
        <v>747</v>
      </c>
      <c r="J174" s="71" t="n">
        <v>704</v>
      </c>
      <c r="K174" s="71" t="n">
        <v>351</v>
      </c>
      <c r="L174" s="112" t="n">
        <f aca="false">K174/H174*100</f>
        <v>24.1902136457615</v>
      </c>
      <c r="M174" s="71" t="n">
        <v>0</v>
      </c>
      <c r="N174" s="112" t="n">
        <f aca="false">M174/H174*100</f>
        <v>0</v>
      </c>
      <c r="O174" s="71" t="n">
        <v>152.35</v>
      </c>
      <c r="P174" s="71" t="n">
        <v>188.25</v>
      </c>
      <c r="Q174" s="153" t="s">
        <v>43</v>
      </c>
      <c r="R174" s="153" t="s">
        <v>2019</v>
      </c>
      <c r="T174" s="118" t="n">
        <v>152.6294</v>
      </c>
      <c r="AB174" s="12" t="n">
        <v>2</v>
      </c>
      <c r="AC174" s="46" t="s">
        <v>859</v>
      </c>
      <c r="AD174" s="12" t="n">
        <v>24.044025</v>
      </c>
      <c r="AE174" s="12" t="n">
        <v>76.003676</v>
      </c>
    </row>
    <row r="175" customFormat="false" ht="15" hidden="false" customHeight="false" outlineLevel="0" collapsed="false">
      <c r="A175" s="71" t="s">
        <v>415</v>
      </c>
      <c r="B175" s="71" t="s">
        <v>1877</v>
      </c>
      <c r="C175" s="51" t="s">
        <v>2016</v>
      </c>
      <c r="D175" s="71" t="s">
        <v>2020</v>
      </c>
      <c r="E175" s="71" t="s">
        <v>2021</v>
      </c>
      <c r="F175" s="71" t="n">
        <v>251.39</v>
      </c>
      <c r="G175" s="71" t="n">
        <v>37</v>
      </c>
      <c r="H175" s="71" t="n">
        <v>158</v>
      </c>
      <c r="I175" s="71" t="n">
        <v>79</v>
      </c>
      <c r="J175" s="71" t="n">
        <v>79</v>
      </c>
      <c r="K175" s="71" t="n">
        <v>0</v>
      </c>
      <c r="L175" s="112" t="n">
        <f aca="false">K175/H175*100</f>
        <v>0</v>
      </c>
      <c r="M175" s="71" t="n">
        <v>0</v>
      </c>
      <c r="N175" s="112" t="n">
        <f aca="false">M175/H175*100</f>
        <v>0</v>
      </c>
      <c r="O175" s="71" t="n">
        <v>40.65</v>
      </c>
      <c r="P175" s="71" t="n">
        <v>0</v>
      </c>
      <c r="Q175" s="153" t="s">
        <v>43</v>
      </c>
      <c r="R175" s="153" t="s">
        <v>2019</v>
      </c>
      <c r="T175" s="118" t="n">
        <v>40.6583</v>
      </c>
      <c r="AB175" s="12" t="n">
        <v>2</v>
      </c>
      <c r="AC175" s="46" t="s">
        <v>859</v>
      </c>
      <c r="AD175" s="12" t="n">
        <v>24.020373</v>
      </c>
      <c r="AE175" s="12" t="n">
        <v>75.971102</v>
      </c>
    </row>
    <row r="176" customFormat="false" ht="15" hidden="false" customHeight="false" outlineLevel="0" collapsed="false">
      <c r="A176" s="71" t="s">
        <v>415</v>
      </c>
      <c r="B176" s="71" t="s">
        <v>1877</v>
      </c>
      <c r="C176" s="51" t="s">
        <v>2016</v>
      </c>
      <c r="D176" s="71" t="s">
        <v>2022</v>
      </c>
      <c r="E176" s="71" t="s">
        <v>2023</v>
      </c>
      <c r="F176" s="71" t="n">
        <v>1009.82</v>
      </c>
      <c r="G176" s="71" t="n">
        <v>225</v>
      </c>
      <c r="H176" s="71" t="n">
        <v>1097</v>
      </c>
      <c r="I176" s="71" t="n">
        <v>581</v>
      </c>
      <c r="J176" s="71" t="n">
        <v>516</v>
      </c>
      <c r="K176" s="71" t="n">
        <v>141</v>
      </c>
      <c r="L176" s="112" t="n">
        <f aca="false">K176/H176*100</f>
        <v>12.8532360984503</v>
      </c>
      <c r="M176" s="71" t="n">
        <v>0</v>
      </c>
      <c r="N176" s="112" t="n">
        <f aca="false">M176/H176*100</f>
        <v>0</v>
      </c>
      <c r="O176" s="71" t="n">
        <v>117.83</v>
      </c>
      <c r="P176" s="71" t="n">
        <v>0</v>
      </c>
      <c r="Q176" s="153" t="s">
        <v>43</v>
      </c>
      <c r="R176" s="153" t="s">
        <v>2019</v>
      </c>
      <c r="T176" s="118" t="n">
        <v>117.8517</v>
      </c>
      <c r="AB176" s="12" t="n">
        <v>1</v>
      </c>
      <c r="AC176" s="46" t="s">
        <v>859</v>
      </c>
      <c r="AD176" s="12" t="n">
        <v>24.027745</v>
      </c>
      <c r="AE176" s="12" t="n">
        <v>76.003466</v>
      </c>
    </row>
    <row r="177" customFormat="false" ht="15" hidden="false" customHeight="false" outlineLevel="0" collapsed="false">
      <c r="A177" s="71" t="s">
        <v>415</v>
      </c>
      <c r="B177" s="71" t="s">
        <v>1877</v>
      </c>
      <c r="C177" s="51" t="s">
        <v>2016</v>
      </c>
      <c r="D177" s="71" t="s">
        <v>2024</v>
      </c>
      <c r="E177" s="71" t="s">
        <v>2025</v>
      </c>
      <c r="F177" s="71" t="n">
        <v>385</v>
      </c>
      <c r="G177" s="71" t="n">
        <v>0</v>
      </c>
      <c r="H177" s="71" t="n">
        <v>0</v>
      </c>
      <c r="I177" s="71" t="n">
        <v>0</v>
      </c>
      <c r="J177" s="71" t="n">
        <v>0</v>
      </c>
      <c r="K177" s="71" t="n">
        <v>0</v>
      </c>
      <c r="M177" s="71" t="n">
        <v>0</v>
      </c>
      <c r="O177" s="71" t="n">
        <v>0</v>
      </c>
      <c r="P177" s="71" t="n">
        <v>85.19</v>
      </c>
      <c r="Q177" s="117"/>
      <c r="R177" s="117"/>
      <c r="AB177" s="10"/>
      <c r="AD177" s="10"/>
      <c r="AE177" s="10"/>
    </row>
    <row r="178" customFormat="false" ht="15" hidden="false" customHeight="false" outlineLevel="0" collapsed="false">
      <c r="A178" s="71" t="s">
        <v>415</v>
      </c>
      <c r="B178" s="71" t="s">
        <v>1877</v>
      </c>
      <c r="C178" s="51" t="s">
        <v>2016</v>
      </c>
      <c r="D178" s="71" t="s">
        <v>2026</v>
      </c>
      <c r="E178" s="71" t="s">
        <v>2027</v>
      </c>
      <c r="F178" s="71" t="n">
        <v>918.79</v>
      </c>
      <c r="G178" s="71" t="n">
        <v>265</v>
      </c>
      <c r="H178" s="71" t="n">
        <v>1254</v>
      </c>
      <c r="I178" s="71" t="n">
        <v>638</v>
      </c>
      <c r="J178" s="71" t="n">
        <v>616</v>
      </c>
      <c r="K178" s="71" t="n">
        <v>422</v>
      </c>
      <c r="L178" s="112" t="n">
        <f aca="false">K178/H178*100</f>
        <v>33.652312599681</v>
      </c>
      <c r="M178" s="71" t="n">
        <v>0</v>
      </c>
      <c r="N178" s="112" t="n">
        <f aca="false">M178/H178*100</f>
        <v>0</v>
      </c>
      <c r="O178" s="71" t="n">
        <v>159.87</v>
      </c>
      <c r="P178" s="71" t="n">
        <v>29.24</v>
      </c>
      <c r="Q178" s="153" t="s">
        <v>43</v>
      </c>
      <c r="R178" s="153" t="s">
        <v>2019</v>
      </c>
      <c r="T178" s="118" t="n">
        <v>174.9375</v>
      </c>
      <c r="AB178" s="12" t="n">
        <v>2</v>
      </c>
      <c r="AC178" s="46" t="s">
        <v>859</v>
      </c>
      <c r="AD178" s="12" t="n">
        <v>24.076271</v>
      </c>
      <c r="AE178" s="12" t="n">
        <v>75.971855</v>
      </c>
    </row>
    <row r="179" customFormat="false" ht="15" hidden="false" customHeight="false" outlineLevel="0" collapsed="false">
      <c r="A179" s="71" t="s">
        <v>415</v>
      </c>
      <c r="B179" s="71" t="s">
        <v>1877</v>
      </c>
      <c r="C179" s="51" t="s">
        <v>2016</v>
      </c>
      <c r="D179" s="71" t="s">
        <v>2028</v>
      </c>
      <c r="E179" s="71" t="s">
        <v>2029</v>
      </c>
      <c r="F179" s="71" t="n">
        <v>64.4</v>
      </c>
      <c r="G179" s="71" t="n">
        <v>0</v>
      </c>
      <c r="H179" s="71" t="n">
        <v>0</v>
      </c>
      <c r="I179" s="71" t="n">
        <v>0</v>
      </c>
      <c r="J179" s="71" t="n">
        <v>0</v>
      </c>
      <c r="K179" s="71" t="n">
        <v>0</v>
      </c>
      <c r="M179" s="71" t="n">
        <v>0</v>
      </c>
      <c r="O179" s="71" t="n">
        <v>0</v>
      </c>
      <c r="P179" s="71" t="n">
        <v>24.07</v>
      </c>
      <c r="Q179" s="117"/>
      <c r="R179" s="117"/>
      <c r="AB179" s="10"/>
      <c r="AD179" s="10"/>
      <c r="AE179" s="10"/>
    </row>
    <row r="180" customFormat="false" ht="15" hidden="false" customHeight="false" outlineLevel="0" collapsed="false">
      <c r="A180" s="71" t="s">
        <v>415</v>
      </c>
      <c r="B180" s="71" t="s">
        <v>1877</v>
      </c>
      <c r="C180" s="51" t="s">
        <v>2030</v>
      </c>
      <c r="D180" s="72" t="s">
        <v>2031</v>
      </c>
      <c r="E180" s="71" t="s">
        <v>2032</v>
      </c>
      <c r="F180" s="71" t="n">
        <v>1558.39</v>
      </c>
      <c r="G180" s="71" t="n">
        <v>753</v>
      </c>
      <c r="H180" s="71" t="n">
        <v>3783</v>
      </c>
      <c r="I180" s="71" t="n">
        <v>1975</v>
      </c>
      <c r="J180" s="71" t="n">
        <v>1808</v>
      </c>
      <c r="K180" s="71" t="n">
        <v>886</v>
      </c>
      <c r="L180" s="112" t="n">
        <f aca="false">K180/H180*100</f>
        <v>23.4205656886069</v>
      </c>
      <c r="M180" s="71" t="n">
        <v>173</v>
      </c>
      <c r="N180" s="112" t="n">
        <f aca="false">M180/H180*100</f>
        <v>4.57309014010045</v>
      </c>
      <c r="O180" s="71" t="n">
        <v>100.03</v>
      </c>
      <c r="P180" s="71" t="n">
        <v>0</v>
      </c>
      <c r="Q180" s="153" t="s">
        <v>43</v>
      </c>
      <c r="R180" s="153" t="s">
        <v>285</v>
      </c>
      <c r="T180" s="118" t="n">
        <v>103.1567</v>
      </c>
      <c r="AB180" s="12" t="n">
        <v>0</v>
      </c>
      <c r="AC180" s="46" t="s">
        <v>910</v>
      </c>
      <c r="AD180" s="12" t="n">
        <v>24.2586</v>
      </c>
      <c r="AE180" s="12" t="n">
        <v>75.9901</v>
      </c>
    </row>
    <row r="181" customFormat="false" ht="15" hidden="false" customHeight="false" outlineLevel="0" collapsed="false">
      <c r="A181" s="71" t="s">
        <v>415</v>
      </c>
      <c r="B181" s="71" t="s">
        <v>1877</v>
      </c>
      <c r="C181" s="51" t="s">
        <v>2030</v>
      </c>
      <c r="D181" s="71" t="s">
        <v>1872</v>
      </c>
      <c r="E181" s="71" t="s">
        <v>2033</v>
      </c>
      <c r="F181" s="71" t="n">
        <v>440.34</v>
      </c>
      <c r="G181" s="71" t="n">
        <v>92</v>
      </c>
      <c r="H181" s="71" t="n">
        <v>460</v>
      </c>
      <c r="I181" s="71" t="n">
        <v>234</v>
      </c>
      <c r="J181" s="71" t="n">
        <v>226</v>
      </c>
      <c r="K181" s="71" t="n">
        <v>106</v>
      </c>
      <c r="L181" s="112" t="n">
        <f aca="false">K181/H181*100</f>
        <v>23.0434782608696</v>
      </c>
      <c r="M181" s="71" t="n">
        <v>140</v>
      </c>
      <c r="N181" s="112" t="n">
        <f aca="false">M181/H181*100</f>
        <v>30.4347826086957</v>
      </c>
      <c r="O181" s="71" t="n">
        <v>32.19</v>
      </c>
      <c r="P181" s="71" t="n">
        <v>0</v>
      </c>
      <c r="Q181" s="153" t="s">
        <v>43</v>
      </c>
      <c r="R181" s="153" t="s">
        <v>285</v>
      </c>
      <c r="T181" s="118" t="n">
        <v>38.3693</v>
      </c>
      <c r="AB181" s="12" t="n">
        <v>0</v>
      </c>
      <c r="AC181" s="46" t="s">
        <v>910</v>
      </c>
      <c r="AD181" s="12"/>
      <c r="AE181" s="12"/>
    </row>
    <row r="182" customFormat="false" ht="15" hidden="false" customHeight="false" outlineLevel="0" collapsed="false">
      <c r="A182" s="71" t="s">
        <v>415</v>
      </c>
      <c r="B182" s="71" t="s">
        <v>1877</v>
      </c>
      <c r="C182" s="51" t="s">
        <v>2030</v>
      </c>
      <c r="D182" s="71" t="s">
        <v>2034</v>
      </c>
      <c r="E182" s="71" t="s">
        <v>2035</v>
      </c>
      <c r="F182" s="71" t="n">
        <v>457.6</v>
      </c>
      <c r="G182" s="71" t="n">
        <v>157</v>
      </c>
      <c r="H182" s="71" t="n">
        <v>735</v>
      </c>
      <c r="I182" s="71" t="n">
        <v>388</v>
      </c>
      <c r="J182" s="71" t="n">
        <v>347</v>
      </c>
      <c r="K182" s="71" t="n">
        <v>76</v>
      </c>
      <c r="L182" s="112" t="n">
        <f aca="false">K182/H182*100</f>
        <v>10.3401360544218</v>
      </c>
      <c r="M182" s="71" t="n">
        <v>547</v>
      </c>
      <c r="N182" s="112" t="n">
        <f aca="false">M182/H182*100</f>
        <v>74.421768707483</v>
      </c>
      <c r="O182" s="71" t="n">
        <v>25.86</v>
      </c>
      <c r="P182" s="71" t="n">
        <v>0</v>
      </c>
      <c r="Q182" s="153" t="s">
        <v>43</v>
      </c>
      <c r="R182" s="153" t="s">
        <v>285</v>
      </c>
      <c r="T182" s="118" t="n">
        <v>29.4916</v>
      </c>
      <c r="AB182" s="12" t="n">
        <v>0</v>
      </c>
      <c r="AC182" s="46" t="s">
        <v>910</v>
      </c>
      <c r="AD182" s="12" t="n">
        <v>24.2752</v>
      </c>
      <c r="AE182" s="12" t="n">
        <v>75.9924</v>
      </c>
    </row>
    <row r="183" customFormat="false" ht="15" hidden="false" customHeight="false" outlineLevel="0" collapsed="false">
      <c r="A183" s="71" t="s">
        <v>415</v>
      </c>
      <c r="B183" s="71" t="s">
        <v>1877</v>
      </c>
      <c r="C183" s="51" t="s">
        <v>2036</v>
      </c>
      <c r="D183" s="72" t="s">
        <v>465</v>
      </c>
      <c r="E183" s="71" t="s">
        <v>2037</v>
      </c>
      <c r="F183" s="71" t="n">
        <v>540.05</v>
      </c>
      <c r="G183" s="71" t="n">
        <v>436</v>
      </c>
      <c r="H183" s="71" t="n">
        <v>2413</v>
      </c>
      <c r="I183" s="71" t="n">
        <v>1229</v>
      </c>
      <c r="J183" s="71" t="n">
        <v>1184</v>
      </c>
      <c r="K183" s="71" t="n">
        <v>416</v>
      </c>
      <c r="L183" s="112" t="n">
        <f aca="false">K183/H183*100</f>
        <v>17.2399502693742</v>
      </c>
      <c r="M183" s="71" t="n">
        <v>0</v>
      </c>
      <c r="N183" s="112" t="n">
        <f aca="false">M183/H183*100</f>
        <v>0</v>
      </c>
      <c r="O183" s="71" t="n">
        <v>0</v>
      </c>
      <c r="P183" s="71" t="n">
        <v>0</v>
      </c>
      <c r="Q183" s="153" t="s">
        <v>45</v>
      </c>
      <c r="R183" s="153" t="s">
        <v>2038</v>
      </c>
      <c r="T183" s="118"/>
      <c r="AB183" s="12"/>
      <c r="AC183" s="46" t="s">
        <v>859</v>
      </c>
      <c r="AD183" s="12"/>
      <c r="AE183" s="12"/>
    </row>
    <row r="184" customFormat="false" ht="15" hidden="false" customHeight="false" outlineLevel="0" collapsed="false">
      <c r="A184" s="71" t="s">
        <v>415</v>
      </c>
      <c r="B184" s="71" t="s">
        <v>1877</v>
      </c>
      <c r="C184" s="51" t="s">
        <v>2036</v>
      </c>
      <c r="D184" s="71" t="s">
        <v>371</v>
      </c>
      <c r="E184" s="71" t="s">
        <v>2039</v>
      </c>
      <c r="F184" s="71" t="n">
        <v>253.95</v>
      </c>
      <c r="G184" s="71" t="n">
        <v>44</v>
      </c>
      <c r="H184" s="71" t="n">
        <v>236</v>
      </c>
      <c r="I184" s="71" t="n">
        <v>126</v>
      </c>
      <c r="J184" s="71" t="n">
        <v>110</v>
      </c>
      <c r="K184" s="71" t="n">
        <v>0</v>
      </c>
      <c r="L184" s="112" t="n">
        <f aca="false">K184/H184*100</f>
        <v>0</v>
      </c>
      <c r="M184" s="71" t="n">
        <v>0</v>
      </c>
      <c r="N184" s="112" t="n">
        <f aca="false">M184/H184*100</f>
        <v>0</v>
      </c>
      <c r="O184" s="71" t="n">
        <v>15.63</v>
      </c>
      <c r="P184" s="71" t="n">
        <v>0</v>
      </c>
      <c r="Q184" s="153" t="s">
        <v>150</v>
      </c>
      <c r="R184" s="153" t="s">
        <v>2038</v>
      </c>
      <c r="T184" s="118" t="n">
        <v>15.7953</v>
      </c>
      <c r="AB184" s="12" t="n">
        <v>0</v>
      </c>
      <c r="AC184" s="46" t="s">
        <v>859</v>
      </c>
      <c r="AD184" s="12"/>
      <c r="AE184" s="12"/>
    </row>
    <row r="185" customFormat="false" ht="15" hidden="false" customHeight="false" outlineLevel="0" collapsed="false">
      <c r="A185" s="71" t="s">
        <v>415</v>
      </c>
      <c r="B185" s="71" t="s">
        <v>1877</v>
      </c>
      <c r="C185" s="51" t="s">
        <v>2036</v>
      </c>
      <c r="D185" s="71" t="s">
        <v>2040</v>
      </c>
      <c r="E185" s="71" t="s">
        <v>2041</v>
      </c>
      <c r="F185" s="71" t="n">
        <v>420.18</v>
      </c>
      <c r="G185" s="71" t="n">
        <v>182</v>
      </c>
      <c r="H185" s="71" t="n">
        <v>1111</v>
      </c>
      <c r="I185" s="71" t="n">
        <v>559</v>
      </c>
      <c r="J185" s="71" t="n">
        <v>552</v>
      </c>
      <c r="K185" s="71" t="n">
        <v>56</v>
      </c>
      <c r="L185" s="112" t="n">
        <f aca="false">K185/H185*100</f>
        <v>5.04050405040504</v>
      </c>
      <c r="M185" s="71" t="n">
        <v>0</v>
      </c>
      <c r="N185" s="112" t="n">
        <f aca="false">M185/H185*100</f>
        <v>0</v>
      </c>
      <c r="O185" s="71" t="n">
        <v>8.65</v>
      </c>
      <c r="P185" s="71" t="n">
        <v>0</v>
      </c>
      <c r="Q185" s="153" t="s">
        <v>45</v>
      </c>
      <c r="R185" s="153" t="s">
        <v>2038</v>
      </c>
      <c r="T185" s="118" t="n">
        <v>12.2164</v>
      </c>
      <c r="AB185" s="12" t="n">
        <v>0</v>
      </c>
      <c r="AC185" s="46" t="s">
        <v>859</v>
      </c>
      <c r="AD185" s="12"/>
      <c r="AE185" s="12"/>
    </row>
    <row r="186" customFormat="false" ht="15" hidden="false" customHeight="false" outlineLevel="0" collapsed="false">
      <c r="A186" s="71" t="s">
        <v>415</v>
      </c>
      <c r="B186" s="71" t="s">
        <v>1877</v>
      </c>
      <c r="C186" s="51" t="s">
        <v>2036</v>
      </c>
      <c r="D186" s="71" t="s">
        <v>2040</v>
      </c>
      <c r="E186" s="71"/>
      <c r="F186" s="71"/>
      <c r="G186" s="71"/>
      <c r="H186" s="71"/>
      <c r="I186" s="71"/>
      <c r="J186" s="71"/>
      <c r="K186" s="71"/>
      <c r="M186" s="71"/>
      <c r="O186" s="71"/>
      <c r="P186" s="71"/>
      <c r="Q186" s="153" t="s">
        <v>45</v>
      </c>
      <c r="R186" s="153" t="s">
        <v>2038</v>
      </c>
      <c r="T186" s="118"/>
      <c r="AB186" s="12" t="n">
        <v>4</v>
      </c>
      <c r="AC186" s="46" t="s">
        <v>859</v>
      </c>
      <c r="AD186" s="12" t="n">
        <v>24.21038</v>
      </c>
      <c r="AE186" s="12" t="n">
        <v>76.10346</v>
      </c>
    </row>
    <row r="187" customFormat="false" ht="15" hidden="false" customHeight="false" outlineLevel="0" collapsed="false">
      <c r="A187" s="71" t="s">
        <v>415</v>
      </c>
      <c r="B187" s="71" t="s">
        <v>1877</v>
      </c>
      <c r="C187" s="51" t="s">
        <v>2036</v>
      </c>
      <c r="D187" s="71" t="s">
        <v>2042</v>
      </c>
      <c r="E187" s="71" t="s">
        <v>2043</v>
      </c>
      <c r="F187" s="71" t="n">
        <v>317.31</v>
      </c>
      <c r="G187" s="71" t="n">
        <v>108</v>
      </c>
      <c r="H187" s="71" t="n">
        <v>616</v>
      </c>
      <c r="I187" s="71" t="n">
        <v>317</v>
      </c>
      <c r="J187" s="71" t="n">
        <v>299</v>
      </c>
      <c r="K187" s="71" t="n">
        <v>58</v>
      </c>
      <c r="L187" s="112" t="n">
        <f aca="false">K187/H187*100</f>
        <v>9.41558441558442</v>
      </c>
      <c r="M187" s="71" t="n">
        <v>6</v>
      </c>
      <c r="N187" s="112" t="n">
        <f aca="false">M187/H187*100</f>
        <v>0.974025974025974</v>
      </c>
      <c r="O187" s="71" t="n">
        <v>25.62</v>
      </c>
      <c r="P187" s="71" t="n">
        <v>0</v>
      </c>
      <c r="Q187" s="153" t="s">
        <v>45</v>
      </c>
      <c r="R187" s="153" t="s">
        <v>2038</v>
      </c>
      <c r="T187" s="118" t="n">
        <v>25.748</v>
      </c>
      <c r="AB187" s="12" t="n">
        <v>0</v>
      </c>
      <c r="AC187" s="46" t="s">
        <v>859</v>
      </c>
      <c r="AD187" s="12"/>
      <c r="AE187" s="12"/>
    </row>
    <row r="188" customFormat="false" ht="15" hidden="false" customHeight="false" outlineLevel="0" collapsed="false">
      <c r="A188" s="71" t="s">
        <v>415</v>
      </c>
      <c r="B188" s="71" t="s">
        <v>1877</v>
      </c>
      <c r="C188" s="51" t="s">
        <v>2036</v>
      </c>
      <c r="D188" s="71" t="s">
        <v>2042</v>
      </c>
      <c r="E188" s="71"/>
      <c r="F188" s="71"/>
      <c r="G188" s="71"/>
      <c r="H188" s="71"/>
      <c r="I188" s="71"/>
      <c r="J188" s="71"/>
      <c r="K188" s="71"/>
      <c r="M188" s="71"/>
      <c r="O188" s="71"/>
      <c r="P188" s="71"/>
      <c r="Q188" s="153" t="s">
        <v>45</v>
      </c>
      <c r="R188" s="153" t="s">
        <v>2038</v>
      </c>
      <c r="AB188" s="12" t="n">
        <v>14</v>
      </c>
      <c r="AC188" s="46" t="s">
        <v>859</v>
      </c>
      <c r="AD188" s="12" t="n">
        <v>24.214587</v>
      </c>
      <c r="AE188" s="12" t="n">
        <v>76.103554</v>
      </c>
    </row>
    <row r="189" customFormat="false" ht="15" hidden="false" customHeight="false" outlineLevel="0" collapsed="false">
      <c r="A189" s="71" t="s">
        <v>415</v>
      </c>
      <c r="B189" s="71" t="s">
        <v>1877</v>
      </c>
      <c r="C189" s="51" t="s">
        <v>2036</v>
      </c>
      <c r="D189" s="71" t="s">
        <v>2042</v>
      </c>
      <c r="E189" s="71"/>
      <c r="F189" s="71"/>
      <c r="G189" s="71"/>
      <c r="H189" s="71"/>
      <c r="I189" s="71"/>
      <c r="J189" s="71"/>
      <c r="K189" s="71"/>
      <c r="M189" s="71"/>
      <c r="O189" s="71"/>
      <c r="P189" s="71"/>
      <c r="Q189" s="153" t="s">
        <v>43</v>
      </c>
      <c r="R189" s="153" t="s">
        <v>2038</v>
      </c>
      <c r="AB189" s="12" t="n">
        <v>2</v>
      </c>
      <c r="AC189" s="46" t="s">
        <v>859</v>
      </c>
      <c r="AD189" s="12" t="n">
        <v>24.21831</v>
      </c>
      <c r="AE189" s="12" t="n">
        <v>76.10333</v>
      </c>
    </row>
    <row r="190" customFormat="false" ht="15" hidden="false" customHeight="false" outlineLevel="0" collapsed="false">
      <c r="A190" s="71" t="s">
        <v>415</v>
      </c>
      <c r="B190" s="71" t="s">
        <v>1877</v>
      </c>
      <c r="C190" s="51" t="s">
        <v>2036</v>
      </c>
      <c r="D190" s="71" t="s">
        <v>2042</v>
      </c>
      <c r="E190" s="71"/>
      <c r="F190" s="71"/>
      <c r="G190" s="71"/>
      <c r="H190" s="71"/>
      <c r="I190" s="71"/>
      <c r="J190" s="71"/>
      <c r="K190" s="71"/>
      <c r="M190" s="71"/>
      <c r="O190" s="71"/>
      <c r="P190" s="71"/>
      <c r="Q190" s="153" t="s">
        <v>43</v>
      </c>
      <c r="R190" s="153" t="s">
        <v>2038</v>
      </c>
      <c r="AB190" s="12" t="n">
        <v>2.8</v>
      </c>
      <c r="AC190" s="46" t="s">
        <v>859</v>
      </c>
      <c r="AD190" s="12" t="n">
        <v>24.21822</v>
      </c>
      <c r="AE190" s="12" t="n">
        <v>76.10336</v>
      </c>
    </row>
    <row r="191" customFormat="false" ht="15" hidden="false" customHeight="false" outlineLevel="0" collapsed="false">
      <c r="A191" s="71" t="s">
        <v>415</v>
      </c>
      <c r="B191" s="71" t="s">
        <v>1877</v>
      </c>
      <c r="C191" s="51" t="s">
        <v>2036</v>
      </c>
      <c r="D191" s="71" t="s">
        <v>2044</v>
      </c>
      <c r="E191" s="71" t="s">
        <v>2045</v>
      </c>
      <c r="F191" s="71" t="n">
        <v>409.53</v>
      </c>
      <c r="G191" s="71" t="n">
        <v>2</v>
      </c>
      <c r="H191" s="71" t="n">
        <v>7</v>
      </c>
      <c r="I191" s="71" t="n">
        <v>4</v>
      </c>
      <c r="J191" s="71" t="n">
        <v>3</v>
      </c>
      <c r="K191" s="71" t="n">
        <v>0</v>
      </c>
      <c r="L191" s="112" t="n">
        <f aca="false">K191/H191*100</f>
        <v>0</v>
      </c>
      <c r="M191" s="71" t="n">
        <v>0</v>
      </c>
      <c r="N191" s="112" t="n">
        <f aca="false">M191/H191*100</f>
        <v>0</v>
      </c>
      <c r="O191" s="71" t="n">
        <v>0</v>
      </c>
      <c r="P191" s="71" t="n">
        <v>0</v>
      </c>
      <c r="Q191" s="117"/>
      <c r="R191" s="117"/>
      <c r="AB191" s="10"/>
      <c r="AD191" s="10"/>
      <c r="AE191" s="10"/>
    </row>
    <row r="192" customFormat="false" ht="15" hidden="false" customHeight="false" outlineLevel="0" collapsed="false">
      <c r="A192" s="71" t="s">
        <v>415</v>
      </c>
      <c r="B192" s="71" t="s">
        <v>1877</v>
      </c>
      <c r="C192" s="51" t="s">
        <v>2036</v>
      </c>
      <c r="D192" s="71" t="s">
        <v>2046</v>
      </c>
      <c r="E192" s="71" t="s">
        <v>2047</v>
      </c>
      <c r="F192" s="71" t="n">
        <v>311.03</v>
      </c>
      <c r="G192" s="71" t="n">
        <v>46</v>
      </c>
      <c r="H192" s="71" t="n">
        <v>271</v>
      </c>
      <c r="I192" s="71" t="n">
        <v>143</v>
      </c>
      <c r="J192" s="71" t="n">
        <v>128</v>
      </c>
      <c r="K192" s="71" t="n">
        <v>49</v>
      </c>
      <c r="L192" s="112" t="n">
        <f aca="false">K192/H192*100</f>
        <v>18.0811808118081</v>
      </c>
      <c r="M192" s="71" t="n">
        <v>0</v>
      </c>
      <c r="N192" s="112" t="n">
        <f aca="false">M192/H192*100</f>
        <v>0</v>
      </c>
      <c r="O192" s="71" t="n">
        <v>28.86</v>
      </c>
      <c r="P192" s="71" t="n">
        <v>0</v>
      </c>
      <c r="Q192" s="153" t="s">
        <v>45</v>
      </c>
      <c r="R192" s="153" t="s">
        <v>2038</v>
      </c>
      <c r="T192" s="118" t="n">
        <v>22.9152</v>
      </c>
      <c r="AB192" s="12" t="n">
        <v>1</v>
      </c>
      <c r="AC192" s="46" t="s">
        <v>859</v>
      </c>
      <c r="AD192" s="12" t="n">
        <v>24.260656</v>
      </c>
      <c r="AE192" s="12" t="n">
        <v>76.076875</v>
      </c>
    </row>
    <row r="193" customFormat="false" ht="15" hidden="false" customHeight="false" outlineLevel="0" collapsed="false">
      <c r="A193" s="71" t="s">
        <v>415</v>
      </c>
      <c r="B193" s="71" t="s">
        <v>1877</v>
      </c>
      <c r="C193" s="51" t="s">
        <v>2036</v>
      </c>
      <c r="D193" s="71" t="s">
        <v>96</v>
      </c>
      <c r="E193" s="71" t="s">
        <v>2048</v>
      </c>
      <c r="F193" s="71" t="n">
        <v>512.29</v>
      </c>
      <c r="G193" s="71" t="n">
        <v>68</v>
      </c>
      <c r="H193" s="71" t="n">
        <v>401</v>
      </c>
      <c r="I193" s="71" t="n">
        <v>213</v>
      </c>
      <c r="J193" s="71" t="n">
        <v>188</v>
      </c>
      <c r="K193" s="71" t="n">
        <v>68</v>
      </c>
      <c r="L193" s="112" t="n">
        <f aca="false">K193/H193*100</f>
        <v>16.9576059850374</v>
      </c>
      <c r="M193" s="71" t="n">
        <v>0</v>
      </c>
      <c r="N193" s="112" t="n">
        <f aca="false">M193/H193*100</f>
        <v>0</v>
      </c>
      <c r="O193" s="71" t="n">
        <v>46.51</v>
      </c>
      <c r="P193" s="71" t="n">
        <v>0</v>
      </c>
      <c r="Q193" s="153" t="s">
        <v>45</v>
      </c>
      <c r="R193" s="153" t="s">
        <v>2038</v>
      </c>
      <c r="T193" s="118" t="n">
        <v>46.5134</v>
      </c>
      <c r="AB193" s="12" t="n">
        <v>1.5</v>
      </c>
      <c r="AC193" s="46" t="s">
        <v>859</v>
      </c>
      <c r="AD193" s="12" t="n">
        <v>24.27827</v>
      </c>
      <c r="AE193" s="12" t="n">
        <v>76.093338</v>
      </c>
    </row>
    <row r="194" customFormat="false" ht="15" hidden="false" customHeight="false" outlineLevel="0" collapsed="false">
      <c r="A194" s="71" t="s">
        <v>415</v>
      </c>
      <c r="B194" s="71" t="s">
        <v>1877</v>
      </c>
      <c r="C194" s="51" t="s">
        <v>2049</v>
      </c>
      <c r="D194" s="72" t="s">
        <v>2050</v>
      </c>
      <c r="E194" s="71" t="s">
        <v>2051</v>
      </c>
      <c r="F194" s="71" t="n">
        <v>1485.86</v>
      </c>
      <c r="G194" s="71" t="n">
        <v>585</v>
      </c>
      <c r="H194" s="71" t="n">
        <v>3117</v>
      </c>
      <c r="I194" s="71" t="n">
        <v>1591</v>
      </c>
      <c r="J194" s="71" t="n">
        <v>1526</v>
      </c>
      <c r="K194" s="71" t="n">
        <v>270</v>
      </c>
      <c r="L194" s="112" t="n">
        <f aca="false">K194/H194*100</f>
        <v>8.66217516843118</v>
      </c>
      <c r="M194" s="71" t="n">
        <v>653</v>
      </c>
      <c r="N194" s="112" t="n">
        <f aca="false">M194/H194*100</f>
        <v>20.9496310555021</v>
      </c>
      <c r="O194" s="71" t="n">
        <v>19.35</v>
      </c>
      <c r="P194" s="71" t="n">
        <v>195.07</v>
      </c>
      <c r="Q194" s="153" t="s">
        <v>43</v>
      </c>
      <c r="R194" s="153" t="s">
        <v>285</v>
      </c>
      <c r="T194" s="118" t="n">
        <v>22.7255</v>
      </c>
      <c r="AB194" s="12" t="n">
        <v>0</v>
      </c>
      <c r="AC194" s="46" t="s">
        <v>910</v>
      </c>
      <c r="AD194" s="12" t="n">
        <v>24.372894</v>
      </c>
      <c r="AE194" s="12" t="n">
        <v>75.956717</v>
      </c>
    </row>
    <row r="195" customFormat="false" ht="15" hidden="false" customHeight="false" outlineLevel="0" collapsed="false">
      <c r="A195" s="71" t="s">
        <v>415</v>
      </c>
      <c r="B195" s="71" t="s">
        <v>1877</v>
      </c>
      <c r="C195" s="51" t="s">
        <v>2049</v>
      </c>
      <c r="D195" s="72" t="s">
        <v>2050</v>
      </c>
      <c r="E195" s="71"/>
      <c r="F195" s="71"/>
      <c r="G195" s="71"/>
      <c r="H195" s="71"/>
      <c r="I195" s="71"/>
      <c r="J195" s="71"/>
      <c r="K195" s="71"/>
      <c r="M195" s="71"/>
      <c r="O195" s="71"/>
      <c r="P195" s="71"/>
      <c r="Q195" s="153" t="s">
        <v>43</v>
      </c>
      <c r="R195" s="153" t="s">
        <v>285</v>
      </c>
      <c r="AB195" s="12" t="n">
        <v>8</v>
      </c>
      <c r="AC195" s="46" t="s">
        <v>910</v>
      </c>
      <c r="AD195" s="12" t="n">
        <v>24.372894</v>
      </c>
      <c r="AE195" s="12" t="n">
        <v>75.956717</v>
      </c>
    </row>
    <row r="196" customFormat="false" ht="15" hidden="false" customHeight="false" outlineLevel="0" collapsed="false">
      <c r="A196" s="71" t="s">
        <v>415</v>
      </c>
      <c r="B196" s="71" t="s">
        <v>1877</v>
      </c>
      <c r="C196" s="51" t="s">
        <v>2049</v>
      </c>
      <c r="D196" s="72" t="s">
        <v>2050</v>
      </c>
      <c r="E196" s="71"/>
      <c r="F196" s="71"/>
      <c r="G196" s="71"/>
      <c r="H196" s="71"/>
      <c r="I196" s="71"/>
      <c r="J196" s="71"/>
      <c r="K196" s="71"/>
      <c r="M196" s="71"/>
      <c r="O196" s="71"/>
      <c r="P196" s="71"/>
      <c r="Q196" s="153" t="s">
        <v>43</v>
      </c>
      <c r="R196" s="153" t="s">
        <v>285</v>
      </c>
      <c r="AB196" s="12" t="n">
        <v>9</v>
      </c>
      <c r="AC196" s="46" t="s">
        <v>910</v>
      </c>
      <c r="AD196" s="12" t="n">
        <v>24.372856</v>
      </c>
      <c r="AE196" s="12" t="n">
        <v>75.956746</v>
      </c>
    </row>
    <row r="197" customFormat="false" ht="15" hidden="false" customHeight="false" outlineLevel="0" collapsed="false">
      <c r="A197" s="71" t="s">
        <v>415</v>
      </c>
      <c r="B197" s="71" t="s">
        <v>1877</v>
      </c>
      <c r="C197" s="51" t="s">
        <v>2049</v>
      </c>
      <c r="D197" s="71" t="s">
        <v>2052</v>
      </c>
      <c r="E197" s="71" t="s">
        <v>2053</v>
      </c>
      <c r="F197" s="71" t="n">
        <v>651.1</v>
      </c>
      <c r="G197" s="71" t="n">
        <v>149</v>
      </c>
      <c r="H197" s="71" t="n">
        <v>713</v>
      </c>
      <c r="I197" s="71" t="n">
        <v>376</v>
      </c>
      <c r="J197" s="71" t="n">
        <v>337</v>
      </c>
      <c r="K197" s="71" t="n">
        <v>86</v>
      </c>
      <c r="L197" s="112" t="n">
        <f aca="false">K197/H197*100</f>
        <v>12.0617110799439</v>
      </c>
      <c r="M197" s="71" t="n">
        <v>53</v>
      </c>
      <c r="N197" s="112" t="n">
        <f aca="false">M197/H197*100</f>
        <v>7.43338008415147</v>
      </c>
      <c r="O197" s="71" t="n">
        <v>0</v>
      </c>
      <c r="P197" s="71" t="n">
        <v>252.98</v>
      </c>
      <c r="Q197" s="117"/>
      <c r="R197" s="117"/>
      <c r="AB197" s="10"/>
      <c r="AD197" s="10"/>
      <c r="AE197" s="10"/>
    </row>
    <row r="198" customFormat="false" ht="15" hidden="false" customHeight="false" outlineLevel="0" collapsed="false">
      <c r="A198" s="71" t="s">
        <v>415</v>
      </c>
      <c r="B198" s="71" t="s">
        <v>1877</v>
      </c>
      <c r="C198" s="51" t="s">
        <v>2049</v>
      </c>
      <c r="D198" s="71" t="s">
        <v>2054</v>
      </c>
      <c r="E198" s="71" t="s">
        <v>2055</v>
      </c>
      <c r="F198" s="71" t="n">
        <v>748.74</v>
      </c>
      <c r="G198" s="71" t="n">
        <v>182</v>
      </c>
      <c r="H198" s="71" t="n">
        <v>925</v>
      </c>
      <c r="I198" s="71" t="n">
        <v>489</v>
      </c>
      <c r="J198" s="71" t="n">
        <v>436</v>
      </c>
      <c r="K198" s="71" t="n">
        <v>346</v>
      </c>
      <c r="L198" s="112" t="n">
        <f aca="false">K198/H198*100</f>
        <v>37.4054054054054</v>
      </c>
      <c r="M198" s="71" t="n">
        <v>130</v>
      </c>
      <c r="N198" s="112" t="n">
        <f aca="false">M198/H198*100</f>
        <v>14.0540540540541</v>
      </c>
      <c r="O198" s="71" t="n">
        <v>45.99</v>
      </c>
      <c r="P198" s="71" t="n">
        <v>50.91</v>
      </c>
      <c r="Q198" s="153" t="s">
        <v>43</v>
      </c>
      <c r="R198" s="153" t="s">
        <v>285</v>
      </c>
      <c r="T198" s="118" t="n">
        <v>59.5898</v>
      </c>
      <c r="AB198" s="12" t="n">
        <v>0</v>
      </c>
      <c r="AC198" s="46" t="s">
        <v>910</v>
      </c>
      <c r="AD198" s="12" t="n">
        <v>24.372842</v>
      </c>
      <c r="AE198" s="12" t="n">
        <v>75.956845</v>
      </c>
    </row>
    <row r="199" customFormat="false" ht="15" hidden="false" customHeight="false" outlineLevel="0" collapsed="false">
      <c r="A199" s="71" t="s">
        <v>415</v>
      </c>
      <c r="B199" s="71" t="s">
        <v>1877</v>
      </c>
      <c r="C199" s="51" t="s">
        <v>2056</v>
      </c>
      <c r="D199" s="72" t="s">
        <v>2057</v>
      </c>
      <c r="E199" s="71" t="s">
        <v>2058</v>
      </c>
      <c r="F199" s="71" t="n">
        <v>477.81</v>
      </c>
      <c r="G199" s="71" t="n">
        <v>246</v>
      </c>
      <c r="H199" s="71" t="n">
        <v>1242</v>
      </c>
      <c r="I199" s="71" t="n">
        <v>637</v>
      </c>
      <c r="J199" s="71" t="n">
        <v>605</v>
      </c>
      <c r="K199" s="71" t="n">
        <v>17</v>
      </c>
      <c r="L199" s="112" t="n">
        <f aca="false">K199/H199*100</f>
        <v>1.36876006441224</v>
      </c>
      <c r="M199" s="71" t="n">
        <v>529</v>
      </c>
      <c r="N199" s="112" t="n">
        <f aca="false">M199/H199*100</f>
        <v>42.5925925925926</v>
      </c>
      <c r="O199" s="71" t="n">
        <v>0.93</v>
      </c>
      <c r="P199" s="71" t="n">
        <v>0</v>
      </c>
      <c r="Q199" s="153" t="s">
        <v>43</v>
      </c>
      <c r="R199" s="153" t="s">
        <v>327</v>
      </c>
      <c r="T199" s="118" t="n">
        <v>0.9359</v>
      </c>
      <c r="AB199" s="12" t="n">
        <v>0</v>
      </c>
      <c r="AC199" s="46" t="s">
        <v>859</v>
      </c>
      <c r="AD199" s="12" t="n">
        <v>24.30886</v>
      </c>
      <c r="AE199" s="12" t="n">
        <v>76.15741</v>
      </c>
    </row>
    <row r="200" customFormat="false" ht="15" hidden="false" customHeight="false" outlineLevel="0" collapsed="false">
      <c r="A200" s="71" t="s">
        <v>415</v>
      </c>
      <c r="B200" s="71" t="s">
        <v>1877</v>
      </c>
      <c r="C200" s="51" t="s">
        <v>2056</v>
      </c>
      <c r="D200" s="71" t="s">
        <v>2059</v>
      </c>
      <c r="E200" s="71" t="s">
        <v>2060</v>
      </c>
      <c r="F200" s="71" t="n">
        <v>179.37</v>
      </c>
      <c r="G200" s="71" t="n">
        <v>128</v>
      </c>
      <c r="H200" s="71" t="n">
        <v>713</v>
      </c>
      <c r="I200" s="71" t="n">
        <v>348</v>
      </c>
      <c r="J200" s="71" t="n">
        <v>365</v>
      </c>
      <c r="K200" s="71" t="n">
        <v>76</v>
      </c>
      <c r="L200" s="112" t="n">
        <f aca="false">K200/H200*100</f>
        <v>10.6591865357644</v>
      </c>
      <c r="M200" s="71" t="n">
        <v>0</v>
      </c>
      <c r="N200" s="112" t="n">
        <f aca="false">M200/H200*100</f>
        <v>0</v>
      </c>
      <c r="O200" s="71" t="n">
        <v>1.15</v>
      </c>
      <c r="P200" s="71" t="n">
        <v>0</v>
      </c>
      <c r="Q200" s="153" t="s">
        <v>43</v>
      </c>
      <c r="R200" s="153" t="s">
        <v>327</v>
      </c>
      <c r="T200" s="118" t="n">
        <v>1.0875</v>
      </c>
      <c r="AB200" s="12" t="n">
        <v>0</v>
      </c>
      <c r="AC200" s="46" t="s">
        <v>859</v>
      </c>
      <c r="AD200" s="10"/>
      <c r="AE200" s="10"/>
    </row>
    <row r="201" customFormat="false" ht="15" hidden="false" customHeight="false" outlineLevel="0" collapsed="false">
      <c r="A201" s="71" t="s">
        <v>415</v>
      </c>
      <c r="B201" s="71" t="s">
        <v>1877</v>
      </c>
      <c r="C201" s="51" t="s">
        <v>2056</v>
      </c>
      <c r="D201" s="71" t="s">
        <v>2061</v>
      </c>
      <c r="E201" s="71" t="s">
        <v>2062</v>
      </c>
      <c r="F201" s="71" t="n">
        <v>233.66</v>
      </c>
      <c r="G201" s="71" t="n">
        <v>89</v>
      </c>
      <c r="H201" s="71" t="n">
        <v>510</v>
      </c>
      <c r="I201" s="71" t="n">
        <v>266</v>
      </c>
      <c r="J201" s="71" t="n">
        <v>244</v>
      </c>
      <c r="K201" s="71" t="n">
        <v>9</v>
      </c>
      <c r="L201" s="112" t="n">
        <f aca="false">K201/H201*100</f>
        <v>1.76470588235294</v>
      </c>
      <c r="M201" s="71" t="n">
        <v>0</v>
      </c>
      <c r="N201" s="112" t="n">
        <f aca="false">M201/H201*100</f>
        <v>0</v>
      </c>
      <c r="O201" s="71" t="n">
        <v>0</v>
      </c>
      <c r="P201" s="71" t="n">
        <v>0</v>
      </c>
      <c r="Q201" s="117"/>
      <c r="R201" s="117"/>
      <c r="AB201" s="10"/>
      <c r="AD201" s="10"/>
      <c r="AE201" s="10"/>
    </row>
    <row r="202" customFormat="false" ht="15" hidden="false" customHeight="false" outlineLevel="0" collapsed="false">
      <c r="A202" s="71" t="s">
        <v>415</v>
      </c>
      <c r="B202" s="71" t="s">
        <v>1877</v>
      </c>
      <c r="C202" s="51" t="s">
        <v>2056</v>
      </c>
      <c r="D202" s="71" t="s">
        <v>2063</v>
      </c>
      <c r="E202" s="71" t="s">
        <v>2064</v>
      </c>
      <c r="F202" s="71" t="n">
        <v>212.6</v>
      </c>
      <c r="G202" s="71" t="n">
        <v>100</v>
      </c>
      <c r="H202" s="71" t="n">
        <v>555</v>
      </c>
      <c r="I202" s="71" t="n">
        <v>266</v>
      </c>
      <c r="J202" s="71" t="n">
        <v>289</v>
      </c>
      <c r="K202" s="71" t="n">
        <v>19</v>
      </c>
      <c r="L202" s="112" t="n">
        <f aca="false">K202/H202*100</f>
        <v>3.42342342342342</v>
      </c>
      <c r="M202" s="71" t="n">
        <v>70</v>
      </c>
      <c r="N202" s="112" t="n">
        <f aca="false">M202/H202*100</f>
        <v>12.6126126126126</v>
      </c>
      <c r="O202" s="71" t="n">
        <v>0</v>
      </c>
      <c r="P202" s="71" t="n">
        <v>0</v>
      </c>
      <c r="Q202" s="117"/>
      <c r="R202" s="117"/>
      <c r="AB202" s="10"/>
      <c r="AD202" s="10"/>
      <c r="AE202" s="10"/>
    </row>
    <row r="203" customFormat="false" ht="15" hidden="false" customHeight="false" outlineLevel="0" collapsed="false">
      <c r="A203" s="71" t="s">
        <v>415</v>
      </c>
      <c r="B203" s="71" t="s">
        <v>1877</v>
      </c>
      <c r="C203" s="51" t="s">
        <v>2056</v>
      </c>
      <c r="D203" s="71" t="s">
        <v>2065</v>
      </c>
      <c r="E203" s="71" t="s">
        <v>2066</v>
      </c>
      <c r="F203" s="71" t="n">
        <v>344.94</v>
      </c>
      <c r="G203" s="71" t="n">
        <v>191</v>
      </c>
      <c r="H203" s="71" t="n">
        <v>941</v>
      </c>
      <c r="I203" s="71" t="n">
        <v>471</v>
      </c>
      <c r="J203" s="71" t="n">
        <v>470</v>
      </c>
      <c r="K203" s="71" t="n">
        <v>116</v>
      </c>
      <c r="L203" s="112" t="n">
        <f aca="false">K203/H203*100</f>
        <v>12.327311370882</v>
      </c>
      <c r="M203" s="71" t="n">
        <v>78</v>
      </c>
      <c r="N203" s="112" t="n">
        <f aca="false">M203/H203*100</f>
        <v>8.28905419766206</v>
      </c>
      <c r="O203" s="71" t="n">
        <v>32.46</v>
      </c>
      <c r="P203" s="71" t="n">
        <v>0</v>
      </c>
      <c r="Q203" s="153" t="s">
        <v>43</v>
      </c>
      <c r="R203" s="153" t="s">
        <v>327</v>
      </c>
      <c r="T203" s="118" t="n">
        <v>44.7428</v>
      </c>
      <c r="AB203" s="12" t="n">
        <v>0</v>
      </c>
      <c r="AC203" s="46" t="s">
        <v>859</v>
      </c>
      <c r="AD203" s="12" t="n">
        <v>24.29336</v>
      </c>
      <c r="AE203" s="12" t="n">
        <v>76.12612</v>
      </c>
    </row>
    <row r="204" customFormat="false" ht="15" hidden="false" customHeight="false" outlineLevel="0" collapsed="false">
      <c r="A204" s="71" t="s">
        <v>415</v>
      </c>
      <c r="B204" s="71" t="s">
        <v>1877</v>
      </c>
      <c r="C204" s="51" t="s">
        <v>2056</v>
      </c>
      <c r="D204" s="71" t="s">
        <v>71</v>
      </c>
      <c r="E204" s="71" t="s">
        <v>2067</v>
      </c>
      <c r="F204" s="71" t="n">
        <v>346.5</v>
      </c>
      <c r="G204" s="71" t="n">
        <v>137</v>
      </c>
      <c r="H204" s="71" t="n">
        <v>594</v>
      </c>
      <c r="I204" s="71" t="n">
        <v>304</v>
      </c>
      <c r="J204" s="71" t="n">
        <v>290</v>
      </c>
      <c r="K204" s="71" t="n">
        <v>144</v>
      </c>
      <c r="L204" s="112" t="n">
        <f aca="false">K204/H204*100</f>
        <v>24.2424242424242</v>
      </c>
      <c r="M204" s="71" t="n">
        <v>29</v>
      </c>
      <c r="N204" s="112" t="n">
        <f aca="false">M204/H204*100</f>
        <v>4.88215488215488</v>
      </c>
      <c r="O204" s="71" t="n">
        <v>26.3</v>
      </c>
      <c r="P204" s="71" t="n">
        <v>0</v>
      </c>
      <c r="Q204" s="153" t="s">
        <v>43</v>
      </c>
      <c r="R204" s="153" t="s">
        <v>327</v>
      </c>
      <c r="T204" s="118" t="n">
        <v>36.5102</v>
      </c>
      <c r="AB204" s="12" t="n">
        <v>0</v>
      </c>
      <c r="AC204" s="46" t="s">
        <v>859</v>
      </c>
      <c r="AD204" s="12" t="n">
        <v>24.29996</v>
      </c>
      <c r="AE204" s="12" t="n">
        <v>76.10724</v>
      </c>
    </row>
    <row r="205" customFormat="false" ht="15" hidden="false" customHeight="false" outlineLevel="0" collapsed="false">
      <c r="A205" s="71" t="s">
        <v>415</v>
      </c>
      <c r="B205" s="71" t="s">
        <v>1877</v>
      </c>
      <c r="C205" s="51" t="s">
        <v>2056</v>
      </c>
      <c r="D205" s="71" t="s">
        <v>71</v>
      </c>
      <c r="E205" s="71"/>
      <c r="F205" s="71"/>
      <c r="G205" s="71"/>
      <c r="H205" s="71"/>
      <c r="I205" s="71"/>
      <c r="J205" s="71"/>
      <c r="K205" s="71"/>
      <c r="M205" s="71"/>
      <c r="O205" s="71"/>
      <c r="P205" s="71"/>
      <c r="Q205" s="153" t="s">
        <v>43</v>
      </c>
      <c r="R205" s="153" t="s">
        <v>327</v>
      </c>
      <c r="AB205" s="12" t="n">
        <v>15</v>
      </c>
      <c r="AC205" s="46" t="s">
        <v>859</v>
      </c>
      <c r="AD205" s="12" t="n">
        <v>24.288371</v>
      </c>
      <c r="AE205" s="12" t="n">
        <v>765.121106</v>
      </c>
    </row>
    <row r="206" customFormat="false" ht="15" hidden="false" customHeight="false" outlineLevel="0" collapsed="false">
      <c r="A206" s="71" t="s">
        <v>415</v>
      </c>
      <c r="B206" s="71" t="s">
        <v>1877</v>
      </c>
      <c r="C206" s="51" t="s">
        <v>2056</v>
      </c>
      <c r="D206" s="71" t="s">
        <v>2068</v>
      </c>
      <c r="E206" s="71" t="s">
        <v>2069</v>
      </c>
      <c r="F206" s="71" t="n">
        <v>128.22</v>
      </c>
      <c r="G206" s="71" t="n">
        <v>1</v>
      </c>
      <c r="H206" s="71" t="n">
        <v>4</v>
      </c>
      <c r="I206" s="71" t="n">
        <v>2</v>
      </c>
      <c r="J206" s="71" t="n">
        <v>2</v>
      </c>
      <c r="K206" s="71" t="n">
        <v>4</v>
      </c>
      <c r="L206" s="112" t="n">
        <f aca="false">K206/H206*100</f>
        <v>100</v>
      </c>
      <c r="M206" s="71" t="n">
        <v>0</v>
      </c>
      <c r="N206" s="112" t="n">
        <f aca="false">M206/H206*100</f>
        <v>0</v>
      </c>
      <c r="O206" s="71" t="n">
        <v>0</v>
      </c>
      <c r="P206" s="71" t="n">
        <v>0</v>
      </c>
      <c r="Q206" s="117"/>
      <c r="R206" s="117"/>
      <c r="AB206" s="10"/>
      <c r="AD206" s="10"/>
      <c r="AE206" s="10"/>
    </row>
    <row r="207" customFormat="false" ht="15" hidden="false" customHeight="false" outlineLevel="0" collapsed="false">
      <c r="A207" s="71" t="s">
        <v>415</v>
      </c>
      <c r="B207" s="71" t="s">
        <v>1877</v>
      </c>
      <c r="C207" s="51" t="s">
        <v>2056</v>
      </c>
      <c r="D207" s="71" t="s">
        <v>2070</v>
      </c>
      <c r="E207" s="71" t="s">
        <v>2071</v>
      </c>
      <c r="F207" s="71" t="n">
        <v>225.89</v>
      </c>
      <c r="G207" s="71" t="n">
        <v>68</v>
      </c>
      <c r="H207" s="71" t="n">
        <v>399</v>
      </c>
      <c r="I207" s="71" t="n">
        <v>201</v>
      </c>
      <c r="J207" s="71" t="n">
        <v>198</v>
      </c>
      <c r="K207" s="71" t="n">
        <v>74</v>
      </c>
      <c r="L207" s="112" t="n">
        <f aca="false">K207/H207*100</f>
        <v>18.546365914787</v>
      </c>
      <c r="M207" s="71" t="n">
        <v>0</v>
      </c>
      <c r="N207" s="112" t="n">
        <f aca="false">M207/H207*100</f>
        <v>0</v>
      </c>
      <c r="O207" s="71" t="n">
        <v>5.63</v>
      </c>
      <c r="P207" s="71" t="n">
        <v>47.8</v>
      </c>
      <c r="Q207" s="153" t="s">
        <v>43</v>
      </c>
      <c r="R207" s="153" t="s">
        <v>327</v>
      </c>
      <c r="T207" s="118" t="n">
        <v>8.511</v>
      </c>
      <c r="AB207" s="12" t="n">
        <v>0</v>
      </c>
      <c r="AC207" s="46" t="s">
        <v>859</v>
      </c>
      <c r="AD207" s="12" t="n">
        <v>24.31694</v>
      </c>
      <c r="AE207" s="12" t="n">
        <v>76.10709</v>
      </c>
    </row>
    <row r="208" customFormat="false" ht="15" hidden="false" customHeight="false" outlineLevel="0" collapsed="false">
      <c r="A208" s="71" t="s">
        <v>415</v>
      </c>
      <c r="B208" s="71" t="s">
        <v>1877</v>
      </c>
      <c r="C208" s="51" t="s">
        <v>2056</v>
      </c>
      <c r="D208" s="71" t="s">
        <v>2072</v>
      </c>
      <c r="E208" s="71" t="s">
        <v>2073</v>
      </c>
      <c r="F208" s="71" t="n">
        <v>178.06</v>
      </c>
      <c r="G208" s="71" t="n">
        <v>56</v>
      </c>
      <c r="H208" s="71" t="n">
        <v>281</v>
      </c>
      <c r="I208" s="71" t="n">
        <v>137</v>
      </c>
      <c r="J208" s="71" t="n">
        <v>144</v>
      </c>
      <c r="K208" s="71" t="n">
        <v>3</v>
      </c>
      <c r="L208" s="112" t="n">
        <f aca="false">K208/H208*100</f>
        <v>1.06761565836299</v>
      </c>
      <c r="M208" s="71" t="n">
        <v>0</v>
      </c>
      <c r="N208" s="112" t="n">
        <f aca="false">M208/H208*100</f>
        <v>0</v>
      </c>
      <c r="O208" s="71" t="n">
        <v>14.8</v>
      </c>
      <c r="P208" s="71" t="n">
        <v>15.01</v>
      </c>
      <c r="Q208" s="153" t="s">
        <v>43</v>
      </c>
      <c r="R208" s="153" t="s">
        <v>327</v>
      </c>
      <c r="T208" s="118" t="n">
        <v>19.9055</v>
      </c>
      <c r="AB208" s="12" t="n">
        <v>0</v>
      </c>
      <c r="AC208" s="46" t="s">
        <v>859</v>
      </c>
      <c r="AD208" s="12" t="n">
        <v>24.32633</v>
      </c>
      <c r="AE208" s="12" t="n">
        <v>76.11709</v>
      </c>
    </row>
    <row r="209" customFormat="false" ht="15" hidden="false" customHeight="false" outlineLevel="0" collapsed="false">
      <c r="A209" s="71" t="s">
        <v>415</v>
      </c>
      <c r="B209" s="71" t="s">
        <v>1877</v>
      </c>
      <c r="C209" s="51" t="s">
        <v>2074</v>
      </c>
      <c r="D209" s="72" t="s">
        <v>2075</v>
      </c>
      <c r="E209" s="71" t="s">
        <v>2076</v>
      </c>
      <c r="F209" s="71" t="n">
        <v>340.5</v>
      </c>
      <c r="G209" s="71" t="n">
        <v>182</v>
      </c>
      <c r="H209" s="71" t="n">
        <v>900</v>
      </c>
      <c r="I209" s="71" t="n">
        <v>470</v>
      </c>
      <c r="J209" s="71" t="n">
        <v>430</v>
      </c>
      <c r="K209" s="71" t="n">
        <v>326</v>
      </c>
      <c r="L209" s="112" t="n">
        <f aca="false">K209/H209*100</f>
        <v>36.2222222222222</v>
      </c>
      <c r="M209" s="71" t="n">
        <v>36</v>
      </c>
      <c r="N209" s="112" t="n">
        <f aca="false">M209/H209*100</f>
        <v>4</v>
      </c>
      <c r="O209" s="71" t="n">
        <v>30.37</v>
      </c>
      <c r="P209" s="71" t="n">
        <v>0</v>
      </c>
      <c r="Q209" s="172" t="s">
        <v>45</v>
      </c>
      <c r="R209" s="153" t="s">
        <v>540</v>
      </c>
      <c r="T209" s="146" t="n">
        <v>29.719</v>
      </c>
      <c r="V209" s="112" t="s">
        <v>43</v>
      </c>
      <c r="AB209" s="12" t="n">
        <v>8.33</v>
      </c>
      <c r="AC209" s="89" t="s">
        <v>852</v>
      </c>
      <c r="AD209" s="12" t="n">
        <v>24.43002</v>
      </c>
      <c r="AE209" s="12" t="n">
        <v>75.9932</v>
      </c>
    </row>
    <row r="210" customFormat="false" ht="15" hidden="false" customHeight="false" outlineLevel="0" collapsed="false">
      <c r="A210" s="71" t="s">
        <v>415</v>
      </c>
      <c r="B210" s="71" t="s">
        <v>1877</v>
      </c>
      <c r="C210" s="51" t="s">
        <v>2074</v>
      </c>
      <c r="D210" s="72" t="s">
        <v>2075</v>
      </c>
      <c r="E210" s="71"/>
      <c r="F210" s="71"/>
      <c r="G210" s="71"/>
      <c r="H210" s="71"/>
      <c r="I210" s="71"/>
      <c r="J210" s="71"/>
      <c r="K210" s="71"/>
      <c r="M210" s="71"/>
      <c r="O210" s="71"/>
      <c r="P210" s="71"/>
      <c r="Q210" s="153" t="s">
        <v>43</v>
      </c>
      <c r="R210" s="153" t="s">
        <v>540</v>
      </c>
      <c r="T210" s="146"/>
      <c r="V210" s="112" t="s">
        <v>43</v>
      </c>
      <c r="AB210" s="12" t="n">
        <v>15</v>
      </c>
      <c r="AC210" s="89" t="s">
        <v>2077</v>
      </c>
      <c r="AD210" s="12" t="n">
        <v>24.46127</v>
      </c>
      <c r="AE210" s="12" t="n">
        <v>76.03115</v>
      </c>
    </row>
    <row r="211" customFormat="false" ht="15" hidden="false" customHeight="false" outlineLevel="0" collapsed="false">
      <c r="A211" s="71" t="s">
        <v>415</v>
      </c>
      <c r="B211" s="71" t="s">
        <v>1877</v>
      </c>
      <c r="C211" s="51" t="s">
        <v>2074</v>
      </c>
      <c r="D211" s="71" t="s">
        <v>2078</v>
      </c>
      <c r="E211" s="71" t="s">
        <v>2079</v>
      </c>
      <c r="F211" s="71" t="n">
        <v>434.99</v>
      </c>
      <c r="G211" s="71" t="n">
        <v>182</v>
      </c>
      <c r="H211" s="71" t="n">
        <v>931</v>
      </c>
      <c r="I211" s="71" t="n">
        <v>478</v>
      </c>
      <c r="J211" s="71" t="n">
        <v>453</v>
      </c>
      <c r="K211" s="71" t="n">
        <v>25</v>
      </c>
      <c r="L211" s="112" t="n">
        <f aca="false">K211/H211*100</f>
        <v>2.68528464017186</v>
      </c>
      <c r="M211" s="71" t="n">
        <v>829</v>
      </c>
      <c r="N211" s="112" t="n">
        <f aca="false">M211/H211*100</f>
        <v>89.0440386680988</v>
      </c>
      <c r="O211" s="71" t="n">
        <v>43.93</v>
      </c>
      <c r="P211" s="71" t="n">
        <v>0</v>
      </c>
      <c r="Q211" s="172" t="s">
        <v>45</v>
      </c>
      <c r="R211" s="153" t="s">
        <v>1506</v>
      </c>
      <c r="T211" s="146" t="n">
        <v>45.2615</v>
      </c>
      <c r="V211" s="112" t="s">
        <v>43</v>
      </c>
      <c r="AB211" s="12" t="n">
        <v>4</v>
      </c>
      <c r="AC211" s="89" t="s">
        <v>852</v>
      </c>
      <c r="AD211" s="12" t="n">
        <v>24.422373</v>
      </c>
      <c r="AE211" s="12" t="n">
        <v>75.999638</v>
      </c>
    </row>
    <row r="212" customFormat="false" ht="15" hidden="false" customHeight="false" outlineLevel="0" collapsed="false">
      <c r="A212" s="71" t="s">
        <v>415</v>
      </c>
      <c r="B212" s="71" t="s">
        <v>1877</v>
      </c>
      <c r="C212" s="51" t="s">
        <v>2074</v>
      </c>
      <c r="D212" s="71" t="s">
        <v>2080</v>
      </c>
      <c r="E212" s="71"/>
      <c r="F212" s="71"/>
      <c r="G212" s="71"/>
      <c r="H212" s="71"/>
      <c r="I212" s="71"/>
      <c r="J212" s="71"/>
      <c r="K212" s="71"/>
      <c r="M212" s="71"/>
      <c r="O212" s="71"/>
      <c r="P212" s="71"/>
      <c r="Q212" s="172" t="s">
        <v>45</v>
      </c>
      <c r="R212" s="153" t="s">
        <v>1493</v>
      </c>
      <c r="T212" s="146"/>
      <c r="V212" s="112" t="s">
        <v>43</v>
      </c>
      <c r="AB212" s="12" t="n">
        <v>21</v>
      </c>
      <c r="AC212" s="89" t="s">
        <v>852</v>
      </c>
      <c r="AD212" s="12" t="n">
        <v>24.421972</v>
      </c>
      <c r="AE212" s="12" t="n">
        <v>75.999412</v>
      </c>
    </row>
    <row r="213" customFormat="false" ht="15" hidden="false" customHeight="false" outlineLevel="0" collapsed="false">
      <c r="A213" s="71" t="s">
        <v>415</v>
      </c>
      <c r="B213" s="71" t="s">
        <v>1877</v>
      </c>
      <c r="C213" s="51" t="s">
        <v>2074</v>
      </c>
      <c r="D213" s="71" t="s">
        <v>2081</v>
      </c>
      <c r="E213" s="71" t="s">
        <v>2082</v>
      </c>
      <c r="F213" s="71" t="n">
        <v>190.6</v>
      </c>
      <c r="G213" s="71" t="n">
        <v>89</v>
      </c>
      <c r="H213" s="71" t="n">
        <v>447</v>
      </c>
      <c r="I213" s="71" t="n">
        <v>215</v>
      </c>
      <c r="J213" s="71" t="n">
        <v>232</v>
      </c>
      <c r="K213" s="71" t="n">
        <v>59</v>
      </c>
      <c r="L213" s="112" t="n">
        <f aca="false">K213/H213*100</f>
        <v>13.1991051454139</v>
      </c>
      <c r="M213" s="71" t="n">
        <v>65</v>
      </c>
      <c r="N213" s="112" t="n">
        <f aca="false">M213/H213*100</f>
        <v>14.5413870246085</v>
      </c>
      <c r="O213" s="71" t="n">
        <v>22.7</v>
      </c>
      <c r="P213" s="71" t="n">
        <v>0</v>
      </c>
      <c r="Q213" s="172" t="s">
        <v>45</v>
      </c>
      <c r="R213" s="153" t="s">
        <v>1994</v>
      </c>
      <c r="T213" s="146" t="n">
        <v>10.9139</v>
      </c>
      <c r="V213" s="112" t="s">
        <v>43</v>
      </c>
      <c r="AB213" s="12" t="n">
        <v>3</v>
      </c>
      <c r="AC213" s="89" t="s">
        <v>852</v>
      </c>
      <c r="AD213" s="12" t="n">
        <v>24.431997</v>
      </c>
      <c r="AE213" s="12" t="n">
        <v>76.066117</v>
      </c>
    </row>
    <row r="214" customFormat="false" ht="15" hidden="false" customHeight="false" outlineLevel="0" collapsed="false">
      <c r="A214" s="71" t="s">
        <v>415</v>
      </c>
      <c r="B214" s="71" t="s">
        <v>1877</v>
      </c>
      <c r="C214" s="51" t="s">
        <v>2074</v>
      </c>
      <c r="D214" s="71" t="s">
        <v>2080</v>
      </c>
      <c r="E214" s="71" t="s">
        <v>2083</v>
      </c>
      <c r="F214" s="71" t="n">
        <v>364.25</v>
      </c>
      <c r="G214" s="71" t="n">
        <v>111</v>
      </c>
      <c r="H214" s="71" t="n">
        <v>641</v>
      </c>
      <c r="I214" s="71" t="n">
        <v>348</v>
      </c>
      <c r="J214" s="71" t="n">
        <v>293</v>
      </c>
      <c r="K214" s="71" t="n">
        <v>56</v>
      </c>
      <c r="L214" s="112" t="n">
        <f aca="false">K214/H214*100</f>
        <v>8.73634945397816</v>
      </c>
      <c r="M214" s="71" t="n">
        <v>254</v>
      </c>
      <c r="N214" s="112" t="n">
        <f aca="false">M214/H214*100</f>
        <v>39.6255850234009</v>
      </c>
      <c r="O214" s="71" t="n">
        <v>25.76</v>
      </c>
      <c r="P214" s="71" t="n">
        <v>0</v>
      </c>
      <c r="Q214" s="172" t="s">
        <v>45</v>
      </c>
      <c r="R214" s="153" t="s">
        <v>1493</v>
      </c>
      <c r="T214" s="146" t="n">
        <v>28.467</v>
      </c>
      <c r="V214" s="112" t="s">
        <v>43</v>
      </c>
      <c r="AB214" s="12" t="n">
        <v>1.5</v>
      </c>
      <c r="AC214" s="89" t="s">
        <v>852</v>
      </c>
      <c r="AD214" s="12" t="n">
        <v>24.435606</v>
      </c>
      <c r="AE214" s="12" t="n">
        <v>75.997178</v>
      </c>
    </row>
    <row r="215" customFormat="false" ht="15" hidden="false" customHeight="false" outlineLevel="0" collapsed="false">
      <c r="A215" s="71" t="s">
        <v>415</v>
      </c>
      <c r="B215" s="71" t="s">
        <v>1877</v>
      </c>
      <c r="C215" s="51" t="s">
        <v>2074</v>
      </c>
      <c r="D215" s="71" t="s">
        <v>2084</v>
      </c>
      <c r="E215" s="71" t="s">
        <v>2085</v>
      </c>
      <c r="F215" s="71" t="n">
        <v>422.51</v>
      </c>
      <c r="G215" s="71" t="n">
        <v>142</v>
      </c>
      <c r="H215" s="71" t="n">
        <v>783</v>
      </c>
      <c r="I215" s="71" t="n">
        <v>398</v>
      </c>
      <c r="J215" s="71" t="n">
        <v>385</v>
      </c>
      <c r="K215" s="71" t="n">
        <v>126</v>
      </c>
      <c r="L215" s="112" t="n">
        <f aca="false">K215/H215*100</f>
        <v>16.0919540229885</v>
      </c>
      <c r="M215" s="71" t="n">
        <v>0</v>
      </c>
      <c r="N215" s="112" t="n">
        <f aca="false">M215/H215*100</f>
        <v>0</v>
      </c>
      <c r="O215" s="71" t="n">
        <v>27.54</v>
      </c>
      <c r="P215" s="71" t="n">
        <v>0</v>
      </c>
      <c r="Q215" s="172" t="s">
        <v>45</v>
      </c>
      <c r="R215" s="153" t="s">
        <v>540</v>
      </c>
      <c r="T215" s="146" t="n">
        <v>28.3786</v>
      </c>
      <c r="V215" s="112" t="s">
        <v>43</v>
      </c>
      <c r="AB215" s="12" t="n">
        <v>2</v>
      </c>
      <c r="AC215" s="89" t="s">
        <v>852</v>
      </c>
      <c r="AD215" s="12" t="n">
        <v>24.442905</v>
      </c>
      <c r="AE215" s="12" t="n">
        <v>76.008875</v>
      </c>
    </row>
    <row r="216" customFormat="false" ht="15" hidden="false" customHeight="false" outlineLevel="0" collapsed="false">
      <c r="A216" s="71" t="s">
        <v>415</v>
      </c>
      <c r="B216" s="71" t="s">
        <v>1877</v>
      </c>
      <c r="C216" s="51" t="s">
        <v>2074</v>
      </c>
      <c r="D216" s="71" t="s">
        <v>1501</v>
      </c>
      <c r="E216" s="71" t="s">
        <v>2086</v>
      </c>
      <c r="F216" s="71" t="n">
        <v>332.58</v>
      </c>
      <c r="G216" s="71" t="n">
        <v>75</v>
      </c>
      <c r="H216" s="71" t="n">
        <v>448</v>
      </c>
      <c r="I216" s="71" t="n">
        <v>222</v>
      </c>
      <c r="J216" s="71" t="n">
        <v>226</v>
      </c>
      <c r="K216" s="71" t="n">
        <v>17</v>
      </c>
      <c r="L216" s="112" t="n">
        <f aca="false">K216/H216*100</f>
        <v>3.79464285714286</v>
      </c>
      <c r="M216" s="71" t="n">
        <v>360</v>
      </c>
      <c r="N216" s="112" t="n">
        <f aca="false">M216/H216*100</f>
        <v>80.3571428571429</v>
      </c>
      <c r="O216" s="71" t="n">
        <v>41.29</v>
      </c>
      <c r="P216" s="71" t="n">
        <v>0</v>
      </c>
      <c r="Q216" s="172" t="s">
        <v>45</v>
      </c>
      <c r="R216" s="153" t="s">
        <v>1506</v>
      </c>
      <c r="T216" s="146" t="n">
        <v>24.4049</v>
      </c>
      <c r="V216" s="112" t="s">
        <v>43</v>
      </c>
      <c r="AB216" s="12" t="n">
        <v>1</v>
      </c>
      <c r="AC216" s="89" t="s">
        <v>852</v>
      </c>
      <c r="AD216" s="12" t="n">
        <v>24.451</v>
      </c>
      <c r="AE216" s="12" t="n">
        <v>76.081</v>
      </c>
    </row>
    <row r="217" customFormat="false" ht="15" hidden="false" customHeight="false" outlineLevel="0" collapsed="false">
      <c r="A217" s="71" t="s">
        <v>415</v>
      </c>
      <c r="B217" s="71" t="s">
        <v>1877</v>
      </c>
      <c r="C217" s="51" t="s">
        <v>2074</v>
      </c>
      <c r="D217" s="71" t="s">
        <v>2087</v>
      </c>
      <c r="E217" s="71" t="s">
        <v>2088</v>
      </c>
      <c r="F217" s="71" t="n">
        <v>266.7</v>
      </c>
      <c r="G217" s="71" t="n">
        <v>193</v>
      </c>
      <c r="H217" s="71" t="n">
        <v>996</v>
      </c>
      <c r="I217" s="71" t="n">
        <v>519</v>
      </c>
      <c r="J217" s="71" t="n">
        <v>477</v>
      </c>
      <c r="K217" s="71" t="n">
        <v>0</v>
      </c>
      <c r="L217" s="112" t="n">
        <f aca="false">K217/H217*100</f>
        <v>0</v>
      </c>
      <c r="M217" s="71" t="n">
        <v>0</v>
      </c>
      <c r="N217" s="112" t="n">
        <f aca="false">M217/H217*100</f>
        <v>0</v>
      </c>
      <c r="O217" s="71" t="n">
        <v>41.26</v>
      </c>
      <c r="P217" s="71" t="n">
        <v>0</v>
      </c>
      <c r="Q217" s="172" t="s">
        <v>45</v>
      </c>
      <c r="R217" s="153" t="s">
        <v>909</v>
      </c>
      <c r="T217" s="146" t="n">
        <v>42.3401</v>
      </c>
      <c r="V217" s="112" t="s">
        <v>43</v>
      </c>
      <c r="AB217" s="12" t="n">
        <v>2</v>
      </c>
      <c r="AC217" s="89" t="s">
        <v>852</v>
      </c>
      <c r="AD217" s="12" t="n">
        <v>24.445</v>
      </c>
      <c r="AE217" s="12" t="n">
        <v>76.00157</v>
      </c>
    </row>
    <row r="218" customFormat="false" ht="15" hidden="false" customHeight="false" outlineLevel="0" collapsed="false">
      <c r="A218" s="71" t="s">
        <v>415</v>
      </c>
      <c r="B218" s="71" t="s">
        <v>1877</v>
      </c>
      <c r="C218" s="51" t="s">
        <v>2074</v>
      </c>
      <c r="D218" s="71" t="s">
        <v>2089</v>
      </c>
      <c r="E218" s="71" t="s">
        <v>2090</v>
      </c>
      <c r="F218" s="71" t="n">
        <v>136.12</v>
      </c>
      <c r="G218" s="71" t="n">
        <v>12</v>
      </c>
      <c r="H218" s="71" t="n">
        <v>75</v>
      </c>
      <c r="I218" s="71" t="n">
        <v>40</v>
      </c>
      <c r="J218" s="71" t="n">
        <v>35</v>
      </c>
      <c r="K218" s="71" t="n">
        <v>0</v>
      </c>
      <c r="L218" s="112" t="n">
        <f aca="false">K218/H218*100</f>
        <v>0</v>
      </c>
      <c r="M218" s="71" t="n">
        <v>0</v>
      </c>
      <c r="N218" s="112" t="n">
        <f aca="false">M218/H218*100</f>
        <v>0</v>
      </c>
      <c r="O218" s="71" t="n">
        <v>5.16</v>
      </c>
      <c r="P218" s="71" t="n">
        <v>0</v>
      </c>
      <c r="Q218" s="172" t="s">
        <v>45</v>
      </c>
      <c r="R218" s="153" t="s">
        <v>1994</v>
      </c>
      <c r="T218" s="146" t="n">
        <v>5.7921</v>
      </c>
      <c r="V218" s="112" t="s">
        <v>43</v>
      </c>
      <c r="AB218" s="12" t="n">
        <v>3</v>
      </c>
      <c r="AC218" s="89" t="s">
        <v>852</v>
      </c>
      <c r="AD218" s="12" t="n">
        <v>24.416</v>
      </c>
      <c r="AE218" s="12" t="n">
        <v>76.003</v>
      </c>
    </row>
    <row r="219" customFormat="false" ht="15" hidden="false" customHeight="false" outlineLevel="0" collapsed="false">
      <c r="A219" s="71" t="s">
        <v>415</v>
      </c>
      <c r="B219" s="71" t="s">
        <v>1877</v>
      </c>
      <c r="C219" s="51" t="s">
        <v>2074</v>
      </c>
      <c r="D219" s="71" t="s">
        <v>1123</v>
      </c>
      <c r="E219" s="71" t="s">
        <v>2091</v>
      </c>
      <c r="F219" s="71" t="n">
        <v>374.73</v>
      </c>
      <c r="G219" s="71" t="n">
        <v>14</v>
      </c>
      <c r="H219" s="71" t="n">
        <v>84</v>
      </c>
      <c r="I219" s="71" t="n">
        <v>42</v>
      </c>
      <c r="J219" s="71" t="n">
        <v>42</v>
      </c>
      <c r="K219" s="71" t="n">
        <v>0</v>
      </c>
      <c r="L219" s="112" t="n">
        <f aca="false">K219/H219*100</f>
        <v>0</v>
      </c>
      <c r="M219" s="71" t="n">
        <v>0</v>
      </c>
      <c r="N219" s="112" t="n">
        <f aca="false">M219/H219*100</f>
        <v>0</v>
      </c>
      <c r="O219" s="71" t="n">
        <v>30.37</v>
      </c>
      <c r="P219" s="71" t="n">
        <v>0</v>
      </c>
      <c r="Q219" s="172" t="s">
        <v>45</v>
      </c>
      <c r="R219" s="153" t="s">
        <v>1493</v>
      </c>
      <c r="T219" s="146" t="n">
        <v>3.0348</v>
      </c>
      <c r="V219" s="112" t="s">
        <v>43</v>
      </c>
      <c r="AB219" s="12" t="n">
        <v>0</v>
      </c>
      <c r="AC219" s="89" t="s">
        <v>852</v>
      </c>
      <c r="AD219" s="12" t="n">
        <v>24.4822732</v>
      </c>
      <c r="AE219" s="12" t="n">
        <v>76.016332</v>
      </c>
    </row>
    <row r="220" customFormat="false" ht="15" hidden="false" customHeight="false" outlineLevel="0" collapsed="false">
      <c r="A220" s="71" t="s">
        <v>415</v>
      </c>
      <c r="B220" s="71" t="s">
        <v>1877</v>
      </c>
      <c r="C220" s="51" t="s">
        <v>2092</v>
      </c>
      <c r="D220" s="72" t="s">
        <v>2093</v>
      </c>
      <c r="E220" s="71" t="s">
        <v>2094</v>
      </c>
      <c r="F220" s="71" t="n">
        <v>914.62</v>
      </c>
      <c r="G220" s="71" t="n">
        <v>219</v>
      </c>
      <c r="H220" s="71" t="n">
        <v>1118</v>
      </c>
      <c r="I220" s="71" t="n">
        <v>581</v>
      </c>
      <c r="J220" s="71" t="n">
        <v>537</v>
      </c>
      <c r="K220" s="71" t="n">
        <v>136</v>
      </c>
      <c r="L220" s="112" t="n">
        <f aca="false">K220/H220*100</f>
        <v>12.1645796064401</v>
      </c>
      <c r="M220" s="71" t="n">
        <v>70</v>
      </c>
      <c r="N220" s="112" t="n">
        <f aca="false">M220/H220*100</f>
        <v>6.26118067978533</v>
      </c>
      <c r="O220" s="71" t="n">
        <v>41.97</v>
      </c>
      <c r="P220" s="71" t="n">
        <v>0</v>
      </c>
      <c r="Q220" s="152" t="s">
        <v>45</v>
      </c>
      <c r="R220" s="117" t="s">
        <v>2095</v>
      </c>
      <c r="T220" s="112" t="n">
        <v>72.6157</v>
      </c>
      <c r="AB220" s="10" t="n">
        <v>15.612</v>
      </c>
      <c r="AC220" s="46" t="s">
        <v>859</v>
      </c>
      <c r="AD220" s="10"/>
      <c r="AE220" s="10"/>
    </row>
    <row r="221" customFormat="false" ht="15" hidden="false" customHeight="false" outlineLevel="0" collapsed="false">
      <c r="A221" s="71" t="s">
        <v>415</v>
      </c>
      <c r="B221" s="71" t="s">
        <v>1877</v>
      </c>
      <c r="C221" s="51" t="s">
        <v>2092</v>
      </c>
      <c r="D221" s="71" t="s">
        <v>2096</v>
      </c>
      <c r="E221" s="71" t="s">
        <v>2097</v>
      </c>
      <c r="F221" s="71" t="n">
        <v>269.12</v>
      </c>
      <c r="G221" s="71" t="n">
        <v>105</v>
      </c>
      <c r="H221" s="71" t="n">
        <v>570</v>
      </c>
      <c r="I221" s="71" t="n">
        <v>276</v>
      </c>
      <c r="J221" s="71" t="n">
        <v>294</v>
      </c>
      <c r="K221" s="71" t="n">
        <v>108</v>
      </c>
      <c r="L221" s="112" t="n">
        <f aca="false">K221/H221*100</f>
        <v>18.9473684210526</v>
      </c>
      <c r="M221" s="71" t="n">
        <v>11</v>
      </c>
      <c r="N221" s="112" t="n">
        <f aca="false">M221/H221*100</f>
        <v>1.92982456140351</v>
      </c>
      <c r="O221" s="71" t="n">
        <v>26.73</v>
      </c>
      <c r="P221" s="71" t="n">
        <v>0</v>
      </c>
      <c r="Q221" s="152" t="s">
        <v>45</v>
      </c>
      <c r="R221" s="117" t="s">
        <v>2098</v>
      </c>
      <c r="T221" s="112" t="n">
        <v>28.3407</v>
      </c>
      <c r="AB221" s="10" t="n">
        <v>10.6147</v>
      </c>
      <c r="AC221" s="46" t="s">
        <v>859</v>
      </c>
      <c r="AD221" s="10"/>
      <c r="AE221" s="10"/>
    </row>
    <row r="222" customFormat="false" ht="15" hidden="false" customHeight="false" outlineLevel="0" collapsed="false">
      <c r="A222" s="71" t="s">
        <v>415</v>
      </c>
      <c r="B222" s="71" t="s">
        <v>1877</v>
      </c>
      <c r="C222" s="51" t="s">
        <v>2092</v>
      </c>
      <c r="D222" s="71" t="s">
        <v>2099</v>
      </c>
      <c r="E222" s="71" t="s">
        <v>2100</v>
      </c>
      <c r="F222" s="71" t="n">
        <v>137.04</v>
      </c>
      <c r="G222" s="71" t="n">
        <v>0</v>
      </c>
      <c r="H222" s="71" t="n">
        <v>0</v>
      </c>
      <c r="I222" s="71" t="n">
        <v>0</v>
      </c>
      <c r="J222" s="71" t="n">
        <v>0</v>
      </c>
      <c r="K222" s="71" t="n">
        <v>0</v>
      </c>
      <c r="M222" s="71" t="n">
        <v>0</v>
      </c>
      <c r="O222" s="71" t="n">
        <v>0</v>
      </c>
      <c r="P222" s="71" t="n">
        <v>0</v>
      </c>
      <c r="Q222" s="117"/>
      <c r="R222" s="117"/>
      <c r="AB222" s="10"/>
      <c r="AD222" s="10"/>
      <c r="AE222" s="10"/>
    </row>
    <row r="223" customFormat="false" ht="15" hidden="false" customHeight="false" outlineLevel="0" collapsed="false">
      <c r="A223" s="71" t="s">
        <v>415</v>
      </c>
      <c r="B223" s="71" t="s">
        <v>1877</v>
      </c>
      <c r="C223" s="51" t="s">
        <v>2092</v>
      </c>
      <c r="D223" s="71" t="s">
        <v>2101</v>
      </c>
      <c r="E223" s="71" t="s">
        <v>2102</v>
      </c>
      <c r="F223" s="71" t="n">
        <v>240.98</v>
      </c>
      <c r="G223" s="71" t="n">
        <v>65</v>
      </c>
      <c r="H223" s="71" t="n">
        <v>273</v>
      </c>
      <c r="I223" s="71" t="n">
        <v>143</v>
      </c>
      <c r="J223" s="71" t="n">
        <v>130</v>
      </c>
      <c r="K223" s="71" t="n">
        <v>115</v>
      </c>
      <c r="L223" s="112" t="n">
        <f aca="false">K223/H223*100</f>
        <v>42.1245421245421</v>
      </c>
      <c r="M223" s="71" t="n">
        <v>0</v>
      </c>
      <c r="N223" s="112" t="n">
        <f aca="false">M223/H223*100</f>
        <v>0</v>
      </c>
      <c r="O223" s="71" t="n">
        <v>17.2</v>
      </c>
      <c r="P223" s="71" t="n">
        <v>0</v>
      </c>
      <c r="Q223" s="152" t="s">
        <v>45</v>
      </c>
      <c r="R223" s="10" t="s">
        <v>2098</v>
      </c>
      <c r="T223" s="112" t="n">
        <v>12.1407</v>
      </c>
      <c r="AB223" s="10"/>
      <c r="AC223" s="46" t="s">
        <v>859</v>
      </c>
      <c r="AD223" s="10"/>
      <c r="AE223" s="10"/>
    </row>
    <row r="224" customFormat="false" ht="15" hidden="false" customHeight="false" outlineLevel="0" collapsed="false">
      <c r="A224" s="71" t="s">
        <v>415</v>
      </c>
      <c r="B224" s="71" t="s">
        <v>1877</v>
      </c>
      <c r="C224" s="51" t="s">
        <v>2092</v>
      </c>
      <c r="D224" s="71" t="s">
        <v>2103</v>
      </c>
      <c r="E224" s="71" t="s">
        <v>2104</v>
      </c>
      <c r="F224" s="71" t="n">
        <v>307.53</v>
      </c>
      <c r="G224" s="71" t="n">
        <v>0</v>
      </c>
      <c r="H224" s="71" t="n">
        <v>0</v>
      </c>
      <c r="I224" s="71" t="n">
        <v>0</v>
      </c>
      <c r="J224" s="71" t="n">
        <v>0</v>
      </c>
      <c r="K224" s="71" t="n">
        <v>0</v>
      </c>
      <c r="M224" s="71" t="n">
        <v>0</v>
      </c>
      <c r="O224" s="71" t="n">
        <v>0</v>
      </c>
      <c r="P224" s="71" t="n">
        <v>0</v>
      </c>
      <c r="Q224" s="117"/>
      <c r="R224" s="117"/>
      <c r="AB224" s="10"/>
      <c r="AD224" s="10"/>
      <c r="AE224" s="10"/>
    </row>
    <row r="225" customFormat="false" ht="15" hidden="false" customHeight="false" outlineLevel="0" collapsed="false">
      <c r="A225" s="71" t="s">
        <v>415</v>
      </c>
      <c r="B225" s="71" t="s">
        <v>1877</v>
      </c>
      <c r="C225" s="51" t="s">
        <v>2092</v>
      </c>
      <c r="D225" s="71" t="s">
        <v>1099</v>
      </c>
      <c r="E225" s="71" t="s">
        <v>2105</v>
      </c>
      <c r="F225" s="71" t="n">
        <v>594.63</v>
      </c>
      <c r="G225" s="71" t="n">
        <v>150</v>
      </c>
      <c r="H225" s="71" t="n">
        <v>864</v>
      </c>
      <c r="I225" s="71" t="n">
        <v>427</v>
      </c>
      <c r="J225" s="71" t="n">
        <v>437</v>
      </c>
      <c r="K225" s="71" t="n">
        <v>167</v>
      </c>
      <c r="L225" s="112" t="n">
        <f aca="false">K225/H225*100</f>
        <v>19.3287037037037</v>
      </c>
      <c r="M225" s="71" t="n">
        <v>27</v>
      </c>
      <c r="N225" s="112" t="n">
        <f aca="false">M225/H225*100</f>
        <v>3.125</v>
      </c>
      <c r="O225" s="71" t="n">
        <v>58.99</v>
      </c>
      <c r="P225" s="71" t="n">
        <v>0</v>
      </c>
      <c r="Q225" s="152" t="s">
        <v>45</v>
      </c>
      <c r="R225" s="233" t="s">
        <v>2098</v>
      </c>
      <c r="T225" s="232" t="n">
        <v>63.662</v>
      </c>
      <c r="AB225" s="11" t="n">
        <v>30.6147</v>
      </c>
      <c r="AC225" s="46" t="s">
        <v>859</v>
      </c>
      <c r="AD225" s="11"/>
      <c r="AE225" s="11"/>
    </row>
    <row r="226" customFormat="false" ht="15" hidden="false" customHeight="false" outlineLevel="0" collapsed="false">
      <c r="A226" s="71" t="s">
        <v>415</v>
      </c>
      <c r="B226" s="71" t="s">
        <v>1877</v>
      </c>
      <c r="C226" s="51" t="s">
        <v>2092</v>
      </c>
      <c r="D226" s="71" t="s">
        <v>1083</v>
      </c>
      <c r="E226" s="71" t="s">
        <v>2106</v>
      </c>
      <c r="F226" s="71" t="n">
        <v>488.29</v>
      </c>
      <c r="G226" s="71" t="n">
        <v>238</v>
      </c>
      <c r="H226" s="71" t="n">
        <v>1110</v>
      </c>
      <c r="I226" s="71" t="n">
        <v>583</v>
      </c>
      <c r="J226" s="71" t="n">
        <v>527</v>
      </c>
      <c r="K226" s="71" t="n">
        <v>274</v>
      </c>
      <c r="L226" s="112" t="n">
        <f aca="false">K226/H226*100</f>
        <v>24.6846846846847</v>
      </c>
      <c r="M226" s="71" t="n">
        <v>0</v>
      </c>
      <c r="N226" s="112" t="n">
        <f aca="false">M226/H226*100</f>
        <v>0</v>
      </c>
      <c r="O226" s="71" t="n">
        <v>37.94</v>
      </c>
      <c r="P226" s="71" t="n">
        <v>0</v>
      </c>
      <c r="Q226" s="152" t="s">
        <v>45</v>
      </c>
      <c r="R226" s="10" t="s">
        <v>2098</v>
      </c>
      <c r="T226" s="112" t="n">
        <v>53.5576</v>
      </c>
      <c r="AB226" s="10" t="n">
        <v>10.2</v>
      </c>
      <c r="AC226" s="46" t="s">
        <v>859</v>
      </c>
      <c r="AD226" s="10"/>
      <c r="AE226" s="10"/>
    </row>
    <row r="227" customFormat="false" ht="15" hidden="false" customHeight="false" outlineLevel="0" collapsed="false">
      <c r="A227" s="71" t="s">
        <v>415</v>
      </c>
      <c r="B227" s="71" t="s">
        <v>1877</v>
      </c>
      <c r="C227" s="51" t="s">
        <v>2107</v>
      </c>
      <c r="D227" s="72" t="s">
        <v>2108</v>
      </c>
      <c r="E227" s="71" t="s">
        <v>2109</v>
      </c>
      <c r="F227" s="71" t="n">
        <v>793.89</v>
      </c>
      <c r="G227" s="71" t="n">
        <v>368</v>
      </c>
      <c r="H227" s="71" t="n">
        <v>1811</v>
      </c>
      <c r="I227" s="71" t="n">
        <v>929</v>
      </c>
      <c r="J227" s="71" t="n">
        <v>882</v>
      </c>
      <c r="K227" s="71" t="n">
        <v>450</v>
      </c>
      <c r="L227" s="112" t="n">
        <f aca="false">K227/H227*100</f>
        <v>24.8481501932634</v>
      </c>
      <c r="M227" s="71" t="n">
        <v>60</v>
      </c>
      <c r="N227" s="112" t="n">
        <f aca="false">M227/H227*100</f>
        <v>3.31308669243512</v>
      </c>
      <c r="O227" s="71" t="n">
        <v>16.18</v>
      </c>
      <c r="P227" s="71" t="n">
        <v>0</v>
      </c>
      <c r="Q227" s="153" t="s">
        <v>45</v>
      </c>
      <c r="R227" s="153" t="s">
        <v>2110</v>
      </c>
      <c r="T227" s="118" t="n">
        <v>61.8281</v>
      </c>
      <c r="AB227" s="12" t="n">
        <v>9.117</v>
      </c>
      <c r="AC227" s="46" t="s">
        <v>859</v>
      </c>
      <c r="AD227" s="12" t="n">
        <v>24.190245</v>
      </c>
      <c r="AE227" s="12" t="n">
        <v>75.94578</v>
      </c>
    </row>
    <row r="228" customFormat="false" ht="15" hidden="false" customHeight="false" outlineLevel="0" collapsed="false">
      <c r="A228" s="71" t="s">
        <v>415</v>
      </c>
      <c r="B228" s="71" t="s">
        <v>1877</v>
      </c>
      <c r="C228" s="51" t="s">
        <v>2107</v>
      </c>
      <c r="D228" s="71" t="s">
        <v>2111</v>
      </c>
      <c r="E228" s="71" t="s">
        <v>2112</v>
      </c>
      <c r="F228" s="71" t="n">
        <v>303.55</v>
      </c>
      <c r="G228" s="71" t="n">
        <v>129</v>
      </c>
      <c r="H228" s="71" t="n">
        <v>680</v>
      </c>
      <c r="I228" s="71" t="n">
        <v>348</v>
      </c>
      <c r="J228" s="71" t="n">
        <v>332</v>
      </c>
      <c r="K228" s="71" t="n">
        <v>32</v>
      </c>
      <c r="L228" s="112" t="n">
        <f aca="false">K228/H228*100</f>
        <v>4.70588235294118</v>
      </c>
      <c r="M228" s="71" t="n">
        <v>0</v>
      </c>
      <c r="N228" s="112" t="n">
        <f aca="false">M228/H228*100</f>
        <v>0</v>
      </c>
      <c r="O228" s="71" t="n">
        <v>38.73</v>
      </c>
      <c r="P228" s="71" t="n">
        <v>0</v>
      </c>
      <c r="Q228" s="153" t="s">
        <v>45</v>
      </c>
      <c r="R228" s="153" t="s">
        <v>2110</v>
      </c>
      <c r="T228" s="118" t="n">
        <v>43.0483</v>
      </c>
      <c r="AB228" s="12" t="n">
        <v>0</v>
      </c>
      <c r="AC228" s="46" t="s">
        <v>859</v>
      </c>
      <c r="AD228" s="12"/>
      <c r="AE228" s="12"/>
    </row>
    <row r="229" customFormat="false" ht="15" hidden="false" customHeight="false" outlineLevel="0" collapsed="false">
      <c r="A229" s="71" t="s">
        <v>415</v>
      </c>
      <c r="B229" s="71" t="s">
        <v>1877</v>
      </c>
      <c r="C229" s="51" t="s">
        <v>2107</v>
      </c>
      <c r="D229" s="71" t="s">
        <v>2113</v>
      </c>
      <c r="E229" s="71" t="s">
        <v>2114</v>
      </c>
      <c r="F229" s="71" t="n">
        <v>392.42</v>
      </c>
      <c r="G229" s="71" t="n">
        <v>131</v>
      </c>
      <c r="H229" s="71" t="n">
        <v>795</v>
      </c>
      <c r="I229" s="71" t="n">
        <v>385</v>
      </c>
      <c r="J229" s="71" t="n">
        <v>410</v>
      </c>
      <c r="K229" s="71" t="n">
        <v>185</v>
      </c>
      <c r="L229" s="112" t="n">
        <f aca="false">K229/H229*100</f>
        <v>23.2704402515723</v>
      </c>
      <c r="M229" s="71" t="n">
        <v>0</v>
      </c>
      <c r="N229" s="112" t="n">
        <f aca="false">M229/H229*100</f>
        <v>0</v>
      </c>
      <c r="O229" s="71" t="n">
        <v>8.96</v>
      </c>
      <c r="P229" s="71" t="n">
        <v>0</v>
      </c>
      <c r="Q229" s="153" t="s">
        <v>45</v>
      </c>
      <c r="R229" s="153" t="s">
        <v>2110</v>
      </c>
      <c r="T229" s="118" t="n">
        <v>9.8011</v>
      </c>
      <c r="AB229" s="12" t="n">
        <v>6.7911</v>
      </c>
      <c r="AC229" s="46" t="s">
        <v>859</v>
      </c>
      <c r="AD229" s="12" t="n">
        <v>24.195655</v>
      </c>
      <c r="AE229" s="12" t="n">
        <v>75.968639</v>
      </c>
    </row>
    <row r="230" customFormat="false" ht="15" hidden="false" customHeight="false" outlineLevel="0" collapsed="false">
      <c r="A230" s="71" t="s">
        <v>415</v>
      </c>
      <c r="B230" s="71" t="s">
        <v>1877</v>
      </c>
      <c r="C230" s="51" t="s">
        <v>2107</v>
      </c>
      <c r="D230" s="71" t="s">
        <v>1576</v>
      </c>
      <c r="E230" s="71" t="s">
        <v>2115</v>
      </c>
      <c r="F230" s="71" t="n">
        <v>346.96</v>
      </c>
      <c r="G230" s="71" t="n">
        <v>186</v>
      </c>
      <c r="H230" s="71" t="n">
        <v>850</v>
      </c>
      <c r="I230" s="71" t="n">
        <v>438</v>
      </c>
      <c r="J230" s="71" t="n">
        <v>412</v>
      </c>
      <c r="K230" s="71" t="n">
        <v>157</v>
      </c>
      <c r="L230" s="112" t="n">
        <f aca="false">K230/H230*100</f>
        <v>18.4705882352941</v>
      </c>
      <c r="M230" s="71" t="n">
        <v>58</v>
      </c>
      <c r="N230" s="112" t="n">
        <f aca="false">M230/H230*100</f>
        <v>6.82352941176471</v>
      </c>
      <c r="O230" s="71" t="n">
        <v>31.86</v>
      </c>
      <c r="P230" s="71" t="n">
        <v>0</v>
      </c>
      <c r="Q230" s="153" t="s">
        <v>45</v>
      </c>
      <c r="R230" s="153" t="s">
        <v>2110</v>
      </c>
      <c r="T230" s="118" t="n">
        <v>31.287</v>
      </c>
      <c r="AB230" s="12" t="n">
        <v>0</v>
      </c>
      <c r="AC230" s="46" t="s">
        <v>859</v>
      </c>
      <c r="AD230" s="12"/>
      <c r="AE230" s="12"/>
    </row>
    <row r="231" customFormat="false" ht="15" hidden="false" customHeight="false" outlineLevel="0" collapsed="false">
      <c r="A231" s="71" t="s">
        <v>415</v>
      </c>
      <c r="B231" s="71" t="s">
        <v>1877</v>
      </c>
      <c r="C231" s="51" t="s">
        <v>2107</v>
      </c>
      <c r="D231" s="71" t="s">
        <v>2116</v>
      </c>
      <c r="E231" s="71" t="s">
        <v>2117</v>
      </c>
      <c r="F231" s="71" t="n">
        <v>502.13</v>
      </c>
      <c r="G231" s="71" t="n">
        <v>187</v>
      </c>
      <c r="H231" s="71" t="n">
        <v>945</v>
      </c>
      <c r="I231" s="71" t="n">
        <v>469</v>
      </c>
      <c r="J231" s="71" t="n">
        <v>476</v>
      </c>
      <c r="K231" s="71" t="n">
        <v>217</v>
      </c>
      <c r="L231" s="112" t="n">
        <f aca="false">K231/H231*100</f>
        <v>22.962962962963</v>
      </c>
      <c r="M231" s="71" t="n">
        <v>0</v>
      </c>
      <c r="N231" s="112" t="n">
        <f aca="false">M231/H231*100</f>
        <v>0</v>
      </c>
      <c r="O231" s="71" t="n">
        <v>60.29</v>
      </c>
      <c r="P231" s="71" t="n">
        <v>0</v>
      </c>
      <c r="Q231" s="153" t="s">
        <v>45</v>
      </c>
      <c r="R231" s="153" t="s">
        <v>2110</v>
      </c>
      <c r="T231" s="118" t="n">
        <v>60.1841</v>
      </c>
      <c r="AB231" s="12" t="n">
        <v>0</v>
      </c>
      <c r="AC231" s="46" t="s">
        <v>859</v>
      </c>
      <c r="AD231" s="12"/>
      <c r="AE231" s="12"/>
    </row>
    <row r="232" customFormat="false" ht="15" hidden="false" customHeight="false" outlineLevel="0" collapsed="false">
      <c r="A232" s="71" t="s">
        <v>415</v>
      </c>
      <c r="B232" s="71" t="s">
        <v>1877</v>
      </c>
      <c r="C232" s="51" t="s">
        <v>2118</v>
      </c>
      <c r="D232" s="72" t="s">
        <v>2119</v>
      </c>
      <c r="E232" s="71" t="s">
        <v>2120</v>
      </c>
      <c r="F232" s="71" t="n">
        <v>999.85</v>
      </c>
      <c r="G232" s="71" t="n">
        <v>552</v>
      </c>
      <c r="H232" s="71" t="n">
        <v>2549</v>
      </c>
      <c r="I232" s="71" t="n">
        <v>1296</v>
      </c>
      <c r="J232" s="71" t="n">
        <v>1253</v>
      </c>
      <c r="K232" s="71" t="n">
        <v>489</v>
      </c>
      <c r="L232" s="112" t="n">
        <f aca="false">K232/H232*100</f>
        <v>19.1839937230286</v>
      </c>
      <c r="M232" s="71" t="n">
        <v>57</v>
      </c>
      <c r="N232" s="112" t="n">
        <f aca="false">M232/H232*100</f>
        <v>2.2361710474696</v>
      </c>
      <c r="O232" s="71" t="n">
        <v>85.61</v>
      </c>
      <c r="P232" s="71" t="n">
        <v>0</v>
      </c>
      <c r="Q232" s="153" t="s">
        <v>43</v>
      </c>
      <c r="R232" s="153" t="s">
        <v>285</v>
      </c>
      <c r="T232" s="118" t="n">
        <v>88.7143</v>
      </c>
      <c r="AB232" s="12" t="n">
        <v>14.3157</v>
      </c>
      <c r="AC232" s="46" t="s">
        <v>910</v>
      </c>
      <c r="AD232" s="12" t="n">
        <v>24.163277</v>
      </c>
      <c r="AE232" s="12" t="n">
        <v>75.973307</v>
      </c>
    </row>
    <row r="233" customFormat="false" ht="15" hidden="false" customHeight="false" outlineLevel="0" collapsed="false">
      <c r="A233" s="71" t="s">
        <v>415</v>
      </c>
      <c r="B233" s="71" t="s">
        <v>1877</v>
      </c>
      <c r="C233" s="51" t="s">
        <v>2118</v>
      </c>
      <c r="D233" s="71" t="s">
        <v>2121</v>
      </c>
      <c r="E233" s="71" t="s">
        <v>2122</v>
      </c>
      <c r="F233" s="71" t="n">
        <v>22.35</v>
      </c>
      <c r="G233" s="71" t="n">
        <v>0</v>
      </c>
      <c r="H233" s="71" t="n">
        <v>0</v>
      </c>
      <c r="I233" s="71" t="n">
        <v>0</v>
      </c>
      <c r="J233" s="71" t="n">
        <v>0</v>
      </c>
      <c r="K233" s="71" t="n">
        <v>0</v>
      </c>
      <c r="M233" s="71" t="n">
        <v>0</v>
      </c>
      <c r="O233" s="71" t="n">
        <v>0</v>
      </c>
      <c r="P233" s="71" t="n">
        <v>0</v>
      </c>
      <c r="Q233" s="117"/>
      <c r="R233" s="117"/>
      <c r="AB233" s="10"/>
      <c r="AD233" s="10"/>
      <c r="AE233" s="10"/>
    </row>
    <row r="234" customFormat="false" ht="15" hidden="false" customHeight="false" outlineLevel="0" collapsed="false">
      <c r="A234" s="71" t="s">
        <v>415</v>
      </c>
      <c r="B234" s="71" t="s">
        <v>1877</v>
      </c>
      <c r="C234" s="51" t="s">
        <v>2118</v>
      </c>
      <c r="D234" s="71" t="s">
        <v>2123</v>
      </c>
      <c r="E234" s="71" t="s">
        <v>2124</v>
      </c>
      <c r="F234" s="71" t="n">
        <v>104.04</v>
      </c>
      <c r="G234" s="71" t="n">
        <v>8</v>
      </c>
      <c r="H234" s="71" t="n">
        <v>51</v>
      </c>
      <c r="I234" s="71" t="n">
        <v>26</v>
      </c>
      <c r="J234" s="71" t="n">
        <v>25</v>
      </c>
      <c r="K234" s="71" t="n">
        <v>0</v>
      </c>
      <c r="L234" s="112" t="n">
        <f aca="false">K234/H234*100</f>
        <v>0</v>
      </c>
      <c r="M234" s="71" t="n">
        <v>0</v>
      </c>
      <c r="N234" s="112" t="n">
        <f aca="false">M234/H234*100</f>
        <v>0</v>
      </c>
      <c r="O234" s="71" t="n">
        <v>0</v>
      </c>
      <c r="P234" s="71" t="n">
        <v>0</v>
      </c>
      <c r="Q234" s="117"/>
      <c r="R234" s="117"/>
      <c r="AB234" s="10"/>
      <c r="AD234" s="10"/>
      <c r="AE234" s="10"/>
    </row>
    <row r="235" customFormat="false" ht="15" hidden="false" customHeight="false" outlineLevel="0" collapsed="false">
      <c r="A235" s="71" t="s">
        <v>415</v>
      </c>
      <c r="B235" s="71" t="s">
        <v>1877</v>
      </c>
      <c r="C235" s="51" t="s">
        <v>2118</v>
      </c>
      <c r="D235" s="71" t="s">
        <v>2125</v>
      </c>
      <c r="E235" s="71" t="s">
        <v>2126</v>
      </c>
      <c r="F235" s="71" t="n">
        <v>378.03</v>
      </c>
      <c r="G235" s="71" t="n">
        <v>86</v>
      </c>
      <c r="H235" s="71" t="n">
        <v>356</v>
      </c>
      <c r="I235" s="71" t="n">
        <v>180</v>
      </c>
      <c r="J235" s="71" t="n">
        <v>176</v>
      </c>
      <c r="K235" s="71" t="n">
        <v>51</v>
      </c>
      <c r="L235" s="112" t="n">
        <f aca="false">K235/H235*100</f>
        <v>14.3258426966292</v>
      </c>
      <c r="M235" s="71" t="n">
        <v>2</v>
      </c>
      <c r="N235" s="112" t="n">
        <f aca="false">M235/H235*100</f>
        <v>0.561797752808989</v>
      </c>
      <c r="O235" s="71" t="n">
        <v>75.16</v>
      </c>
      <c r="P235" s="71" t="n">
        <v>0</v>
      </c>
      <c r="Q235" s="153" t="s">
        <v>43</v>
      </c>
      <c r="R235" s="153" t="s">
        <v>285</v>
      </c>
      <c r="T235" s="118" t="n">
        <v>77.004</v>
      </c>
      <c r="AB235" s="12" t="n">
        <v>4.4642</v>
      </c>
      <c r="AC235" s="46" t="s">
        <v>910</v>
      </c>
      <c r="AD235" s="12" t="n">
        <v>24.137258</v>
      </c>
      <c r="AE235" s="12" t="n">
        <v>75.993672</v>
      </c>
    </row>
    <row r="236" customFormat="false" ht="15" hidden="false" customHeight="false" outlineLevel="0" collapsed="false">
      <c r="A236" s="71" t="s">
        <v>415</v>
      </c>
      <c r="B236" s="71" t="s">
        <v>1877</v>
      </c>
      <c r="C236" s="51" t="s">
        <v>2118</v>
      </c>
      <c r="D236" s="71" t="s">
        <v>2127</v>
      </c>
      <c r="E236" s="71" t="s">
        <v>2128</v>
      </c>
      <c r="F236" s="71" t="n">
        <v>135.55</v>
      </c>
      <c r="G236" s="71" t="n">
        <v>29</v>
      </c>
      <c r="H236" s="71" t="n">
        <v>149</v>
      </c>
      <c r="I236" s="71" t="n">
        <v>73</v>
      </c>
      <c r="J236" s="71" t="n">
        <v>76</v>
      </c>
      <c r="K236" s="71" t="n">
        <v>5</v>
      </c>
      <c r="L236" s="112" t="n">
        <f aca="false">K236/H236*100</f>
        <v>3.35570469798658</v>
      </c>
      <c r="M236" s="71" t="n">
        <v>0</v>
      </c>
      <c r="N236" s="112" t="n">
        <f aca="false">M236/H236*100</f>
        <v>0</v>
      </c>
      <c r="O236" s="71" t="n">
        <v>13.76</v>
      </c>
      <c r="P236" s="71" t="n">
        <v>0</v>
      </c>
      <c r="Q236" s="153" t="s">
        <v>43</v>
      </c>
      <c r="R236" s="153" t="s">
        <v>285</v>
      </c>
      <c r="T236" s="118" t="n">
        <v>14.021</v>
      </c>
      <c r="AB236" s="12" t="n">
        <v>7.9419</v>
      </c>
      <c r="AC236" s="46" t="s">
        <v>910</v>
      </c>
      <c r="AD236" s="12" t="n">
        <v>24.160048</v>
      </c>
      <c r="AE236" s="12" t="n">
        <v>76.001959</v>
      </c>
    </row>
    <row r="237" customFormat="false" ht="15" hidden="false" customHeight="false" outlineLevel="0" collapsed="false">
      <c r="A237" s="71" t="s">
        <v>415</v>
      </c>
      <c r="B237" s="71" t="s">
        <v>1877</v>
      </c>
      <c r="C237" s="51" t="s">
        <v>2118</v>
      </c>
      <c r="D237" s="71" t="s">
        <v>2127</v>
      </c>
      <c r="E237" s="71"/>
      <c r="F237" s="71"/>
      <c r="G237" s="71"/>
      <c r="H237" s="71"/>
      <c r="I237" s="71"/>
      <c r="J237" s="71"/>
      <c r="K237" s="71"/>
      <c r="M237" s="71"/>
      <c r="O237" s="71"/>
      <c r="P237" s="71"/>
      <c r="Q237" s="153" t="s">
        <v>43</v>
      </c>
      <c r="R237" s="153" t="s">
        <v>285</v>
      </c>
      <c r="T237" s="118"/>
      <c r="AB237" s="12" t="n">
        <v>2</v>
      </c>
      <c r="AC237" s="46" t="s">
        <v>910</v>
      </c>
      <c r="AD237" s="12" t="n">
        <v>24.15929</v>
      </c>
      <c r="AE237" s="12" t="n">
        <v>76.00492</v>
      </c>
    </row>
    <row r="238" customFormat="false" ht="15" hidden="false" customHeight="false" outlineLevel="0" collapsed="false">
      <c r="A238" s="71" t="s">
        <v>415</v>
      </c>
      <c r="B238" s="71" t="s">
        <v>1877</v>
      </c>
      <c r="C238" s="51" t="s">
        <v>2118</v>
      </c>
      <c r="D238" s="71" t="s">
        <v>2129</v>
      </c>
      <c r="E238" s="71" t="s">
        <v>2130</v>
      </c>
      <c r="F238" s="71" t="n">
        <v>430.53</v>
      </c>
      <c r="G238" s="71" t="n">
        <v>110</v>
      </c>
      <c r="H238" s="71" t="n">
        <v>565</v>
      </c>
      <c r="I238" s="71" t="n">
        <v>280</v>
      </c>
      <c r="J238" s="71" t="n">
        <v>285</v>
      </c>
      <c r="K238" s="71" t="n">
        <v>35</v>
      </c>
      <c r="L238" s="112" t="n">
        <f aca="false">K238/H238*100</f>
        <v>6.19469026548673</v>
      </c>
      <c r="M238" s="71" t="n">
        <v>0</v>
      </c>
      <c r="N238" s="112" t="n">
        <f aca="false">M238/H238*100</f>
        <v>0</v>
      </c>
      <c r="O238" s="71" t="n">
        <v>32.14</v>
      </c>
      <c r="P238" s="71" t="n">
        <v>0</v>
      </c>
      <c r="Q238" s="153" t="s">
        <v>43</v>
      </c>
      <c r="R238" s="153" t="s">
        <v>285</v>
      </c>
      <c r="T238" s="118" t="n">
        <v>32.7165</v>
      </c>
      <c r="AB238" s="12" t="n">
        <v>5.67</v>
      </c>
      <c r="AC238" s="46" t="s">
        <v>910</v>
      </c>
      <c r="AD238" s="12" t="n">
        <v>24.193901</v>
      </c>
      <c r="AE238" s="12" t="n">
        <v>75.991822</v>
      </c>
    </row>
    <row r="239" customFormat="false" ht="15" hidden="false" customHeight="false" outlineLevel="0" collapsed="false">
      <c r="A239" s="71" t="s">
        <v>415</v>
      </c>
      <c r="B239" s="71" t="s">
        <v>1877</v>
      </c>
      <c r="C239" s="51" t="s">
        <v>2118</v>
      </c>
      <c r="D239" s="71" t="s">
        <v>2131</v>
      </c>
      <c r="E239" s="71" t="s">
        <v>2132</v>
      </c>
      <c r="F239" s="71" t="n">
        <v>75.48</v>
      </c>
      <c r="G239" s="71" t="n">
        <v>47</v>
      </c>
      <c r="H239" s="71" t="n">
        <v>253</v>
      </c>
      <c r="I239" s="71" t="n">
        <v>133</v>
      </c>
      <c r="J239" s="71" t="n">
        <v>120</v>
      </c>
      <c r="K239" s="71" t="n">
        <v>55</v>
      </c>
      <c r="L239" s="112" t="n">
        <f aca="false">K239/H239*100</f>
        <v>21.7391304347826</v>
      </c>
      <c r="M239" s="71" t="n">
        <v>0</v>
      </c>
      <c r="N239" s="112" t="n">
        <f aca="false">M239/H239*100</f>
        <v>0</v>
      </c>
      <c r="O239" s="71" t="n">
        <v>18.9</v>
      </c>
      <c r="P239" s="71" t="n">
        <v>0</v>
      </c>
      <c r="Q239" s="153" t="s">
        <v>43</v>
      </c>
      <c r="R239" s="153" t="s">
        <v>285</v>
      </c>
      <c r="T239" s="118" t="n">
        <v>19.0962</v>
      </c>
      <c r="AB239" s="12" t="n">
        <v>0</v>
      </c>
      <c r="AC239" s="46" t="s">
        <v>910</v>
      </c>
      <c r="AD239" s="12" t="n">
        <v>24.166415</v>
      </c>
      <c r="AE239" s="12" t="n">
        <v>76.010408</v>
      </c>
    </row>
    <row r="240" customFormat="false" ht="15" hidden="false" customHeight="false" outlineLevel="0" collapsed="false">
      <c r="A240" s="71" t="s">
        <v>415</v>
      </c>
      <c r="B240" s="71" t="s">
        <v>1877</v>
      </c>
      <c r="C240" s="51" t="s">
        <v>2118</v>
      </c>
      <c r="D240" s="71" t="s">
        <v>1123</v>
      </c>
      <c r="E240" s="71" t="s">
        <v>2133</v>
      </c>
      <c r="F240" s="71" t="n">
        <v>183.79</v>
      </c>
      <c r="G240" s="71" t="n">
        <v>26</v>
      </c>
      <c r="H240" s="71" t="n">
        <v>126</v>
      </c>
      <c r="I240" s="71" t="n">
        <v>62</v>
      </c>
      <c r="J240" s="71" t="n">
        <v>64</v>
      </c>
      <c r="K240" s="71" t="n">
        <v>3</v>
      </c>
      <c r="L240" s="112" t="n">
        <f aca="false">K240/H240*100</f>
        <v>2.38095238095238</v>
      </c>
      <c r="M240" s="71" t="n">
        <v>0</v>
      </c>
      <c r="N240" s="112" t="n">
        <f aca="false">M240/H240*100</f>
        <v>0</v>
      </c>
      <c r="O240" s="71" t="n">
        <v>15.81</v>
      </c>
      <c r="P240" s="71" t="n">
        <v>0</v>
      </c>
      <c r="Q240" s="153" t="s">
        <v>43</v>
      </c>
      <c r="R240" s="153" t="s">
        <v>285</v>
      </c>
      <c r="T240" s="118" t="n">
        <v>15.5676</v>
      </c>
      <c r="AB240" s="12" t="n">
        <v>1.6693</v>
      </c>
      <c r="AC240" s="46" t="s">
        <v>910</v>
      </c>
      <c r="AD240" s="12" t="n">
        <v>24.174814</v>
      </c>
      <c r="AE240" s="12" t="n">
        <v>76.005598</v>
      </c>
    </row>
    <row r="241" customFormat="false" ht="15" hidden="false" customHeight="false" outlineLevel="0" collapsed="false">
      <c r="A241" s="71" t="s">
        <v>415</v>
      </c>
      <c r="B241" s="71" t="s">
        <v>1877</v>
      </c>
      <c r="C241" s="51" t="s">
        <v>2134</v>
      </c>
      <c r="D241" s="72" t="s">
        <v>2135</v>
      </c>
      <c r="E241" s="71" t="s">
        <v>2136</v>
      </c>
      <c r="F241" s="71" t="n">
        <v>824.02</v>
      </c>
      <c r="G241" s="71" t="n">
        <v>372</v>
      </c>
      <c r="H241" s="71" t="n">
        <v>1875</v>
      </c>
      <c r="I241" s="71" t="n">
        <v>960</v>
      </c>
      <c r="J241" s="71" t="n">
        <v>915</v>
      </c>
      <c r="K241" s="71" t="n">
        <v>485</v>
      </c>
      <c r="L241" s="112" t="n">
        <f aca="false">K241/H241*100</f>
        <v>25.8666666666667</v>
      </c>
      <c r="M241" s="71" t="n">
        <v>92</v>
      </c>
      <c r="N241" s="112" t="n">
        <f aca="false">M241/H241*100</f>
        <v>4.90666666666667</v>
      </c>
      <c r="O241" s="71" t="n">
        <v>61.58</v>
      </c>
      <c r="P241" s="71" t="n">
        <v>0</v>
      </c>
      <c r="Q241" s="153" t="s">
        <v>45</v>
      </c>
      <c r="R241" s="153" t="s">
        <v>2137</v>
      </c>
      <c r="T241" s="118" t="n">
        <v>66.8491</v>
      </c>
      <c r="AB241" s="12" t="n">
        <v>7.8155</v>
      </c>
      <c r="AC241" s="46" t="s">
        <v>859</v>
      </c>
      <c r="AD241" s="12" t="n">
        <v>24.276677</v>
      </c>
      <c r="AE241" s="12" t="n">
        <v>76.033603</v>
      </c>
    </row>
    <row r="242" customFormat="false" ht="15" hidden="false" customHeight="false" outlineLevel="0" collapsed="false">
      <c r="A242" s="71" t="s">
        <v>415</v>
      </c>
      <c r="B242" s="71" t="s">
        <v>1877</v>
      </c>
      <c r="C242" s="51" t="s">
        <v>2134</v>
      </c>
      <c r="D242" s="72" t="s">
        <v>2135</v>
      </c>
      <c r="E242" s="71"/>
      <c r="F242" s="71"/>
      <c r="G242" s="71"/>
      <c r="H242" s="71"/>
      <c r="I242" s="71"/>
      <c r="J242" s="71"/>
      <c r="K242" s="71"/>
      <c r="M242" s="71"/>
      <c r="O242" s="71"/>
      <c r="P242" s="71"/>
      <c r="Q242" s="153" t="s">
        <v>45</v>
      </c>
      <c r="R242" s="153" t="s">
        <v>2137</v>
      </c>
      <c r="AB242" s="12" t="n">
        <v>9</v>
      </c>
      <c r="AC242" s="46" t="s">
        <v>859</v>
      </c>
      <c r="AD242" s="12" t="n">
        <v>24.290115</v>
      </c>
      <c r="AE242" s="12" t="n">
        <v>76.031806</v>
      </c>
    </row>
    <row r="243" customFormat="false" ht="15" hidden="false" customHeight="false" outlineLevel="0" collapsed="false">
      <c r="A243" s="71" t="s">
        <v>415</v>
      </c>
      <c r="B243" s="71" t="s">
        <v>1877</v>
      </c>
      <c r="C243" s="51" t="s">
        <v>2134</v>
      </c>
      <c r="D243" s="72" t="s">
        <v>2135</v>
      </c>
      <c r="E243" s="71"/>
      <c r="F243" s="71"/>
      <c r="G243" s="71"/>
      <c r="H243" s="71"/>
      <c r="I243" s="71"/>
      <c r="J243" s="71"/>
      <c r="K243" s="71"/>
      <c r="M243" s="71"/>
      <c r="O243" s="71"/>
      <c r="P243" s="71"/>
      <c r="Q243" s="185" t="s">
        <v>45</v>
      </c>
      <c r="R243" s="153" t="s">
        <v>2137</v>
      </c>
      <c r="AB243" s="12" t="n">
        <v>29</v>
      </c>
      <c r="AC243" s="46" t="s">
        <v>859</v>
      </c>
      <c r="AD243" s="12" t="n">
        <v>24.275878</v>
      </c>
      <c r="AE243" s="12" t="n">
        <v>76.038165</v>
      </c>
    </row>
    <row r="244" customFormat="false" ht="15" hidden="false" customHeight="false" outlineLevel="0" collapsed="false">
      <c r="A244" s="71" t="s">
        <v>415</v>
      </c>
      <c r="B244" s="71" t="s">
        <v>1877</v>
      </c>
      <c r="C244" s="51" t="s">
        <v>2134</v>
      </c>
      <c r="D244" s="71" t="s">
        <v>2138</v>
      </c>
      <c r="E244" s="71" t="s">
        <v>2139</v>
      </c>
      <c r="F244" s="71" t="n">
        <v>164.83</v>
      </c>
      <c r="G244" s="71" t="n">
        <v>40</v>
      </c>
      <c r="H244" s="71" t="n">
        <v>201</v>
      </c>
      <c r="I244" s="71" t="n">
        <v>98</v>
      </c>
      <c r="J244" s="71" t="n">
        <v>103</v>
      </c>
      <c r="K244" s="71" t="n">
        <v>4</v>
      </c>
      <c r="L244" s="112" t="n">
        <f aca="false">K244/H244*100</f>
        <v>1.99004975124378</v>
      </c>
      <c r="M244" s="71" t="n">
        <v>0</v>
      </c>
      <c r="N244" s="112" t="n">
        <f aca="false">M244/H244*100</f>
        <v>0</v>
      </c>
      <c r="O244" s="71" t="n">
        <v>15.68</v>
      </c>
      <c r="P244" s="71" t="n">
        <v>0</v>
      </c>
      <c r="Q244" s="153" t="s">
        <v>45</v>
      </c>
      <c r="R244" s="153" t="s">
        <v>464</v>
      </c>
      <c r="T244" s="118" t="n">
        <v>15.9977</v>
      </c>
      <c r="AB244" s="12" t="n">
        <v>0</v>
      </c>
      <c r="AC244" s="46" t="s">
        <v>859</v>
      </c>
      <c r="AD244" s="12"/>
      <c r="AE244" s="12"/>
    </row>
    <row r="245" customFormat="false" ht="15" hidden="false" customHeight="false" outlineLevel="0" collapsed="false">
      <c r="A245" s="71" t="s">
        <v>415</v>
      </c>
      <c r="B245" s="71" t="s">
        <v>1877</v>
      </c>
      <c r="C245" s="51" t="s">
        <v>2134</v>
      </c>
      <c r="D245" s="71" t="s">
        <v>2140</v>
      </c>
      <c r="E245" s="71" t="s">
        <v>2141</v>
      </c>
      <c r="F245" s="71" t="n">
        <v>489.26</v>
      </c>
      <c r="G245" s="71" t="n">
        <v>121</v>
      </c>
      <c r="H245" s="71" t="n">
        <v>554</v>
      </c>
      <c r="I245" s="71" t="n">
        <v>281</v>
      </c>
      <c r="J245" s="71" t="n">
        <v>273</v>
      </c>
      <c r="K245" s="71" t="n">
        <v>554</v>
      </c>
      <c r="L245" s="112" t="n">
        <f aca="false">K245/H245*100</f>
        <v>100</v>
      </c>
      <c r="M245" s="71" t="n">
        <v>0</v>
      </c>
      <c r="N245" s="112" t="n">
        <f aca="false">M245/H245*100</f>
        <v>0</v>
      </c>
      <c r="O245" s="71" t="n">
        <v>8.48</v>
      </c>
      <c r="P245" s="71" t="n">
        <v>89.63</v>
      </c>
      <c r="Q245" s="153" t="s">
        <v>45</v>
      </c>
      <c r="R245" s="153" t="s">
        <v>464</v>
      </c>
      <c r="T245" s="118" t="n">
        <v>8.4857</v>
      </c>
      <c r="AB245" s="12" t="n">
        <v>0</v>
      </c>
      <c r="AC245" s="46" t="s">
        <v>859</v>
      </c>
      <c r="AD245" s="12"/>
      <c r="AE245" s="12"/>
    </row>
    <row r="246" customFormat="false" ht="15" hidden="false" customHeight="false" outlineLevel="0" collapsed="false">
      <c r="A246" s="71" t="s">
        <v>415</v>
      </c>
      <c r="B246" s="71" t="s">
        <v>1877</v>
      </c>
      <c r="C246" s="51" t="s">
        <v>2134</v>
      </c>
      <c r="D246" s="71" t="s">
        <v>2142</v>
      </c>
      <c r="E246" s="71" t="s">
        <v>2143</v>
      </c>
      <c r="F246" s="71" t="n">
        <v>362.32</v>
      </c>
      <c r="G246" s="71" t="n">
        <v>154</v>
      </c>
      <c r="H246" s="71" t="n">
        <v>865</v>
      </c>
      <c r="I246" s="71" t="n">
        <v>448</v>
      </c>
      <c r="J246" s="71" t="n">
        <v>417</v>
      </c>
      <c r="K246" s="71" t="n">
        <v>183</v>
      </c>
      <c r="L246" s="112" t="n">
        <f aca="false">K246/H246*100</f>
        <v>21.1560693641619</v>
      </c>
      <c r="M246" s="71" t="n">
        <v>43</v>
      </c>
      <c r="N246" s="112" t="n">
        <f aca="false">M246/H246*100</f>
        <v>4.97109826589595</v>
      </c>
      <c r="O246" s="71" t="n">
        <v>34.64</v>
      </c>
      <c r="P246" s="71" t="n">
        <v>0</v>
      </c>
      <c r="Q246" s="153" t="s">
        <v>45</v>
      </c>
      <c r="R246" s="153" t="s">
        <v>464</v>
      </c>
      <c r="T246" s="118" t="n">
        <v>35.7136</v>
      </c>
      <c r="W246" s="112" t="s">
        <v>43</v>
      </c>
      <c r="X246" s="112" t="s">
        <v>43</v>
      </c>
      <c r="Y246" s="112" t="s">
        <v>43</v>
      </c>
      <c r="Z246" s="112" t="s">
        <v>43</v>
      </c>
      <c r="AA246" s="112" t="s">
        <v>43</v>
      </c>
      <c r="AB246" s="12" t="n">
        <v>6.7406</v>
      </c>
      <c r="AC246" s="46" t="s">
        <v>859</v>
      </c>
      <c r="AD246" s="12" t="n">
        <v>24.313384</v>
      </c>
      <c r="AE246" s="12" t="n">
        <v>76.043273</v>
      </c>
    </row>
    <row r="247" customFormat="false" ht="15" hidden="false" customHeight="false" outlineLevel="0" collapsed="false">
      <c r="A247" s="71" t="s">
        <v>415</v>
      </c>
      <c r="B247" s="71" t="s">
        <v>1877</v>
      </c>
      <c r="C247" s="51" t="s">
        <v>2144</v>
      </c>
      <c r="D247" s="72" t="s">
        <v>2145</v>
      </c>
      <c r="E247" s="71" t="s">
        <v>2146</v>
      </c>
      <c r="F247" s="71" t="n">
        <v>1255.91</v>
      </c>
      <c r="G247" s="71" t="n">
        <v>415</v>
      </c>
      <c r="H247" s="71" t="n">
        <v>2171</v>
      </c>
      <c r="I247" s="71" t="n">
        <v>1119</v>
      </c>
      <c r="J247" s="71" t="n">
        <v>1052</v>
      </c>
      <c r="K247" s="71" t="n">
        <v>302</v>
      </c>
      <c r="L247" s="112" t="n">
        <f aca="false">K247/H247*100</f>
        <v>13.9106402579456</v>
      </c>
      <c r="M247" s="71" t="n">
        <v>84</v>
      </c>
      <c r="N247" s="112" t="n">
        <f aca="false">M247/H247*100</f>
        <v>3.86918470750806</v>
      </c>
      <c r="O247" s="71" t="n">
        <v>97.28</v>
      </c>
      <c r="P247" s="71" t="n">
        <v>177.16</v>
      </c>
      <c r="Q247" s="152" t="s">
        <v>45</v>
      </c>
      <c r="R247" s="153" t="s">
        <v>57</v>
      </c>
      <c r="T247" s="118" t="n">
        <v>100.0585</v>
      </c>
      <c r="AB247" s="12" t="n">
        <v>1.05</v>
      </c>
      <c r="AC247" s="46" t="s">
        <v>859</v>
      </c>
      <c r="AD247" s="12" t="n">
        <v>24.30017</v>
      </c>
      <c r="AE247" s="12" t="n">
        <v>76.0805</v>
      </c>
    </row>
    <row r="248" customFormat="false" ht="15" hidden="false" customHeight="false" outlineLevel="0" collapsed="false">
      <c r="A248" s="71" t="s">
        <v>415</v>
      </c>
      <c r="B248" s="71" t="s">
        <v>1877</v>
      </c>
      <c r="C248" s="51" t="s">
        <v>2144</v>
      </c>
      <c r="D248" s="72" t="s">
        <v>2145</v>
      </c>
      <c r="E248" s="71"/>
      <c r="F248" s="71"/>
      <c r="G248" s="71"/>
      <c r="H248" s="71"/>
      <c r="I248" s="71"/>
      <c r="J248" s="71"/>
      <c r="K248" s="71"/>
      <c r="M248" s="71"/>
      <c r="N248" s="112" t="e">
        <f aca="false">M248/H248*100</f>
        <v>#DIV/0!</v>
      </c>
      <c r="O248" s="71"/>
      <c r="P248" s="71"/>
      <c r="Q248" s="152" t="s">
        <v>45</v>
      </c>
      <c r="R248" s="153" t="s">
        <v>57</v>
      </c>
      <c r="T248" s="118"/>
      <c r="AB248" s="12" t="n">
        <v>25</v>
      </c>
      <c r="AC248" s="46" t="s">
        <v>859</v>
      </c>
      <c r="AD248" s="12" t="n">
        <v>24.30278</v>
      </c>
      <c r="AE248" s="12" t="n">
        <v>76.078177</v>
      </c>
    </row>
    <row r="249" customFormat="false" ht="15" hidden="false" customHeight="false" outlineLevel="0" collapsed="false">
      <c r="A249" s="71" t="s">
        <v>415</v>
      </c>
      <c r="B249" s="71" t="s">
        <v>1877</v>
      </c>
      <c r="C249" s="51" t="s">
        <v>2144</v>
      </c>
      <c r="D249" s="72" t="s">
        <v>2145</v>
      </c>
      <c r="E249" s="71"/>
      <c r="F249" s="71"/>
      <c r="G249" s="71"/>
      <c r="H249" s="71"/>
      <c r="I249" s="71"/>
      <c r="J249" s="71"/>
      <c r="K249" s="71"/>
      <c r="M249" s="71"/>
      <c r="N249" s="112" t="e">
        <f aca="false">M249/H249*100</f>
        <v>#DIV/0!</v>
      </c>
      <c r="O249" s="71"/>
      <c r="P249" s="71"/>
      <c r="Q249" s="152" t="s">
        <v>45</v>
      </c>
      <c r="R249" s="153" t="s">
        <v>57</v>
      </c>
      <c r="T249" s="118"/>
      <c r="AB249" s="12" t="n">
        <v>15</v>
      </c>
      <c r="AC249" s="46" t="s">
        <v>859</v>
      </c>
      <c r="AD249" s="12" t="n">
        <v>24.300491</v>
      </c>
      <c r="AE249" s="12" t="n">
        <v>76.082488</v>
      </c>
    </row>
    <row r="250" customFormat="false" ht="15" hidden="false" customHeight="false" outlineLevel="0" collapsed="false">
      <c r="A250" s="71" t="s">
        <v>415</v>
      </c>
      <c r="B250" s="71" t="s">
        <v>1877</v>
      </c>
      <c r="C250" s="51" t="s">
        <v>2144</v>
      </c>
      <c r="D250" s="71" t="s">
        <v>2147</v>
      </c>
      <c r="E250" s="71" t="s">
        <v>2148</v>
      </c>
      <c r="F250" s="71" t="n">
        <v>401.77</v>
      </c>
      <c r="G250" s="71" t="n">
        <v>227</v>
      </c>
      <c r="H250" s="71" t="n">
        <v>1080</v>
      </c>
      <c r="I250" s="71" t="n">
        <v>559</v>
      </c>
      <c r="J250" s="71" t="n">
        <v>521</v>
      </c>
      <c r="K250" s="71" t="n">
        <v>394</v>
      </c>
      <c r="L250" s="112" t="n">
        <f aca="false">K250/H250*100</f>
        <v>36.4814814814815</v>
      </c>
      <c r="M250" s="71" t="n">
        <v>0</v>
      </c>
      <c r="N250" s="112" t="n">
        <f aca="false">M250/H250*100</f>
        <v>0</v>
      </c>
      <c r="O250" s="71" t="n">
        <v>51.53</v>
      </c>
      <c r="P250" s="71" t="n">
        <v>0</v>
      </c>
      <c r="Q250" s="152" t="s">
        <v>45</v>
      </c>
      <c r="R250" s="153" t="s">
        <v>57</v>
      </c>
      <c r="T250" s="118" t="n">
        <v>56.7949</v>
      </c>
      <c r="AB250" s="12" t="n">
        <v>1.02</v>
      </c>
      <c r="AC250" s="46" t="s">
        <v>859</v>
      </c>
      <c r="AD250" s="12" t="n">
        <v>24.2999</v>
      </c>
      <c r="AE250" s="12" t="n">
        <v>76.05648</v>
      </c>
    </row>
    <row r="251" customFormat="false" ht="15" hidden="false" customHeight="false" outlineLevel="0" collapsed="false">
      <c r="A251" s="71" t="s">
        <v>415</v>
      </c>
      <c r="B251" s="71" t="s">
        <v>1877</v>
      </c>
      <c r="C251" s="51" t="s">
        <v>2144</v>
      </c>
      <c r="D251" s="71" t="s">
        <v>2149</v>
      </c>
      <c r="E251" s="71" t="s">
        <v>2150</v>
      </c>
      <c r="F251" s="71" t="n">
        <v>177.3</v>
      </c>
      <c r="G251" s="71" t="n">
        <v>115</v>
      </c>
      <c r="H251" s="71" t="n">
        <v>506</v>
      </c>
      <c r="I251" s="71" t="n">
        <v>246</v>
      </c>
      <c r="J251" s="71" t="n">
        <v>260</v>
      </c>
      <c r="K251" s="71" t="n">
        <v>27</v>
      </c>
      <c r="L251" s="112" t="n">
        <f aca="false">K251/H251*100</f>
        <v>5.33596837944664</v>
      </c>
      <c r="M251" s="71" t="n">
        <v>0</v>
      </c>
      <c r="N251" s="112" t="n">
        <f aca="false">M251/H251*100</f>
        <v>0</v>
      </c>
      <c r="O251" s="71" t="n">
        <v>35.41</v>
      </c>
      <c r="P251" s="71" t="n">
        <v>0</v>
      </c>
      <c r="Q251" s="152" t="s">
        <v>45</v>
      </c>
      <c r="R251" s="153" t="s">
        <v>57</v>
      </c>
      <c r="T251" s="118" t="n">
        <v>35.372</v>
      </c>
      <c r="AB251" s="12" t="n">
        <v>1.08</v>
      </c>
      <c r="AC251" s="46" t="s">
        <v>859</v>
      </c>
      <c r="AD251" s="12" t="n">
        <v>24.299913</v>
      </c>
      <c r="AE251" s="12" t="n">
        <v>76.080152</v>
      </c>
    </row>
    <row r="252" customFormat="false" ht="15" hidden="false" customHeight="false" outlineLevel="0" collapsed="false">
      <c r="A252" s="71" t="s">
        <v>415</v>
      </c>
      <c r="B252" s="71" t="s">
        <v>1877</v>
      </c>
      <c r="C252" s="51" t="s">
        <v>2144</v>
      </c>
      <c r="D252" s="71" t="s">
        <v>2149</v>
      </c>
      <c r="E252" s="71"/>
      <c r="F252" s="71"/>
      <c r="G252" s="71"/>
      <c r="H252" s="71"/>
      <c r="I252" s="71"/>
      <c r="J252" s="71"/>
      <c r="K252" s="71"/>
      <c r="M252" s="71"/>
      <c r="N252" s="112" t="e">
        <f aca="false">M252/H252*100</f>
        <v>#DIV/0!</v>
      </c>
      <c r="O252" s="71"/>
      <c r="P252" s="71"/>
      <c r="Q252" s="152" t="s">
        <v>45</v>
      </c>
      <c r="R252" s="153" t="s">
        <v>57</v>
      </c>
      <c r="T252" s="118"/>
      <c r="AB252" s="12" t="n">
        <v>15</v>
      </c>
      <c r="AC252" s="46" t="s">
        <v>859</v>
      </c>
      <c r="AD252" s="12" t="n">
        <v>24.309456</v>
      </c>
      <c r="AE252" s="12" t="n">
        <v>76.073378</v>
      </c>
    </row>
    <row r="253" customFormat="false" ht="15" hidden="false" customHeight="false" outlineLevel="0" collapsed="false">
      <c r="A253" s="71" t="s">
        <v>415</v>
      </c>
      <c r="B253" s="71" t="s">
        <v>1877</v>
      </c>
      <c r="C253" s="51" t="s">
        <v>2144</v>
      </c>
      <c r="D253" s="71" t="s">
        <v>2149</v>
      </c>
      <c r="E253" s="71"/>
      <c r="F253" s="71"/>
      <c r="G253" s="71"/>
      <c r="H253" s="71"/>
      <c r="I253" s="71"/>
      <c r="J253" s="71"/>
      <c r="K253" s="71"/>
      <c r="M253" s="71"/>
      <c r="N253" s="112" t="e">
        <f aca="false">M253/H253*100</f>
        <v>#DIV/0!</v>
      </c>
      <c r="O253" s="71"/>
      <c r="P253" s="71"/>
      <c r="Q253" s="152" t="s">
        <v>45</v>
      </c>
      <c r="R253" s="153" t="s">
        <v>57</v>
      </c>
      <c r="T253" s="118"/>
      <c r="AB253" s="12" t="n">
        <v>14</v>
      </c>
      <c r="AC253" s="46" t="s">
        <v>859</v>
      </c>
      <c r="AD253" s="12" t="n">
        <v>24.309386</v>
      </c>
      <c r="AE253" s="12" t="n">
        <v>76.072077</v>
      </c>
    </row>
    <row r="254" customFormat="false" ht="15" hidden="false" customHeight="false" outlineLevel="0" collapsed="false">
      <c r="A254" s="71" t="s">
        <v>415</v>
      </c>
      <c r="B254" s="71" t="s">
        <v>1877</v>
      </c>
      <c r="C254" s="51" t="s">
        <v>2144</v>
      </c>
      <c r="D254" s="71" t="s">
        <v>296</v>
      </c>
      <c r="E254" s="71" t="s">
        <v>2151</v>
      </c>
      <c r="F254" s="71" t="n">
        <v>683.88</v>
      </c>
      <c r="G254" s="71" t="n">
        <v>218</v>
      </c>
      <c r="H254" s="71" t="n">
        <v>1157</v>
      </c>
      <c r="I254" s="71" t="n">
        <v>606</v>
      </c>
      <c r="J254" s="71" t="n">
        <v>551</v>
      </c>
      <c r="K254" s="71" t="n">
        <v>40</v>
      </c>
      <c r="L254" s="112" t="n">
        <f aca="false">K254/H254*100</f>
        <v>3.45721694036301</v>
      </c>
      <c r="M254" s="71" t="n">
        <v>0</v>
      </c>
      <c r="N254" s="112" t="n">
        <f aca="false">M254/H254*100</f>
        <v>0</v>
      </c>
      <c r="O254" s="71" t="n">
        <v>64.06</v>
      </c>
      <c r="P254" s="71" t="n">
        <v>80.49</v>
      </c>
      <c r="Q254" s="152" t="s">
        <v>45</v>
      </c>
      <c r="R254" s="153" t="s">
        <v>57</v>
      </c>
      <c r="T254" s="118" t="n">
        <v>67.3168</v>
      </c>
      <c r="AB254" s="12" t="n">
        <v>1.03</v>
      </c>
      <c r="AC254" s="46" t="s">
        <v>859</v>
      </c>
      <c r="AD254" s="12" t="n">
        <v>24.2998</v>
      </c>
      <c r="AE254" s="12" t="n">
        <v>76.08</v>
      </c>
    </row>
    <row r="255" customFormat="false" ht="15" hidden="false" customHeight="false" outlineLevel="0" collapsed="false">
      <c r="A255" s="71" t="s">
        <v>415</v>
      </c>
      <c r="B255" s="71" t="s">
        <v>1877</v>
      </c>
      <c r="C255" s="51" t="s">
        <v>2152</v>
      </c>
      <c r="D255" s="72" t="s">
        <v>2153</v>
      </c>
      <c r="E255" s="71" t="s">
        <v>2154</v>
      </c>
      <c r="F255" s="71" t="n">
        <v>733.86</v>
      </c>
      <c r="G255" s="71" t="n">
        <v>256</v>
      </c>
      <c r="H255" s="71" t="n">
        <v>1328</v>
      </c>
      <c r="I255" s="71" t="n">
        <v>684</v>
      </c>
      <c r="J255" s="71" t="n">
        <v>644</v>
      </c>
      <c r="K255" s="71" t="n">
        <v>398</v>
      </c>
      <c r="L255" s="112" t="n">
        <f aca="false">K255/H255*100</f>
        <v>29.9698795180723</v>
      </c>
      <c r="M255" s="71" t="n">
        <v>0</v>
      </c>
      <c r="N255" s="112" t="n">
        <f aca="false">M255/H255*100</f>
        <v>0</v>
      </c>
      <c r="O255" s="71" t="n">
        <v>60.28</v>
      </c>
      <c r="P255" s="71" t="n">
        <v>65.65</v>
      </c>
      <c r="Q255" s="153" t="s">
        <v>43</v>
      </c>
      <c r="R255" s="153" t="s">
        <v>285</v>
      </c>
      <c r="T255" s="118" t="n">
        <v>196.01</v>
      </c>
      <c r="AB255" s="12" t="n">
        <v>0</v>
      </c>
      <c r="AC255" s="46" t="s">
        <v>910</v>
      </c>
      <c r="AD255" s="12" t="n">
        <v>24.1556</v>
      </c>
      <c r="AE255" s="12" t="n">
        <v>75.9105</v>
      </c>
    </row>
    <row r="256" customFormat="false" ht="15" hidden="false" customHeight="false" outlineLevel="0" collapsed="false">
      <c r="A256" s="71" t="s">
        <v>415</v>
      </c>
      <c r="B256" s="71" t="s">
        <v>1877</v>
      </c>
      <c r="C256" s="51" t="s">
        <v>2152</v>
      </c>
      <c r="D256" s="71" t="s">
        <v>2155</v>
      </c>
      <c r="E256" s="71" t="s">
        <v>2156</v>
      </c>
      <c r="F256" s="71" t="n">
        <v>167.99</v>
      </c>
      <c r="G256" s="71" t="n">
        <v>11</v>
      </c>
      <c r="H256" s="71" t="n">
        <v>34</v>
      </c>
      <c r="I256" s="71" t="n">
        <v>29</v>
      </c>
      <c r="J256" s="71" t="n">
        <v>5</v>
      </c>
      <c r="K256" s="71" t="n">
        <v>4</v>
      </c>
      <c r="L256" s="112" t="n">
        <f aca="false">K256/H256*100</f>
        <v>11.7647058823529</v>
      </c>
      <c r="M256" s="71" t="n">
        <v>3</v>
      </c>
      <c r="N256" s="112" t="n">
        <f aca="false">M256/H256*100</f>
        <v>8.82352941176471</v>
      </c>
      <c r="O256" s="71" t="n">
        <v>0</v>
      </c>
      <c r="P256" s="71" t="n">
        <v>0</v>
      </c>
      <c r="Q256" s="117"/>
      <c r="R256" s="117"/>
      <c r="AB256" s="10"/>
      <c r="AD256" s="10"/>
      <c r="AE256" s="10"/>
    </row>
    <row r="257" customFormat="false" ht="15" hidden="false" customHeight="false" outlineLevel="0" collapsed="false">
      <c r="A257" s="71" t="s">
        <v>415</v>
      </c>
      <c r="B257" s="71" t="s">
        <v>1877</v>
      </c>
      <c r="C257" s="51" t="s">
        <v>2152</v>
      </c>
      <c r="D257" s="71" t="s">
        <v>1928</v>
      </c>
      <c r="E257" s="71" t="s">
        <v>2157</v>
      </c>
      <c r="F257" s="71" t="n">
        <v>311.52</v>
      </c>
      <c r="G257" s="71" t="n">
        <v>142</v>
      </c>
      <c r="H257" s="71" t="n">
        <v>656</v>
      </c>
      <c r="I257" s="71" t="n">
        <v>341</v>
      </c>
      <c r="J257" s="71" t="n">
        <v>315</v>
      </c>
      <c r="K257" s="71" t="n">
        <v>103</v>
      </c>
      <c r="L257" s="112" t="n">
        <f aca="false">K257/H257*100</f>
        <v>15.7012195121951</v>
      </c>
      <c r="M257" s="71" t="n">
        <v>0</v>
      </c>
      <c r="N257" s="112" t="n">
        <f aca="false">M257/H257*100</f>
        <v>0</v>
      </c>
      <c r="O257" s="71" t="n">
        <v>43.04</v>
      </c>
      <c r="P257" s="71" t="n">
        <v>0</v>
      </c>
      <c r="Q257" s="153" t="s">
        <v>43</v>
      </c>
      <c r="R257" s="153" t="s">
        <v>285</v>
      </c>
      <c r="T257" s="118" t="n">
        <v>45.5649</v>
      </c>
      <c r="AB257" s="12" t="n">
        <v>4.2</v>
      </c>
      <c r="AC257" s="46" t="s">
        <v>910</v>
      </c>
      <c r="AD257" s="12" t="n">
        <v>24.159</v>
      </c>
      <c r="AE257" s="12" t="n">
        <v>75.97</v>
      </c>
    </row>
    <row r="258" customFormat="false" ht="15" hidden="false" customHeight="false" outlineLevel="0" collapsed="false">
      <c r="A258" s="71" t="s">
        <v>415</v>
      </c>
      <c r="B258" s="71" t="s">
        <v>1877</v>
      </c>
      <c r="C258" s="51" t="s">
        <v>2152</v>
      </c>
      <c r="D258" s="71" t="s">
        <v>170</v>
      </c>
      <c r="E258" s="71" t="s">
        <v>2158</v>
      </c>
      <c r="F258" s="71" t="n">
        <v>314.3</v>
      </c>
      <c r="G258" s="71" t="n">
        <v>66</v>
      </c>
      <c r="H258" s="71" t="n">
        <v>346</v>
      </c>
      <c r="I258" s="71" t="n">
        <v>172</v>
      </c>
      <c r="J258" s="71" t="n">
        <v>174</v>
      </c>
      <c r="K258" s="71" t="n">
        <v>90</v>
      </c>
      <c r="L258" s="112" t="n">
        <f aca="false">K258/H258*100</f>
        <v>26.0115606936416</v>
      </c>
      <c r="M258" s="71" t="n">
        <v>0</v>
      </c>
      <c r="N258" s="112" t="n">
        <f aca="false">M258/H258*100</f>
        <v>0</v>
      </c>
      <c r="O258" s="71" t="n">
        <v>0</v>
      </c>
      <c r="P258" s="71" t="n">
        <v>76.46</v>
      </c>
      <c r="Q258" s="153" t="s">
        <v>43</v>
      </c>
      <c r="R258" s="153" t="s">
        <v>285</v>
      </c>
      <c r="T258" s="118" t="n">
        <v>4.24</v>
      </c>
      <c r="AB258" s="12" t="n">
        <v>0</v>
      </c>
      <c r="AC258" s="46" t="s">
        <v>910</v>
      </c>
      <c r="AD258" s="12" t="n">
        <v>24.1614</v>
      </c>
      <c r="AE258" s="12" t="n">
        <v>75.8939</v>
      </c>
    </row>
    <row r="259" customFormat="false" ht="15" hidden="false" customHeight="false" outlineLevel="0" collapsed="false">
      <c r="A259" s="71" t="s">
        <v>415</v>
      </c>
      <c r="B259" s="71" t="s">
        <v>1877</v>
      </c>
      <c r="C259" s="51" t="s">
        <v>2152</v>
      </c>
      <c r="D259" s="71" t="s">
        <v>2159</v>
      </c>
      <c r="E259" s="71" t="s">
        <v>2160</v>
      </c>
      <c r="F259" s="71" t="n">
        <v>244.5</v>
      </c>
      <c r="G259" s="71" t="n">
        <v>135</v>
      </c>
      <c r="H259" s="71" t="n">
        <v>657</v>
      </c>
      <c r="I259" s="71" t="n">
        <v>344</v>
      </c>
      <c r="J259" s="71" t="n">
        <v>313</v>
      </c>
      <c r="K259" s="71" t="n">
        <v>76</v>
      </c>
      <c r="L259" s="112" t="n">
        <f aca="false">K259/H259*100</f>
        <v>11.5677321156773</v>
      </c>
      <c r="M259" s="71" t="n">
        <v>0</v>
      </c>
      <c r="N259" s="112" t="n">
        <f aca="false">M259/H259*100</f>
        <v>0</v>
      </c>
      <c r="O259" s="71" t="n">
        <v>2.76</v>
      </c>
      <c r="P259" s="71" t="n">
        <v>0</v>
      </c>
      <c r="Q259" s="153" t="s">
        <v>43</v>
      </c>
      <c r="R259" s="153" t="s">
        <v>285</v>
      </c>
      <c r="T259" s="118" t="n">
        <v>3.2375</v>
      </c>
      <c r="AB259" s="12" t="n">
        <v>0</v>
      </c>
      <c r="AC259" s="46" t="s">
        <v>910</v>
      </c>
      <c r="AD259" s="12" t="n">
        <v>24.1761</v>
      </c>
      <c r="AE259" s="12" t="n">
        <v>75.9257</v>
      </c>
    </row>
    <row r="260" customFormat="false" ht="15" hidden="false" customHeight="false" outlineLevel="0" collapsed="false">
      <c r="A260" s="71" t="s">
        <v>415</v>
      </c>
      <c r="B260" s="71" t="s">
        <v>1877</v>
      </c>
      <c r="C260" s="51" t="s">
        <v>2152</v>
      </c>
      <c r="D260" s="71" t="s">
        <v>2161</v>
      </c>
      <c r="E260" s="71" t="s">
        <v>2162</v>
      </c>
      <c r="F260" s="71" t="n">
        <v>441.1</v>
      </c>
      <c r="G260" s="71" t="n">
        <v>162</v>
      </c>
      <c r="H260" s="71" t="n">
        <v>847</v>
      </c>
      <c r="I260" s="71" t="n">
        <v>436</v>
      </c>
      <c r="J260" s="71" t="n">
        <v>411</v>
      </c>
      <c r="K260" s="71" t="n">
        <v>362</v>
      </c>
      <c r="L260" s="112" t="n">
        <f aca="false">K260/H260*100</f>
        <v>42.7390791027155</v>
      </c>
      <c r="M260" s="71" t="n">
        <v>0</v>
      </c>
      <c r="N260" s="112" t="n">
        <f aca="false">M260/H260*100</f>
        <v>0</v>
      </c>
      <c r="O260" s="71" t="n">
        <v>0</v>
      </c>
      <c r="P260" s="71" t="n">
        <v>0</v>
      </c>
      <c r="Q260" s="153" t="s">
        <v>43</v>
      </c>
      <c r="R260" s="153" t="s">
        <v>285</v>
      </c>
      <c r="T260" s="118"/>
      <c r="AB260" s="12"/>
      <c r="AC260" s="46" t="s">
        <v>910</v>
      </c>
      <c r="AD260" s="12" t="n">
        <v>24.1727</v>
      </c>
      <c r="AE260" s="12" t="n">
        <v>75.9402</v>
      </c>
    </row>
    <row r="261" customFormat="false" ht="15" hidden="false" customHeight="false" outlineLevel="0" collapsed="false">
      <c r="A261" s="71" t="s">
        <v>415</v>
      </c>
      <c r="B261" s="71" t="s">
        <v>1877</v>
      </c>
      <c r="C261" s="51" t="s">
        <v>2152</v>
      </c>
      <c r="D261" s="71" t="s">
        <v>2163</v>
      </c>
      <c r="E261" s="71" t="s">
        <v>2164</v>
      </c>
      <c r="F261" s="71" t="n">
        <v>213.75</v>
      </c>
      <c r="G261" s="71" t="n">
        <v>81</v>
      </c>
      <c r="H261" s="71" t="n">
        <v>478</v>
      </c>
      <c r="I261" s="71" t="n">
        <v>232</v>
      </c>
      <c r="J261" s="71" t="n">
        <v>246</v>
      </c>
      <c r="K261" s="71" t="n">
        <v>141</v>
      </c>
      <c r="L261" s="112" t="n">
        <f aca="false">K261/H261*100</f>
        <v>29.4979079497908</v>
      </c>
      <c r="M261" s="71" t="n">
        <v>0</v>
      </c>
      <c r="N261" s="112" t="n">
        <f aca="false">M261/H261*100</f>
        <v>0</v>
      </c>
      <c r="O261" s="71" t="n">
        <v>0</v>
      </c>
      <c r="P261" s="71" t="n">
        <v>15.15</v>
      </c>
      <c r="Q261" s="153" t="s">
        <v>43</v>
      </c>
      <c r="R261" s="153" t="s">
        <v>285</v>
      </c>
      <c r="T261" s="118"/>
      <c r="AB261" s="12"/>
      <c r="AC261" s="46" t="s">
        <v>910</v>
      </c>
      <c r="AD261" s="12" t="n">
        <v>24.1781</v>
      </c>
      <c r="AE261" s="12" t="n">
        <v>75.9101</v>
      </c>
    </row>
    <row r="262" customFormat="false" ht="15" hidden="false" customHeight="false" outlineLevel="0" collapsed="false">
      <c r="A262" s="71" t="s">
        <v>415</v>
      </c>
      <c r="B262" s="71" t="s">
        <v>1877</v>
      </c>
      <c r="C262" s="51" t="s">
        <v>2165</v>
      </c>
      <c r="D262" s="72" t="s">
        <v>2166</v>
      </c>
      <c r="E262" s="71" t="s">
        <v>2167</v>
      </c>
      <c r="F262" s="71" t="n">
        <v>511.52</v>
      </c>
      <c r="G262" s="71" t="n">
        <v>360</v>
      </c>
      <c r="H262" s="71" t="n">
        <v>1538</v>
      </c>
      <c r="I262" s="71" t="n">
        <v>772</v>
      </c>
      <c r="J262" s="71" t="n">
        <v>766</v>
      </c>
      <c r="K262" s="71" t="n">
        <v>368</v>
      </c>
      <c r="L262" s="112" t="n">
        <f aca="false">K262/H262*100</f>
        <v>23.927178153446</v>
      </c>
      <c r="M262" s="71" t="n">
        <v>39</v>
      </c>
      <c r="N262" s="112" t="n">
        <f aca="false">M262/H262*100</f>
        <v>2.53576072821847</v>
      </c>
      <c r="O262" s="71" t="n">
        <v>66.52</v>
      </c>
      <c r="P262" s="71" t="n">
        <v>0</v>
      </c>
      <c r="Q262" s="153" t="s">
        <v>43</v>
      </c>
      <c r="R262" s="153" t="s">
        <v>2168</v>
      </c>
      <c r="T262" s="118" t="n">
        <v>66.3938</v>
      </c>
      <c r="AB262" s="12" t="n">
        <v>0</v>
      </c>
      <c r="AC262" s="46" t="s">
        <v>910</v>
      </c>
      <c r="AD262" s="12" t="n">
        <v>24.218003</v>
      </c>
      <c r="AE262" s="12" t="n">
        <v>76.063053</v>
      </c>
    </row>
    <row r="263" customFormat="false" ht="15" hidden="false" customHeight="false" outlineLevel="0" collapsed="false">
      <c r="A263" s="71" t="s">
        <v>415</v>
      </c>
      <c r="B263" s="71" t="s">
        <v>1877</v>
      </c>
      <c r="C263" s="51" t="s">
        <v>2165</v>
      </c>
      <c r="D263" s="72" t="s">
        <v>2166</v>
      </c>
      <c r="E263" s="71"/>
      <c r="F263" s="71"/>
      <c r="G263" s="71"/>
      <c r="H263" s="71"/>
      <c r="I263" s="71"/>
      <c r="J263" s="71"/>
      <c r="K263" s="71"/>
      <c r="M263" s="71"/>
      <c r="O263" s="71"/>
      <c r="P263" s="71"/>
      <c r="Q263" s="153" t="s">
        <v>43</v>
      </c>
      <c r="R263" s="153" t="s">
        <v>2168</v>
      </c>
      <c r="T263" s="118"/>
      <c r="AB263" s="12" t="n">
        <v>47</v>
      </c>
      <c r="AC263" s="46" t="s">
        <v>2169</v>
      </c>
      <c r="AD263" s="12" t="n">
        <v>24.218003</v>
      </c>
      <c r="AE263" s="12" t="n">
        <v>76.063053</v>
      </c>
    </row>
    <row r="264" customFormat="false" ht="15" hidden="false" customHeight="false" outlineLevel="0" collapsed="false">
      <c r="A264" s="71" t="s">
        <v>415</v>
      </c>
      <c r="B264" s="71" t="s">
        <v>1877</v>
      </c>
      <c r="C264" s="51" t="s">
        <v>2165</v>
      </c>
      <c r="D264" s="72" t="s">
        <v>2166</v>
      </c>
      <c r="E264" s="71"/>
      <c r="F264" s="71"/>
      <c r="G264" s="71"/>
      <c r="H264" s="71"/>
      <c r="I264" s="71"/>
      <c r="J264" s="71"/>
      <c r="K264" s="71"/>
      <c r="M264" s="71"/>
      <c r="O264" s="71"/>
      <c r="P264" s="71"/>
      <c r="Q264" s="153" t="s">
        <v>43</v>
      </c>
      <c r="R264" s="153" t="s">
        <v>2168</v>
      </c>
      <c r="T264" s="118"/>
      <c r="AB264" s="10" t="n">
        <v>7.2975</v>
      </c>
      <c r="AC264" s="46" t="s">
        <v>910</v>
      </c>
      <c r="AD264" s="10" t="n">
        <v>24.22009</v>
      </c>
      <c r="AE264" s="10" t="n">
        <v>76.0587</v>
      </c>
    </row>
    <row r="265" customFormat="false" ht="15" hidden="false" customHeight="false" outlineLevel="0" collapsed="false">
      <c r="A265" s="71" t="s">
        <v>415</v>
      </c>
      <c r="B265" s="71" t="s">
        <v>1877</v>
      </c>
      <c r="C265" s="51" t="s">
        <v>2165</v>
      </c>
      <c r="D265" s="72" t="s">
        <v>2166</v>
      </c>
      <c r="E265" s="71"/>
      <c r="F265" s="71"/>
      <c r="G265" s="71"/>
      <c r="H265" s="71"/>
      <c r="I265" s="71"/>
      <c r="J265" s="71"/>
      <c r="K265" s="71"/>
      <c r="M265" s="71"/>
      <c r="O265" s="71"/>
      <c r="P265" s="71"/>
      <c r="Q265" s="153" t="s">
        <v>43</v>
      </c>
      <c r="R265" s="153" t="s">
        <v>2168</v>
      </c>
      <c r="T265" s="118"/>
      <c r="AB265" s="10" t="n">
        <v>1.604</v>
      </c>
      <c r="AC265" s="46" t="s">
        <v>910</v>
      </c>
      <c r="AD265" s="10" t="n">
        <v>24.16505</v>
      </c>
      <c r="AE265" s="10" t="n">
        <v>76.02953</v>
      </c>
    </row>
    <row r="266" customFormat="false" ht="15" hidden="false" customHeight="false" outlineLevel="0" collapsed="false">
      <c r="A266" s="71" t="s">
        <v>415</v>
      </c>
      <c r="B266" s="71" t="s">
        <v>1877</v>
      </c>
      <c r="C266" s="51" t="s">
        <v>2165</v>
      </c>
      <c r="D266" s="72"/>
      <c r="E266" s="71"/>
      <c r="F266" s="71"/>
      <c r="G266" s="71"/>
      <c r="H266" s="71"/>
      <c r="I266" s="71"/>
      <c r="J266" s="71"/>
      <c r="K266" s="71"/>
      <c r="M266" s="71"/>
      <c r="O266" s="71"/>
      <c r="P266" s="71"/>
      <c r="Q266" s="153" t="s">
        <v>43</v>
      </c>
      <c r="R266" s="153" t="s">
        <v>2168</v>
      </c>
      <c r="AB266" s="12" t="n">
        <v>8</v>
      </c>
      <c r="AC266" s="46" t="s">
        <v>910</v>
      </c>
      <c r="AD266" s="12" t="n">
        <v>24.219117</v>
      </c>
      <c r="AE266" s="12" t="n">
        <v>76.057261</v>
      </c>
    </row>
    <row r="267" customFormat="false" ht="15" hidden="false" customHeight="false" outlineLevel="0" collapsed="false">
      <c r="A267" s="71" t="s">
        <v>415</v>
      </c>
      <c r="B267" s="71" t="s">
        <v>1877</v>
      </c>
      <c r="C267" s="51" t="s">
        <v>2165</v>
      </c>
      <c r="D267" s="71" t="s">
        <v>498</v>
      </c>
      <c r="E267" s="71" t="s">
        <v>2170</v>
      </c>
      <c r="F267" s="71" t="n">
        <v>218.3</v>
      </c>
      <c r="G267" s="71" t="n">
        <v>0</v>
      </c>
      <c r="H267" s="71" t="n">
        <v>0</v>
      </c>
      <c r="I267" s="71" t="n">
        <v>0</v>
      </c>
      <c r="J267" s="71" t="n">
        <v>0</v>
      </c>
      <c r="K267" s="71" t="n">
        <v>0</v>
      </c>
      <c r="M267" s="71" t="n">
        <v>0</v>
      </c>
      <c r="O267" s="71" t="n">
        <v>0</v>
      </c>
      <c r="P267" s="71" t="n">
        <v>0</v>
      </c>
      <c r="Q267" s="117"/>
      <c r="R267" s="117"/>
      <c r="AB267" s="10"/>
      <c r="AD267" s="10"/>
      <c r="AE267" s="10"/>
    </row>
    <row r="268" customFormat="false" ht="15" hidden="false" customHeight="false" outlineLevel="0" collapsed="false">
      <c r="A268" s="71" t="s">
        <v>415</v>
      </c>
      <c r="B268" s="71" t="s">
        <v>1877</v>
      </c>
      <c r="C268" s="51" t="s">
        <v>2165</v>
      </c>
      <c r="D268" s="71" t="s">
        <v>2171</v>
      </c>
      <c r="E268" s="71" t="s">
        <v>2172</v>
      </c>
      <c r="F268" s="71" t="n">
        <v>286.78</v>
      </c>
      <c r="G268" s="71" t="n">
        <v>79</v>
      </c>
      <c r="H268" s="71" t="n">
        <v>452</v>
      </c>
      <c r="I268" s="71" t="n">
        <v>231</v>
      </c>
      <c r="J268" s="71" t="n">
        <v>221</v>
      </c>
      <c r="K268" s="71" t="n">
        <v>7</v>
      </c>
      <c r="L268" s="112" t="n">
        <f aca="false">K268/H268*100</f>
        <v>1.54867256637168</v>
      </c>
      <c r="M268" s="71" t="n">
        <v>0</v>
      </c>
      <c r="N268" s="112" t="n">
        <f aca="false">M268/H268*100</f>
        <v>0</v>
      </c>
      <c r="O268" s="71" t="n">
        <v>0</v>
      </c>
      <c r="P268" s="71" t="n">
        <v>0</v>
      </c>
      <c r="Q268" s="117"/>
      <c r="R268" s="117"/>
      <c r="AB268" s="10"/>
      <c r="AD268" s="10"/>
      <c r="AE268" s="10"/>
    </row>
    <row r="269" customFormat="false" ht="15" hidden="false" customHeight="false" outlineLevel="0" collapsed="false">
      <c r="A269" s="71" t="s">
        <v>415</v>
      </c>
      <c r="B269" s="71" t="s">
        <v>1877</v>
      </c>
      <c r="C269" s="51" t="s">
        <v>2165</v>
      </c>
      <c r="D269" s="71" t="s">
        <v>2173</v>
      </c>
      <c r="E269" s="71" t="s">
        <v>2174</v>
      </c>
      <c r="F269" s="71" t="n">
        <v>278.96</v>
      </c>
      <c r="G269" s="71" t="n">
        <v>68</v>
      </c>
      <c r="H269" s="71" t="n">
        <v>355</v>
      </c>
      <c r="I269" s="71" t="n">
        <v>182</v>
      </c>
      <c r="J269" s="71" t="n">
        <v>173</v>
      </c>
      <c r="K269" s="71" t="n">
        <v>33</v>
      </c>
      <c r="L269" s="112" t="n">
        <f aca="false">K269/H269*100</f>
        <v>9.29577464788732</v>
      </c>
      <c r="M269" s="71" t="n">
        <v>0</v>
      </c>
      <c r="N269" s="112" t="n">
        <f aca="false">M269/H269*100</f>
        <v>0</v>
      </c>
      <c r="O269" s="71" t="n">
        <v>0</v>
      </c>
      <c r="P269" s="71" t="n">
        <v>0</v>
      </c>
      <c r="Q269" s="117"/>
      <c r="R269" s="117"/>
      <c r="AB269" s="10"/>
      <c r="AD269" s="10"/>
      <c r="AE269" s="10"/>
    </row>
    <row r="270" customFormat="false" ht="15" hidden="false" customHeight="false" outlineLevel="0" collapsed="false">
      <c r="A270" s="71" t="s">
        <v>415</v>
      </c>
      <c r="B270" s="71" t="s">
        <v>1877</v>
      </c>
      <c r="C270" s="51" t="s">
        <v>2165</v>
      </c>
      <c r="D270" s="71" t="s">
        <v>1805</v>
      </c>
      <c r="E270" s="71" t="s">
        <v>2175</v>
      </c>
      <c r="F270" s="71" t="n">
        <v>228.22</v>
      </c>
      <c r="G270" s="71" t="n">
        <v>160</v>
      </c>
      <c r="H270" s="71" t="n">
        <v>656</v>
      </c>
      <c r="I270" s="71" t="n">
        <v>328</v>
      </c>
      <c r="J270" s="71" t="n">
        <v>328</v>
      </c>
      <c r="K270" s="71" t="n">
        <v>101</v>
      </c>
      <c r="L270" s="112" t="n">
        <f aca="false">K270/H270*100</f>
        <v>15.3963414634146</v>
      </c>
      <c r="M270" s="71" t="n">
        <v>5</v>
      </c>
      <c r="N270" s="112" t="n">
        <f aca="false">M270/H270*100</f>
        <v>0.76219512195122</v>
      </c>
      <c r="O270" s="71" t="n">
        <v>30.11</v>
      </c>
      <c r="P270" s="71" t="n">
        <v>0</v>
      </c>
      <c r="Q270" s="153" t="s">
        <v>43</v>
      </c>
      <c r="R270" s="153" t="s">
        <v>2168</v>
      </c>
      <c r="T270" s="118" t="n">
        <v>31.6161</v>
      </c>
      <c r="AB270" s="12" t="n">
        <v>0</v>
      </c>
      <c r="AC270" s="46" t="s">
        <v>910</v>
      </c>
      <c r="AD270" s="12" t="n">
        <v>24.190236</v>
      </c>
      <c r="AE270" s="12" t="n">
        <v>76.024144</v>
      </c>
    </row>
    <row r="271" customFormat="false" ht="15" hidden="false" customHeight="false" outlineLevel="0" collapsed="false">
      <c r="A271" s="71" t="s">
        <v>415</v>
      </c>
      <c r="B271" s="71" t="s">
        <v>1877</v>
      </c>
      <c r="C271" s="51" t="s">
        <v>2165</v>
      </c>
      <c r="D271" s="71" t="s">
        <v>1805</v>
      </c>
      <c r="E271" s="71"/>
      <c r="F271" s="71"/>
      <c r="G271" s="71"/>
      <c r="H271" s="71"/>
      <c r="I271" s="71"/>
      <c r="J271" s="71"/>
      <c r="K271" s="71"/>
      <c r="M271" s="71"/>
      <c r="O271" s="71"/>
      <c r="P271" s="71"/>
      <c r="Q271" s="153" t="s">
        <v>43</v>
      </c>
      <c r="R271" s="153" t="s">
        <v>2168</v>
      </c>
      <c r="T271" s="118"/>
      <c r="AB271" s="12" t="n">
        <v>14</v>
      </c>
      <c r="AC271" s="46" t="s">
        <v>2176</v>
      </c>
      <c r="AD271" s="12" t="n">
        <v>24.190236</v>
      </c>
      <c r="AE271" s="12" t="n">
        <v>76.024144</v>
      </c>
    </row>
    <row r="272" customFormat="false" ht="15" hidden="false" customHeight="false" outlineLevel="0" collapsed="false">
      <c r="A272" s="71" t="s">
        <v>415</v>
      </c>
      <c r="B272" s="71" t="s">
        <v>1877</v>
      </c>
      <c r="C272" s="51" t="s">
        <v>2165</v>
      </c>
      <c r="D272" s="71" t="s">
        <v>2177</v>
      </c>
      <c r="E272" s="71" t="s">
        <v>2178</v>
      </c>
      <c r="F272" s="71" t="n">
        <v>146.7</v>
      </c>
      <c r="G272" s="71" t="n">
        <v>0</v>
      </c>
      <c r="H272" s="71" t="n">
        <v>0</v>
      </c>
      <c r="I272" s="71" t="n">
        <v>0</v>
      </c>
      <c r="J272" s="71" t="n">
        <v>0</v>
      </c>
      <c r="K272" s="71" t="n">
        <v>0</v>
      </c>
      <c r="M272" s="71" t="n">
        <v>0</v>
      </c>
      <c r="O272" s="71" t="n">
        <v>0</v>
      </c>
      <c r="P272" s="71" t="n">
        <v>0</v>
      </c>
      <c r="Q272" s="117"/>
      <c r="R272" s="117"/>
      <c r="AB272" s="10"/>
      <c r="AD272" s="10"/>
      <c r="AE272" s="10"/>
    </row>
    <row r="273" customFormat="false" ht="15" hidden="false" customHeight="false" outlineLevel="0" collapsed="false">
      <c r="A273" s="71" t="s">
        <v>415</v>
      </c>
      <c r="B273" s="71" t="s">
        <v>1877</v>
      </c>
      <c r="C273" s="51" t="s">
        <v>2165</v>
      </c>
      <c r="D273" s="71" t="s">
        <v>2179</v>
      </c>
      <c r="E273" s="71" t="s">
        <v>2180</v>
      </c>
      <c r="F273" s="71" t="n">
        <v>541.91</v>
      </c>
      <c r="G273" s="71" t="n">
        <v>229</v>
      </c>
      <c r="H273" s="71" t="n">
        <v>1123</v>
      </c>
      <c r="I273" s="71" t="n">
        <v>587</v>
      </c>
      <c r="J273" s="71" t="n">
        <v>536</v>
      </c>
      <c r="K273" s="71" t="n">
        <v>194</v>
      </c>
      <c r="L273" s="112" t="n">
        <f aca="false">K273/H273*100</f>
        <v>17.2751558325913</v>
      </c>
      <c r="M273" s="71" t="n">
        <v>47</v>
      </c>
      <c r="N273" s="112" t="n">
        <f aca="false">M273/H273*100</f>
        <v>4.18521816562778</v>
      </c>
      <c r="O273" s="71" t="n">
        <v>22.79</v>
      </c>
      <c r="P273" s="71" t="n">
        <v>0</v>
      </c>
      <c r="Q273" s="153" t="s">
        <v>43</v>
      </c>
      <c r="R273" s="153" t="s">
        <v>2168</v>
      </c>
      <c r="T273" s="118" t="n">
        <v>24.1294</v>
      </c>
      <c r="AB273" s="12" t="n">
        <v>0</v>
      </c>
      <c r="AC273" s="46" t="s">
        <v>910</v>
      </c>
      <c r="AD273" s="12" t="n">
        <v>24.19929</v>
      </c>
      <c r="AE273" s="12" t="n">
        <v>76.03072</v>
      </c>
    </row>
    <row r="274" customFormat="false" ht="15" hidden="false" customHeight="false" outlineLevel="0" collapsed="false">
      <c r="A274" s="71" t="s">
        <v>415</v>
      </c>
      <c r="B274" s="71" t="s">
        <v>1877</v>
      </c>
      <c r="C274" s="51" t="s">
        <v>2165</v>
      </c>
      <c r="D274" s="71" t="s">
        <v>2179</v>
      </c>
      <c r="E274" s="71"/>
      <c r="F274" s="71"/>
      <c r="G274" s="71"/>
      <c r="H274" s="71"/>
      <c r="I274" s="71"/>
      <c r="J274" s="71"/>
      <c r="K274" s="71"/>
      <c r="M274" s="71"/>
      <c r="O274" s="71"/>
      <c r="P274" s="71"/>
      <c r="Q274" s="153" t="s">
        <v>43</v>
      </c>
      <c r="R274" s="153" t="s">
        <v>2168</v>
      </c>
      <c r="T274" s="118"/>
      <c r="AB274" s="12" t="n">
        <v>17.2371</v>
      </c>
      <c r="AC274" s="46" t="s">
        <v>2181</v>
      </c>
      <c r="AD274" s="12" t="n">
        <v>24.199637</v>
      </c>
      <c r="AE274" s="12" t="n">
        <v>76.035009</v>
      </c>
    </row>
    <row r="275" customFormat="false" ht="15" hidden="false" customHeight="false" outlineLevel="0" collapsed="false">
      <c r="A275" s="71" t="s">
        <v>415</v>
      </c>
      <c r="B275" s="71" t="s">
        <v>1877</v>
      </c>
      <c r="C275" s="51" t="s">
        <v>2165</v>
      </c>
      <c r="D275" s="71" t="s">
        <v>2182</v>
      </c>
      <c r="E275" s="71" t="s">
        <v>2183</v>
      </c>
      <c r="F275" s="71" t="n">
        <v>261.38</v>
      </c>
      <c r="G275" s="71" t="n">
        <v>69</v>
      </c>
      <c r="H275" s="71" t="n">
        <v>395</v>
      </c>
      <c r="I275" s="71" t="n">
        <v>187</v>
      </c>
      <c r="J275" s="71" t="n">
        <v>208</v>
      </c>
      <c r="K275" s="71" t="n">
        <v>46</v>
      </c>
      <c r="L275" s="112" t="n">
        <f aca="false">K275/H275*100</f>
        <v>11.6455696202532</v>
      </c>
      <c r="M275" s="71" t="n">
        <v>0</v>
      </c>
      <c r="N275" s="112" t="n">
        <f aca="false">M275/H275*100</f>
        <v>0</v>
      </c>
      <c r="O275" s="71" t="n">
        <v>15.64</v>
      </c>
      <c r="P275" s="71" t="n">
        <v>0</v>
      </c>
      <c r="Q275" s="117"/>
      <c r="R275" s="117"/>
      <c r="AB275" s="10"/>
      <c r="AD275" s="10"/>
      <c r="AE275" s="10"/>
    </row>
    <row r="276" customFormat="false" ht="15" hidden="false" customHeight="false" outlineLevel="0" collapsed="false">
      <c r="A276" s="71" t="s">
        <v>415</v>
      </c>
      <c r="B276" s="71" t="s">
        <v>1877</v>
      </c>
      <c r="C276" s="51" t="s">
        <v>2184</v>
      </c>
      <c r="D276" s="72" t="s">
        <v>2185</v>
      </c>
      <c r="E276" s="71"/>
      <c r="F276" s="71"/>
      <c r="G276" s="71"/>
      <c r="H276" s="71"/>
      <c r="I276" s="71"/>
      <c r="J276" s="71"/>
      <c r="K276" s="71"/>
      <c r="M276" s="71"/>
      <c r="O276" s="71"/>
      <c r="P276" s="71"/>
      <c r="Q276" s="153" t="s">
        <v>45</v>
      </c>
      <c r="R276" s="153" t="s">
        <v>464</v>
      </c>
      <c r="U276" s="112" t="s">
        <v>43</v>
      </c>
      <c r="V276" s="112" t="s">
        <v>43</v>
      </c>
      <c r="W276" s="112" t="s">
        <v>43</v>
      </c>
      <c r="X276" s="112" t="s">
        <v>43</v>
      </c>
      <c r="Y276" s="112" t="s">
        <v>43</v>
      </c>
      <c r="Z276" s="112" t="s">
        <v>43</v>
      </c>
      <c r="AB276" s="12" t="n">
        <v>21.439</v>
      </c>
      <c r="AC276" s="46" t="s">
        <v>2186</v>
      </c>
      <c r="AD276" s="12" t="n">
        <v>24.27976</v>
      </c>
      <c r="AE276" s="12" t="n">
        <v>76.05</v>
      </c>
    </row>
    <row r="277" customFormat="false" ht="15" hidden="false" customHeight="false" outlineLevel="0" collapsed="false">
      <c r="A277" s="71" t="s">
        <v>415</v>
      </c>
      <c r="B277" s="71" t="s">
        <v>1877</v>
      </c>
      <c r="C277" s="51" t="s">
        <v>2184</v>
      </c>
      <c r="D277" s="72" t="s">
        <v>2185</v>
      </c>
      <c r="E277" s="71"/>
      <c r="F277" s="71"/>
      <c r="G277" s="71"/>
      <c r="H277" s="71"/>
      <c r="I277" s="71"/>
      <c r="J277" s="71"/>
      <c r="K277" s="71"/>
      <c r="M277" s="71"/>
      <c r="O277" s="71"/>
      <c r="P277" s="71"/>
      <c r="Q277" s="153" t="s">
        <v>45</v>
      </c>
      <c r="R277" s="153" t="s">
        <v>464</v>
      </c>
      <c r="V277" s="112" t="s">
        <v>43</v>
      </c>
      <c r="AB277" s="12" t="n">
        <v>55</v>
      </c>
      <c r="AC277" s="46" t="s">
        <v>859</v>
      </c>
      <c r="AD277" s="12" t="n">
        <v>24.253657</v>
      </c>
      <c r="AE277" s="12" t="n">
        <v>76.056113</v>
      </c>
    </row>
    <row r="278" customFormat="false" ht="15" hidden="false" customHeight="false" outlineLevel="0" collapsed="false">
      <c r="A278" s="71" t="s">
        <v>415</v>
      </c>
      <c r="B278" s="71" t="s">
        <v>1877</v>
      </c>
      <c r="C278" s="51" t="s">
        <v>2184</v>
      </c>
      <c r="D278" s="72" t="s">
        <v>2185</v>
      </c>
      <c r="E278" s="71" t="s">
        <v>2187</v>
      </c>
      <c r="F278" s="71" t="n">
        <v>1019.17</v>
      </c>
      <c r="G278" s="71" t="n">
        <v>536</v>
      </c>
      <c r="H278" s="71" t="n">
        <v>2529</v>
      </c>
      <c r="I278" s="71" t="n">
        <v>1310</v>
      </c>
      <c r="J278" s="71" t="n">
        <v>1219</v>
      </c>
      <c r="K278" s="71" t="n">
        <v>980</v>
      </c>
      <c r="L278" s="112" t="n">
        <f aca="false">K278/H278*100</f>
        <v>38.7504942665085</v>
      </c>
      <c r="M278" s="71" t="n">
        <v>64</v>
      </c>
      <c r="N278" s="112" t="n">
        <f aca="false">M278/H278*100</f>
        <v>2.53064452352709</v>
      </c>
      <c r="O278" s="71" t="n">
        <v>119.29</v>
      </c>
      <c r="P278" s="71" t="n">
        <v>0</v>
      </c>
      <c r="Q278" s="153" t="s">
        <v>45</v>
      </c>
      <c r="R278" s="153" t="s">
        <v>464</v>
      </c>
      <c r="T278" s="118" t="n">
        <v>139.7809</v>
      </c>
      <c r="V278" s="112" t="s">
        <v>43</v>
      </c>
      <c r="AB278" s="12" t="n">
        <v>1.5</v>
      </c>
      <c r="AC278" s="46" t="s">
        <v>859</v>
      </c>
      <c r="AD278" s="12" t="n">
        <v>24.273588</v>
      </c>
      <c r="AE278" s="12" t="n">
        <v>76.074894</v>
      </c>
    </row>
    <row r="279" customFormat="false" ht="15" hidden="false" customHeight="false" outlineLevel="0" collapsed="false">
      <c r="A279" s="71" t="s">
        <v>415</v>
      </c>
      <c r="B279" s="71" t="s">
        <v>1877</v>
      </c>
      <c r="C279" s="51" t="s">
        <v>2184</v>
      </c>
      <c r="D279" s="72" t="s">
        <v>2185</v>
      </c>
      <c r="E279" s="71"/>
      <c r="F279" s="71"/>
      <c r="G279" s="71"/>
      <c r="H279" s="71"/>
      <c r="I279" s="71"/>
      <c r="J279" s="71"/>
      <c r="K279" s="71"/>
      <c r="M279" s="71"/>
      <c r="O279" s="71"/>
      <c r="P279" s="71"/>
      <c r="Q279" s="153" t="s">
        <v>43</v>
      </c>
      <c r="R279" s="153" t="s">
        <v>464</v>
      </c>
      <c r="T279" s="118"/>
      <c r="AB279" s="12" t="n">
        <v>40</v>
      </c>
      <c r="AC279" s="46" t="s">
        <v>859</v>
      </c>
      <c r="AD279" s="12" t="n">
        <v>24.273762</v>
      </c>
      <c r="AE279" s="12" t="n">
        <v>76.0746</v>
      </c>
    </row>
    <row r="280" customFormat="false" ht="15" hidden="false" customHeight="false" outlineLevel="0" collapsed="false">
      <c r="A280" s="71" t="s">
        <v>415</v>
      </c>
      <c r="B280" s="71" t="s">
        <v>1877</v>
      </c>
      <c r="C280" s="51" t="s">
        <v>2184</v>
      </c>
      <c r="D280" s="71" t="s">
        <v>1435</v>
      </c>
      <c r="E280" s="71" t="s">
        <v>2188</v>
      </c>
      <c r="F280" s="71" t="n">
        <v>577.52</v>
      </c>
      <c r="G280" s="71" t="n">
        <v>232</v>
      </c>
      <c r="H280" s="71" t="n">
        <v>1138</v>
      </c>
      <c r="I280" s="71" t="n">
        <v>577</v>
      </c>
      <c r="J280" s="71" t="n">
        <v>561</v>
      </c>
      <c r="K280" s="71" t="n">
        <v>128</v>
      </c>
      <c r="L280" s="112" t="n">
        <f aca="false">K280/H280*100</f>
        <v>11.2478031634446</v>
      </c>
      <c r="M280" s="71" t="n">
        <v>0</v>
      </c>
      <c r="N280" s="112" t="n">
        <f aca="false">M280/H280*100</f>
        <v>0</v>
      </c>
      <c r="O280" s="71" t="n">
        <v>2.41</v>
      </c>
      <c r="P280" s="71" t="n">
        <v>0</v>
      </c>
      <c r="Q280" s="153" t="s">
        <v>45</v>
      </c>
      <c r="R280" s="153" t="s">
        <v>464</v>
      </c>
      <c r="T280" s="118" t="n">
        <v>39.8867</v>
      </c>
      <c r="U280" s="112" t="s">
        <v>43</v>
      </c>
      <c r="V280" s="112" t="s">
        <v>43</v>
      </c>
      <c r="W280" s="112" t="s">
        <v>43</v>
      </c>
      <c r="X280" s="112" t="s">
        <v>43</v>
      </c>
      <c r="Y280" s="112" t="s">
        <v>43</v>
      </c>
      <c r="Z280" s="112" t="s">
        <v>43</v>
      </c>
      <c r="AB280" s="12" t="n">
        <v>1</v>
      </c>
      <c r="AC280" s="46" t="s">
        <v>859</v>
      </c>
      <c r="AD280" s="12" t="n">
        <v>24.276124</v>
      </c>
      <c r="AE280" s="12" t="n">
        <v>76.074769</v>
      </c>
    </row>
    <row r="281" customFormat="false" ht="15" hidden="false" customHeight="false" outlineLevel="0" collapsed="false">
      <c r="A281" s="71" t="s">
        <v>415</v>
      </c>
      <c r="B281" s="71" t="s">
        <v>1877</v>
      </c>
      <c r="C281" s="51" t="s">
        <v>2184</v>
      </c>
      <c r="D281" s="71" t="s">
        <v>1435</v>
      </c>
      <c r="E281" s="71"/>
      <c r="F281" s="71"/>
      <c r="G281" s="71"/>
      <c r="H281" s="71"/>
      <c r="I281" s="71"/>
      <c r="J281" s="71"/>
      <c r="K281" s="71"/>
      <c r="M281" s="71"/>
      <c r="O281" s="71"/>
      <c r="P281" s="71"/>
      <c r="Q281" s="153" t="s">
        <v>45</v>
      </c>
      <c r="R281" s="153" t="s">
        <v>464</v>
      </c>
      <c r="AB281" s="12" t="n">
        <v>15.5677</v>
      </c>
      <c r="AC281" s="46" t="s">
        <v>859</v>
      </c>
      <c r="AD281" s="12" t="n">
        <v>24.254418</v>
      </c>
      <c r="AE281" s="12" t="n">
        <v>76.05372</v>
      </c>
    </row>
    <row r="282" customFormat="false" ht="15" hidden="false" customHeight="false" outlineLevel="0" collapsed="false">
      <c r="A282" s="71" t="s">
        <v>415</v>
      </c>
      <c r="B282" s="71" t="s">
        <v>1877</v>
      </c>
      <c r="C282" s="51" t="s">
        <v>2184</v>
      </c>
      <c r="D282" s="71" t="s">
        <v>1435</v>
      </c>
      <c r="E282" s="71"/>
      <c r="F282" s="71"/>
      <c r="G282" s="71"/>
      <c r="H282" s="71"/>
      <c r="I282" s="71"/>
      <c r="J282" s="71"/>
      <c r="K282" s="71"/>
      <c r="M282" s="71"/>
      <c r="O282" s="71"/>
      <c r="P282" s="71"/>
      <c r="Q282" s="153" t="s">
        <v>45</v>
      </c>
      <c r="R282" s="153" t="s">
        <v>464</v>
      </c>
      <c r="AB282" s="12" t="n">
        <v>18.1056</v>
      </c>
      <c r="AC282" s="46" t="s">
        <v>1489</v>
      </c>
      <c r="AD282" s="12" t="n">
        <v>24.24275</v>
      </c>
      <c r="AE282" s="12" t="n">
        <v>76.05161</v>
      </c>
    </row>
    <row r="283" customFormat="false" ht="15" hidden="false" customHeight="false" outlineLevel="0" collapsed="false">
      <c r="A283" s="71" t="s">
        <v>415</v>
      </c>
      <c r="B283" s="71" t="s">
        <v>1877</v>
      </c>
      <c r="C283" s="51" t="s">
        <v>2184</v>
      </c>
      <c r="D283" s="71" t="s">
        <v>2189</v>
      </c>
      <c r="E283" s="71" t="s">
        <v>2190</v>
      </c>
      <c r="F283" s="71" t="n">
        <v>130.16</v>
      </c>
      <c r="G283" s="71" t="n">
        <v>0</v>
      </c>
      <c r="H283" s="71" t="n">
        <v>0</v>
      </c>
      <c r="I283" s="71" t="n">
        <v>0</v>
      </c>
      <c r="J283" s="71" t="n">
        <v>0</v>
      </c>
      <c r="K283" s="71" t="n">
        <v>0</v>
      </c>
      <c r="M283" s="71" t="n">
        <v>0</v>
      </c>
      <c r="O283" s="71" t="n">
        <v>0</v>
      </c>
      <c r="P283" s="71" t="n">
        <v>0</v>
      </c>
      <c r="Q283" s="117"/>
      <c r="R283" s="117"/>
      <c r="U283" s="112" t="s">
        <v>43</v>
      </c>
      <c r="V283" s="112" t="s">
        <v>43</v>
      </c>
      <c r="AB283" s="10"/>
      <c r="AD283" s="10"/>
      <c r="AE283" s="10"/>
    </row>
    <row r="284" customFormat="false" ht="15" hidden="false" customHeight="false" outlineLevel="0" collapsed="false">
      <c r="A284" s="71" t="s">
        <v>415</v>
      </c>
      <c r="B284" s="71" t="s">
        <v>1877</v>
      </c>
      <c r="C284" s="51" t="s">
        <v>2191</v>
      </c>
      <c r="D284" s="72" t="s">
        <v>2192</v>
      </c>
      <c r="E284" s="71" t="s">
        <v>2193</v>
      </c>
      <c r="F284" s="71" t="n">
        <v>1664.28</v>
      </c>
      <c r="G284" s="71" t="n">
        <v>1951</v>
      </c>
      <c r="H284" s="71" t="n">
        <v>9411</v>
      </c>
      <c r="I284" s="71" t="n">
        <v>4818</v>
      </c>
      <c r="J284" s="71" t="n">
        <v>4593</v>
      </c>
      <c r="K284" s="71" t="n">
        <v>1906</v>
      </c>
      <c r="L284" s="112" t="n">
        <f aca="false">K284/H284*100</f>
        <v>20.2528955477633</v>
      </c>
      <c r="M284" s="71" t="n">
        <v>379</v>
      </c>
      <c r="N284" s="112" t="n">
        <f aca="false">M284/H284*100</f>
        <v>4.02720221017958</v>
      </c>
      <c r="O284" s="71" t="n">
        <v>82.12</v>
      </c>
      <c r="P284" s="71" t="n">
        <v>0</v>
      </c>
      <c r="Q284" s="149" t="s">
        <v>82</v>
      </c>
      <c r="R284" s="166" t="n">
        <v>44412</v>
      </c>
      <c r="T284" s="149" t="n">
        <v>18.37</v>
      </c>
      <c r="AB284" s="12" t="n">
        <v>7</v>
      </c>
      <c r="AC284" s="17" t="s">
        <v>2194</v>
      </c>
      <c r="AD284" s="17" t="n">
        <v>24.356584724771</v>
      </c>
      <c r="AE284" s="17" t="n">
        <v>76.179925958716</v>
      </c>
    </row>
    <row r="285" customFormat="false" ht="15" hidden="false" customHeight="false" outlineLevel="0" collapsed="false">
      <c r="A285" s="71"/>
      <c r="B285" s="71"/>
      <c r="C285" s="51"/>
      <c r="D285" s="72"/>
      <c r="E285" s="71"/>
      <c r="F285" s="71"/>
      <c r="G285" s="71"/>
      <c r="H285" s="71"/>
      <c r="I285" s="71"/>
      <c r="J285" s="71"/>
      <c r="K285" s="71"/>
      <c r="M285" s="71"/>
      <c r="O285" s="71"/>
      <c r="P285" s="71"/>
      <c r="Q285" s="153" t="s">
        <v>43</v>
      </c>
      <c r="R285" s="173" t="s">
        <v>285</v>
      </c>
      <c r="T285" s="146" t="n">
        <v>76.7383</v>
      </c>
      <c r="AB285" s="12" t="n">
        <v>0.64</v>
      </c>
      <c r="AC285" s="17" t="s">
        <v>859</v>
      </c>
      <c r="AD285" s="226" t="n">
        <v>24.361767</v>
      </c>
      <c r="AE285" s="226" t="n">
        <v>76.1818847</v>
      </c>
    </row>
    <row r="286" customFormat="false" ht="15" hidden="false" customHeight="false" outlineLevel="0" collapsed="false">
      <c r="A286" s="71" t="s">
        <v>415</v>
      </c>
      <c r="B286" s="71" t="s">
        <v>1877</v>
      </c>
      <c r="C286" s="51" t="s">
        <v>2191</v>
      </c>
      <c r="D286" s="71" t="s">
        <v>2195</v>
      </c>
      <c r="E286" s="71" t="s">
        <v>2196</v>
      </c>
      <c r="F286" s="71" t="n">
        <v>457.19</v>
      </c>
      <c r="G286" s="71" t="n">
        <v>166</v>
      </c>
      <c r="H286" s="71" t="n">
        <v>706</v>
      </c>
      <c r="I286" s="71" t="n">
        <v>346</v>
      </c>
      <c r="J286" s="71" t="n">
        <v>360</v>
      </c>
      <c r="K286" s="71" t="n">
        <v>26</v>
      </c>
      <c r="L286" s="112" t="n">
        <f aca="false">K286/H286*100</f>
        <v>3.68271954674221</v>
      </c>
      <c r="M286" s="71" t="n">
        <v>86</v>
      </c>
      <c r="N286" s="112" t="n">
        <f aca="false">M286/H286*100</f>
        <v>12.1813031161473</v>
      </c>
      <c r="O286" s="71" t="n">
        <v>35.59</v>
      </c>
      <c r="P286" s="71" t="n">
        <v>15.49</v>
      </c>
      <c r="Q286" s="149" t="s">
        <v>82</v>
      </c>
      <c r="R286" s="166" t="n">
        <v>44412</v>
      </c>
      <c r="T286" s="150" t="n">
        <v>16.14</v>
      </c>
      <c r="AB286" s="12" t="n">
        <v>12.26</v>
      </c>
      <c r="AC286" s="17" t="s">
        <v>2197</v>
      </c>
      <c r="AD286" s="17" t="n">
        <v>24.396981482821</v>
      </c>
      <c r="AE286" s="17" t="n">
        <v>76.149028314647</v>
      </c>
    </row>
    <row r="287" customFormat="false" ht="15" hidden="false" customHeight="false" outlineLevel="0" collapsed="false">
      <c r="A287" s="71" t="s">
        <v>415</v>
      </c>
      <c r="B287" s="71" t="s">
        <v>1877</v>
      </c>
      <c r="C287" s="51" t="s">
        <v>2198</v>
      </c>
      <c r="D287" s="72" t="s">
        <v>2199</v>
      </c>
      <c r="E287" s="71" t="s">
        <v>2200</v>
      </c>
      <c r="F287" s="71" t="n">
        <v>382.78</v>
      </c>
      <c r="G287" s="71" t="n">
        <v>147</v>
      </c>
      <c r="H287" s="71" t="n">
        <v>760</v>
      </c>
      <c r="I287" s="71" t="n">
        <v>394</v>
      </c>
      <c r="J287" s="71" t="n">
        <v>366</v>
      </c>
      <c r="K287" s="71" t="n">
        <v>172</v>
      </c>
      <c r="L287" s="112" t="n">
        <f aca="false">K287/H287*100</f>
        <v>22.6315789473684</v>
      </c>
      <c r="M287" s="71" t="n">
        <v>0</v>
      </c>
      <c r="N287" s="112" t="n">
        <f aca="false">M287/H287*100</f>
        <v>0</v>
      </c>
      <c r="O287" s="71" t="n">
        <v>46.89</v>
      </c>
      <c r="P287" s="71" t="n">
        <v>34.14</v>
      </c>
      <c r="Q287" s="153" t="s">
        <v>43</v>
      </c>
      <c r="R287" s="153" t="s">
        <v>44</v>
      </c>
      <c r="T287" s="118" t="n">
        <v>23.4332</v>
      </c>
      <c r="AB287" s="12" t="n">
        <v>4.62</v>
      </c>
      <c r="AC287" s="46" t="s">
        <v>859</v>
      </c>
      <c r="AD287" s="12" t="n">
        <v>24.139853</v>
      </c>
      <c r="AE287" s="12" t="n">
        <v>75.93961</v>
      </c>
    </row>
    <row r="288" customFormat="false" ht="15" hidden="false" customHeight="false" outlineLevel="0" collapsed="false">
      <c r="A288" s="71" t="s">
        <v>415</v>
      </c>
      <c r="B288" s="71" t="s">
        <v>1877</v>
      </c>
      <c r="C288" s="51" t="s">
        <v>2198</v>
      </c>
      <c r="D288" s="71" t="s">
        <v>2201</v>
      </c>
      <c r="E288" s="71" t="s">
        <v>2202</v>
      </c>
      <c r="F288" s="71" t="n">
        <v>626.46</v>
      </c>
      <c r="G288" s="71" t="n">
        <v>165</v>
      </c>
      <c r="H288" s="71" t="n">
        <v>868</v>
      </c>
      <c r="I288" s="71" t="n">
        <v>432</v>
      </c>
      <c r="J288" s="71" t="n">
        <v>436</v>
      </c>
      <c r="K288" s="71" t="n">
        <v>233</v>
      </c>
      <c r="L288" s="112" t="n">
        <f aca="false">K288/H288*100</f>
        <v>26.8433179723502</v>
      </c>
      <c r="M288" s="71" t="n">
        <v>0</v>
      </c>
      <c r="N288" s="112" t="n">
        <f aca="false">M288/H288*100</f>
        <v>0</v>
      </c>
      <c r="O288" s="71" t="n">
        <v>77.39</v>
      </c>
      <c r="P288" s="71" t="n">
        <v>118.43</v>
      </c>
      <c r="Q288" s="153" t="s">
        <v>43</v>
      </c>
      <c r="R288" s="153" t="s">
        <v>44</v>
      </c>
      <c r="T288" s="118" t="n">
        <v>77.396</v>
      </c>
      <c r="AB288" s="12" t="n">
        <v>0</v>
      </c>
      <c r="AC288" s="46" t="s">
        <v>859</v>
      </c>
      <c r="AD288" s="12"/>
      <c r="AE288" s="12"/>
    </row>
    <row r="289" customFormat="false" ht="15" hidden="false" customHeight="false" outlineLevel="0" collapsed="false">
      <c r="A289" s="71" t="s">
        <v>415</v>
      </c>
      <c r="B289" s="71" t="s">
        <v>1877</v>
      </c>
      <c r="C289" s="51" t="s">
        <v>2198</v>
      </c>
      <c r="D289" s="71" t="s">
        <v>2203</v>
      </c>
      <c r="E289" s="71" t="s">
        <v>2204</v>
      </c>
      <c r="F289" s="71" t="n">
        <v>782.45</v>
      </c>
      <c r="G289" s="71" t="n">
        <v>155</v>
      </c>
      <c r="H289" s="71" t="n">
        <v>722</v>
      </c>
      <c r="I289" s="71" t="n">
        <v>360</v>
      </c>
      <c r="J289" s="71" t="n">
        <v>362</v>
      </c>
      <c r="K289" s="71" t="n">
        <v>250</v>
      </c>
      <c r="L289" s="112" t="n">
        <f aca="false">K289/H289*100</f>
        <v>34.6260387811634</v>
      </c>
      <c r="M289" s="71" t="n">
        <v>0</v>
      </c>
      <c r="N289" s="112" t="n">
        <f aca="false">M289/H289*100</f>
        <v>0</v>
      </c>
      <c r="O289" s="71" t="n">
        <v>82.76</v>
      </c>
      <c r="P289" s="71" t="n">
        <v>328.26</v>
      </c>
      <c r="Q289" s="153" t="s">
        <v>43</v>
      </c>
      <c r="R289" s="153" t="s">
        <v>44</v>
      </c>
      <c r="T289" s="118" t="n">
        <v>82.7706</v>
      </c>
      <c r="AB289" s="12" t="n">
        <v>1.6314</v>
      </c>
      <c r="AC289" s="46" t="s">
        <v>859</v>
      </c>
      <c r="AD289" s="12" t="n">
        <v>24.1366</v>
      </c>
      <c r="AE289" s="12" t="n">
        <v>75.974387</v>
      </c>
    </row>
    <row r="290" customFormat="false" ht="15" hidden="false" customHeight="false" outlineLevel="0" collapsed="false">
      <c r="A290" s="71" t="s">
        <v>415</v>
      </c>
      <c r="B290" s="71" t="s">
        <v>1877</v>
      </c>
      <c r="C290" s="51" t="s">
        <v>2198</v>
      </c>
      <c r="D290" s="71" t="s">
        <v>1686</v>
      </c>
      <c r="E290" s="71" t="s">
        <v>2205</v>
      </c>
      <c r="F290" s="71" t="n">
        <v>780.79</v>
      </c>
      <c r="G290" s="71" t="n">
        <v>158</v>
      </c>
      <c r="H290" s="71" t="n">
        <v>746</v>
      </c>
      <c r="I290" s="71" t="n">
        <v>398</v>
      </c>
      <c r="J290" s="71" t="n">
        <v>348</v>
      </c>
      <c r="K290" s="71" t="n">
        <v>94</v>
      </c>
      <c r="L290" s="112" t="n">
        <f aca="false">K290/H290*100</f>
        <v>12.6005361930295</v>
      </c>
      <c r="M290" s="71" t="n">
        <v>17</v>
      </c>
      <c r="N290" s="112" t="n">
        <f aca="false">M290/H290*100</f>
        <v>2.27882037533512</v>
      </c>
      <c r="O290" s="71" t="n">
        <v>71.46</v>
      </c>
      <c r="P290" s="71" t="n">
        <v>160.47</v>
      </c>
      <c r="Q290" s="153" t="s">
        <v>43</v>
      </c>
      <c r="R290" s="153" t="s">
        <v>44</v>
      </c>
      <c r="T290" s="118" t="n">
        <v>72.8814</v>
      </c>
      <c r="AB290" s="12" t="n">
        <v>1.6946</v>
      </c>
      <c r="AC290" s="46" t="s">
        <v>859</v>
      </c>
      <c r="AD290" s="12" t="n">
        <v>24.154378</v>
      </c>
      <c r="AE290" s="12" t="n">
        <v>75.963155</v>
      </c>
    </row>
    <row r="291" customFormat="false" ht="15" hidden="false" customHeight="false" outlineLevel="0" collapsed="false">
      <c r="A291" s="71" t="s">
        <v>415</v>
      </c>
      <c r="B291" s="71" t="s">
        <v>1877</v>
      </c>
      <c r="C291" s="51" t="s">
        <v>2198</v>
      </c>
      <c r="D291" s="71" t="s">
        <v>2206</v>
      </c>
      <c r="E291" s="71" t="s">
        <v>2207</v>
      </c>
      <c r="F291" s="71" t="n">
        <v>560.08</v>
      </c>
      <c r="G291" s="71" t="n">
        <v>184</v>
      </c>
      <c r="H291" s="71" t="n">
        <v>948</v>
      </c>
      <c r="I291" s="71" t="n">
        <v>489</v>
      </c>
      <c r="J291" s="71" t="n">
        <v>459</v>
      </c>
      <c r="K291" s="71" t="n">
        <v>339</v>
      </c>
      <c r="L291" s="112" t="n">
        <f aca="false">K291/H291*100</f>
        <v>35.7594936708861</v>
      </c>
      <c r="M291" s="71" t="n">
        <v>0</v>
      </c>
      <c r="N291" s="112" t="n">
        <f aca="false">M291/H291*100</f>
        <v>0</v>
      </c>
      <c r="O291" s="71" t="n">
        <v>67.45</v>
      </c>
      <c r="P291" s="71" t="n">
        <v>68.94</v>
      </c>
      <c r="Q291" s="153" t="s">
        <v>43</v>
      </c>
      <c r="R291" s="153" t="s">
        <v>44</v>
      </c>
      <c r="T291" s="118" t="n">
        <v>67.5191</v>
      </c>
      <c r="AB291" s="12" t="n">
        <v>9.9408</v>
      </c>
      <c r="AC291" s="46" t="s">
        <v>859</v>
      </c>
      <c r="AD291" s="12" t="n">
        <v>24.15777895</v>
      </c>
      <c r="AE291" s="12" t="n">
        <v>75.952628</v>
      </c>
    </row>
    <row r="292" customFormat="false" ht="15" hidden="false" customHeight="false" outlineLevel="0" collapsed="false">
      <c r="A292" s="71" t="s">
        <v>415</v>
      </c>
      <c r="B292" s="71" t="s">
        <v>1877</v>
      </c>
      <c r="C292" s="51" t="s">
        <v>2208</v>
      </c>
      <c r="D292" s="72" t="s">
        <v>222</v>
      </c>
      <c r="E292" s="71" t="s">
        <v>2209</v>
      </c>
      <c r="F292" s="71" t="n">
        <v>965.3</v>
      </c>
      <c r="G292" s="71" t="n">
        <v>187</v>
      </c>
      <c r="H292" s="71" t="n">
        <v>1035</v>
      </c>
      <c r="I292" s="71" t="n">
        <v>538</v>
      </c>
      <c r="J292" s="71" t="n">
        <v>497</v>
      </c>
      <c r="K292" s="71" t="n">
        <v>211</v>
      </c>
      <c r="L292" s="112" t="n">
        <f aca="false">K292/H292*100</f>
        <v>20.3864734299517</v>
      </c>
      <c r="M292" s="71" t="n">
        <v>0</v>
      </c>
      <c r="N292" s="112" t="n">
        <f aca="false">M292/H292*100</f>
        <v>0</v>
      </c>
      <c r="O292" s="71" t="n">
        <v>66.26</v>
      </c>
      <c r="P292" s="71" t="n">
        <v>219.29</v>
      </c>
      <c r="Q292" s="153" t="s">
        <v>45</v>
      </c>
      <c r="R292" s="153" t="s">
        <v>464</v>
      </c>
      <c r="T292" s="118" t="n">
        <v>66.8235</v>
      </c>
      <c r="AB292" s="12" t="n">
        <v>1.5</v>
      </c>
      <c r="AC292" s="46" t="s">
        <v>859</v>
      </c>
      <c r="AD292" s="12" t="n">
        <v>24.117835</v>
      </c>
      <c r="AE292" s="12" t="n">
        <v>76.0858</v>
      </c>
    </row>
    <row r="293" customFormat="false" ht="15" hidden="false" customHeight="false" outlineLevel="0" collapsed="false">
      <c r="A293" s="71" t="s">
        <v>415</v>
      </c>
      <c r="B293" s="71" t="s">
        <v>1877</v>
      </c>
      <c r="C293" s="51" t="s">
        <v>2208</v>
      </c>
      <c r="D293" s="72" t="s">
        <v>222</v>
      </c>
      <c r="E293" s="71"/>
      <c r="F293" s="71"/>
      <c r="G293" s="71"/>
      <c r="H293" s="71"/>
      <c r="I293" s="71"/>
      <c r="J293" s="71"/>
      <c r="K293" s="71"/>
      <c r="M293" s="71"/>
      <c r="O293" s="71"/>
      <c r="P293" s="71"/>
      <c r="Q293" s="153" t="s">
        <v>43</v>
      </c>
      <c r="R293" s="153" t="s">
        <v>464</v>
      </c>
      <c r="T293" s="118"/>
      <c r="AB293" s="12" t="n">
        <v>35</v>
      </c>
      <c r="AC293" s="46" t="s">
        <v>859</v>
      </c>
      <c r="AD293" s="12" t="n">
        <v>24.117835</v>
      </c>
      <c r="AE293" s="12" t="n">
        <v>76.0858</v>
      </c>
    </row>
    <row r="294" customFormat="false" ht="15" hidden="false" customHeight="false" outlineLevel="0" collapsed="false">
      <c r="A294" s="71" t="s">
        <v>415</v>
      </c>
      <c r="B294" s="71" t="s">
        <v>1877</v>
      </c>
      <c r="C294" s="51" t="s">
        <v>2208</v>
      </c>
      <c r="D294" s="72" t="s">
        <v>222</v>
      </c>
      <c r="E294" s="71"/>
      <c r="F294" s="71"/>
      <c r="G294" s="71"/>
      <c r="H294" s="71"/>
      <c r="I294" s="71"/>
      <c r="J294" s="71"/>
      <c r="K294" s="71"/>
      <c r="M294" s="71"/>
      <c r="O294" s="71"/>
      <c r="P294" s="71"/>
      <c r="Q294" s="153" t="s">
        <v>45</v>
      </c>
      <c r="R294" s="153" t="s">
        <v>464</v>
      </c>
      <c r="AB294" s="12" t="n">
        <v>13</v>
      </c>
      <c r="AC294" s="46" t="s">
        <v>859</v>
      </c>
      <c r="AD294" s="12" t="n">
        <v>24.116126</v>
      </c>
      <c r="AE294" s="12" t="n">
        <v>76.090418</v>
      </c>
    </row>
    <row r="295" customFormat="false" ht="15" hidden="false" customHeight="false" outlineLevel="0" collapsed="false">
      <c r="A295" s="71" t="s">
        <v>415</v>
      </c>
      <c r="B295" s="71" t="s">
        <v>1877</v>
      </c>
      <c r="C295" s="51" t="s">
        <v>2208</v>
      </c>
      <c r="D295" s="71" t="s">
        <v>2210</v>
      </c>
      <c r="E295" s="71" t="s">
        <v>2211</v>
      </c>
      <c r="F295" s="71" t="n">
        <v>324.4</v>
      </c>
      <c r="G295" s="71" t="n">
        <v>138</v>
      </c>
      <c r="H295" s="71" t="n">
        <v>667</v>
      </c>
      <c r="I295" s="71" t="n">
        <v>347</v>
      </c>
      <c r="J295" s="71" t="n">
        <v>320</v>
      </c>
      <c r="K295" s="71" t="n">
        <v>149</v>
      </c>
      <c r="L295" s="112" t="n">
        <f aca="false">K295/H295*100</f>
        <v>22.3388305847076</v>
      </c>
      <c r="M295" s="71" t="n">
        <v>0</v>
      </c>
      <c r="N295" s="112" t="n">
        <f aca="false">M295/H295*100</f>
        <v>0</v>
      </c>
      <c r="O295" s="71" t="n">
        <v>64.99</v>
      </c>
      <c r="P295" s="71" t="n">
        <v>0</v>
      </c>
      <c r="Q295" s="153" t="s">
        <v>45</v>
      </c>
      <c r="R295" s="153" t="s">
        <v>464</v>
      </c>
      <c r="T295" s="118" t="n">
        <v>67.9618</v>
      </c>
      <c r="AB295" s="12" t="n">
        <v>1.5</v>
      </c>
      <c r="AC295" s="46" t="s">
        <v>859</v>
      </c>
      <c r="AD295" s="12" t="n">
        <v>24.11344</v>
      </c>
      <c r="AE295" s="12" t="n">
        <v>76.043317</v>
      </c>
    </row>
    <row r="296" customFormat="false" ht="15" hidden="false" customHeight="false" outlineLevel="0" collapsed="false">
      <c r="A296" s="71" t="s">
        <v>415</v>
      </c>
      <c r="B296" s="71" t="s">
        <v>1877</v>
      </c>
      <c r="C296" s="51" t="s">
        <v>2208</v>
      </c>
      <c r="D296" s="71" t="s">
        <v>2212</v>
      </c>
      <c r="E296" s="71" t="s">
        <v>2213</v>
      </c>
      <c r="F296" s="71" t="n">
        <v>615.68</v>
      </c>
      <c r="G296" s="71" t="n">
        <v>141</v>
      </c>
      <c r="H296" s="71" t="n">
        <v>694</v>
      </c>
      <c r="I296" s="71" t="n">
        <v>355</v>
      </c>
      <c r="J296" s="71" t="n">
        <v>339</v>
      </c>
      <c r="K296" s="71" t="n">
        <v>113</v>
      </c>
      <c r="L296" s="112" t="n">
        <f aca="false">K296/H296*100</f>
        <v>16.2824207492795</v>
      </c>
      <c r="M296" s="71" t="n">
        <v>0</v>
      </c>
      <c r="N296" s="112" t="n">
        <f aca="false">M296/H296*100</f>
        <v>0</v>
      </c>
      <c r="O296" s="71" t="n">
        <v>99.4</v>
      </c>
      <c r="P296" s="71" t="n">
        <v>0</v>
      </c>
      <c r="Q296" s="153" t="s">
        <v>45</v>
      </c>
      <c r="R296" s="153" t="s">
        <v>464</v>
      </c>
      <c r="T296" s="118" t="n">
        <v>100.2733</v>
      </c>
      <c r="AB296" s="12" t="n">
        <v>1.5</v>
      </c>
      <c r="AC296" s="46" t="s">
        <v>859</v>
      </c>
      <c r="AD296" s="12" t="n">
        <v>24.1288</v>
      </c>
      <c r="AE296" s="12" t="n">
        <v>76.0221</v>
      </c>
    </row>
    <row r="297" customFormat="false" ht="15" hidden="false" customHeight="false" outlineLevel="0" collapsed="false">
      <c r="A297" s="71" t="s">
        <v>415</v>
      </c>
      <c r="B297" s="71" t="s">
        <v>1877</v>
      </c>
      <c r="C297" s="51" t="s">
        <v>2208</v>
      </c>
      <c r="D297" s="71" t="s">
        <v>2212</v>
      </c>
      <c r="E297" s="71"/>
      <c r="F297" s="71"/>
      <c r="G297" s="71"/>
      <c r="H297" s="71"/>
      <c r="I297" s="71"/>
      <c r="J297" s="71"/>
      <c r="K297" s="71"/>
      <c r="M297" s="71"/>
      <c r="O297" s="71"/>
      <c r="P297" s="71"/>
      <c r="Q297" s="153" t="s">
        <v>43</v>
      </c>
      <c r="R297" s="153" t="s">
        <v>464</v>
      </c>
      <c r="T297" s="118"/>
      <c r="AB297" s="12" t="n">
        <v>4</v>
      </c>
      <c r="AC297" s="46" t="s">
        <v>859</v>
      </c>
      <c r="AD297" s="12" t="n">
        <v>24.1088</v>
      </c>
      <c r="AE297" s="12" t="n">
        <v>76.06653</v>
      </c>
    </row>
    <row r="298" customFormat="false" ht="15" hidden="false" customHeight="false" outlineLevel="0" collapsed="false">
      <c r="A298" s="71" t="s">
        <v>415</v>
      </c>
      <c r="B298" s="71" t="s">
        <v>1877</v>
      </c>
      <c r="C298" s="51" t="s">
        <v>2208</v>
      </c>
      <c r="D298" s="71" t="s">
        <v>2212</v>
      </c>
      <c r="E298" s="71"/>
      <c r="F298" s="71"/>
      <c r="G298" s="71"/>
      <c r="H298" s="71"/>
      <c r="I298" s="71"/>
      <c r="J298" s="71"/>
      <c r="K298" s="71"/>
      <c r="M298" s="71"/>
      <c r="O298" s="71"/>
      <c r="P298" s="71"/>
      <c r="Q298" s="153" t="s">
        <v>43</v>
      </c>
      <c r="R298" s="153" t="s">
        <v>464</v>
      </c>
      <c r="T298" s="118"/>
      <c r="AB298" s="12" t="n">
        <v>10</v>
      </c>
      <c r="AC298" s="46" t="s">
        <v>859</v>
      </c>
      <c r="AD298" s="12" t="n">
        <v>24.11433</v>
      </c>
      <c r="AE298" s="12" t="n">
        <v>76.05703</v>
      </c>
    </row>
    <row r="299" customFormat="false" ht="15" hidden="false" customHeight="false" outlineLevel="0" collapsed="false">
      <c r="A299" s="71" t="s">
        <v>415</v>
      </c>
      <c r="B299" s="71" t="s">
        <v>1877</v>
      </c>
      <c r="C299" s="51" t="s">
        <v>2208</v>
      </c>
      <c r="D299" s="71" t="s">
        <v>2212</v>
      </c>
      <c r="E299" s="71"/>
      <c r="F299" s="71"/>
      <c r="G299" s="71"/>
      <c r="H299" s="71"/>
      <c r="I299" s="71"/>
      <c r="J299" s="71"/>
      <c r="K299" s="71"/>
      <c r="M299" s="71"/>
      <c r="O299" s="71"/>
      <c r="P299" s="71"/>
      <c r="Q299" s="153" t="s">
        <v>43</v>
      </c>
      <c r="R299" s="153" t="s">
        <v>464</v>
      </c>
      <c r="T299" s="118"/>
      <c r="AB299" s="12" t="n">
        <v>20</v>
      </c>
      <c r="AC299" s="46" t="s">
        <v>859</v>
      </c>
      <c r="AD299" s="12" t="n">
        <v>24.12872</v>
      </c>
      <c r="AE299" s="12" t="n">
        <v>76.05947</v>
      </c>
    </row>
    <row r="300" customFormat="false" ht="15" hidden="false" customHeight="false" outlineLevel="0" collapsed="false">
      <c r="A300" s="71" t="s">
        <v>415</v>
      </c>
      <c r="B300" s="71" t="s">
        <v>1877</v>
      </c>
      <c r="C300" s="51" t="s">
        <v>2208</v>
      </c>
      <c r="D300" s="71" t="s">
        <v>2212</v>
      </c>
      <c r="E300" s="71"/>
      <c r="F300" s="71"/>
      <c r="G300" s="71"/>
      <c r="H300" s="71"/>
      <c r="I300" s="71"/>
      <c r="J300" s="71"/>
      <c r="K300" s="71"/>
      <c r="M300" s="71"/>
      <c r="O300" s="71"/>
      <c r="P300" s="71"/>
      <c r="Q300" s="153" t="s">
        <v>43</v>
      </c>
      <c r="R300" s="153" t="s">
        <v>464</v>
      </c>
      <c r="T300" s="118"/>
      <c r="AB300" s="12" t="n">
        <v>1.5</v>
      </c>
      <c r="AC300" s="46" t="s">
        <v>859</v>
      </c>
      <c r="AD300" s="12" t="n">
        <v>24.11008</v>
      </c>
      <c r="AE300" s="12" t="n">
        <v>76.07373</v>
      </c>
    </row>
    <row r="301" customFormat="false" ht="15" hidden="false" customHeight="false" outlineLevel="0" collapsed="false">
      <c r="A301" s="71" t="s">
        <v>415</v>
      </c>
      <c r="B301" s="71" t="s">
        <v>1877</v>
      </c>
      <c r="C301" s="51" t="s">
        <v>2208</v>
      </c>
      <c r="D301" s="71" t="s">
        <v>2212</v>
      </c>
      <c r="E301" s="71"/>
      <c r="F301" s="71"/>
      <c r="G301" s="71"/>
      <c r="H301" s="71"/>
      <c r="I301" s="71"/>
      <c r="J301" s="71"/>
      <c r="K301" s="71"/>
      <c r="M301" s="71"/>
      <c r="O301" s="71"/>
      <c r="P301" s="71"/>
      <c r="Q301" s="153" t="s">
        <v>43</v>
      </c>
      <c r="R301" s="153" t="s">
        <v>464</v>
      </c>
      <c r="T301" s="118"/>
      <c r="AB301" s="12" t="n">
        <v>2</v>
      </c>
      <c r="AC301" s="46" t="s">
        <v>859</v>
      </c>
      <c r="AD301" s="12" t="n">
        <v>24.11535</v>
      </c>
      <c r="AE301" s="12" t="n">
        <v>76.05774</v>
      </c>
    </row>
    <row r="302" customFormat="false" ht="15" hidden="false" customHeight="false" outlineLevel="0" collapsed="false">
      <c r="A302" s="71" t="s">
        <v>415</v>
      </c>
      <c r="B302" s="71" t="s">
        <v>1877</v>
      </c>
      <c r="C302" s="51" t="s">
        <v>2208</v>
      </c>
      <c r="D302" s="71" t="s">
        <v>2212</v>
      </c>
      <c r="E302" s="71"/>
      <c r="F302" s="71"/>
      <c r="G302" s="71"/>
      <c r="H302" s="71"/>
      <c r="I302" s="71"/>
      <c r="J302" s="71"/>
      <c r="K302" s="71"/>
      <c r="M302" s="71"/>
      <c r="O302" s="71"/>
      <c r="P302" s="71"/>
      <c r="Q302" s="153" t="s">
        <v>43</v>
      </c>
      <c r="R302" s="153" t="s">
        <v>464</v>
      </c>
      <c r="T302" s="118"/>
      <c r="AB302" s="12" t="n">
        <v>2.8</v>
      </c>
      <c r="AC302" s="46" t="s">
        <v>859</v>
      </c>
      <c r="AD302" s="12" t="n">
        <v>24.1153</v>
      </c>
      <c r="AE302" s="12" t="n">
        <v>76.05796</v>
      </c>
    </row>
    <row r="303" customFormat="false" ht="15" hidden="false" customHeight="false" outlineLevel="0" collapsed="false">
      <c r="A303" s="71" t="s">
        <v>415</v>
      </c>
      <c r="B303" s="71" t="s">
        <v>1877</v>
      </c>
      <c r="C303" s="51" t="s">
        <v>2208</v>
      </c>
      <c r="D303" s="71" t="s">
        <v>2212</v>
      </c>
      <c r="E303" s="71"/>
      <c r="F303" s="71"/>
      <c r="G303" s="71"/>
      <c r="H303" s="71"/>
      <c r="I303" s="71"/>
      <c r="J303" s="71"/>
      <c r="K303" s="71"/>
      <c r="M303" s="71"/>
      <c r="O303" s="71"/>
      <c r="P303" s="71"/>
      <c r="Q303" s="153" t="s">
        <v>43</v>
      </c>
      <c r="R303" s="153" t="s">
        <v>464</v>
      </c>
      <c r="T303" s="118"/>
      <c r="AB303" s="12" t="n">
        <v>2</v>
      </c>
      <c r="AC303" s="46" t="s">
        <v>859</v>
      </c>
      <c r="AD303" s="12" t="n">
        <v>24.1121</v>
      </c>
      <c r="AE303" s="12" t="n">
        <v>76.05663</v>
      </c>
    </row>
    <row r="304" customFormat="false" ht="15" hidden="false" customHeight="false" outlineLevel="0" collapsed="false">
      <c r="A304" s="71" t="s">
        <v>415</v>
      </c>
      <c r="B304" s="71" t="s">
        <v>1877</v>
      </c>
      <c r="C304" s="51" t="s">
        <v>2208</v>
      </c>
      <c r="D304" s="71" t="s">
        <v>2212</v>
      </c>
      <c r="E304" s="71"/>
      <c r="F304" s="71"/>
      <c r="G304" s="71"/>
      <c r="H304" s="71"/>
      <c r="I304" s="71"/>
      <c r="J304" s="71"/>
      <c r="K304" s="71"/>
      <c r="M304" s="71"/>
      <c r="O304" s="71"/>
      <c r="P304" s="71"/>
      <c r="Q304" s="153" t="s">
        <v>43</v>
      </c>
      <c r="R304" s="153" t="s">
        <v>464</v>
      </c>
      <c r="T304" s="118"/>
      <c r="AB304" s="12" t="n">
        <v>2</v>
      </c>
      <c r="AC304" s="46" t="s">
        <v>859</v>
      </c>
      <c r="AD304" s="12" t="n">
        <v>24.12344</v>
      </c>
      <c r="AE304" s="12" t="n">
        <v>76.05867</v>
      </c>
    </row>
    <row r="305" customFormat="false" ht="15" hidden="false" customHeight="false" outlineLevel="0" collapsed="false">
      <c r="A305" s="71" t="s">
        <v>415</v>
      </c>
      <c r="B305" s="71" t="s">
        <v>1877</v>
      </c>
      <c r="C305" s="51" t="s">
        <v>2208</v>
      </c>
      <c r="D305" s="71" t="s">
        <v>2212</v>
      </c>
      <c r="E305" s="71"/>
      <c r="F305" s="71"/>
      <c r="G305" s="71"/>
      <c r="H305" s="71"/>
      <c r="I305" s="71"/>
      <c r="J305" s="71"/>
      <c r="K305" s="71"/>
      <c r="M305" s="71"/>
      <c r="O305" s="71"/>
      <c r="P305" s="71"/>
      <c r="Q305" s="153" t="s">
        <v>43</v>
      </c>
      <c r="R305" s="153" t="s">
        <v>464</v>
      </c>
      <c r="T305" s="118"/>
      <c r="AB305" s="12" t="n">
        <v>4</v>
      </c>
      <c r="AC305" s="46" t="s">
        <v>859</v>
      </c>
      <c r="AD305" s="12" t="n">
        <v>24.12521</v>
      </c>
      <c r="AE305" s="12" t="n">
        <v>76.05709</v>
      </c>
    </row>
    <row r="306" customFormat="false" ht="15" hidden="false" customHeight="false" outlineLevel="0" collapsed="false">
      <c r="A306" s="71" t="s">
        <v>415</v>
      </c>
      <c r="B306" s="71" t="s">
        <v>1877</v>
      </c>
      <c r="C306" s="51" t="s">
        <v>2208</v>
      </c>
      <c r="D306" s="71" t="s">
        <v>2212</v>
      </c>
      <c r="E306" s="71"/>
      <c r="F306" s="71"/>
      <c r="G306" s="71"/>
      <c r="H306" s="71"/>
      <c r="I306" s="71"/>
      <c r="J306" s="71"/>
      <c r="K306" s="71"/>
      <c r="M306" s="71"/>
      <c r="O306" s="71"/>
      <c r="P306" s="71"/>
      <c r="Q306" s="153" t="s">
        <v>43</v>
      </c>
      <c r="R306" s="153" t="s">
        <v>464</v>
      </c>
      <c r="T306" s="118"/>
      <c r="AB306" s="12" t="n">
        <v>2.8</v>
      </c>
      <c r="AC306" s="46" t="s">
        <v>859</v>
      </c>
      <c r="AD306" s="12" t="n">
        <v>24.12541</v>
      </c>
      <c r="AE306" s="12" t="n">
        <v>76.05721</v>
      </c>
    </row>
    <row r="307" customFormat="false" ht="15" hidden="false" customHeight="false" outlineLevel="0" collapsed="false">
      <c r="A307" s="71" t="s">
        <v>415</v>
      </c>
      <c r="B307" s="71" t="s">
        <v>1877</v>
      </c>
      <c r="C307" s="51" t="s">
        <v>2208</v>
      </c>
      <c r="D307" s="71" t="s">
        <v>2212</v>
      </c>
      <c r="E307" s="71"/>
      <c r="F307" s="71"/>
      <c r="G307" s="71"/>
      <c r="H307" s="71"/>
      <c r="I307" s="71"/>
      <c r="J307" s="71"/>
      <c r="K307" s="71"/>
      <c r="M307" s="71"/>
      <c r="O307" s="71"/>
      <c r="P307" s="71"/>
      <c r="Q307" s="153" t="s">
        <v>43</v>
      </c>
      <c r="R307" s="153" t="s">
        <v>464</v>
      </c>
      <c r="T307" s="118"/>
      <c r="AB307" s="12" t="n">
        <v>2</v>
      </c>
      <c r="AC307" s="46" t="s">
        <v>859</v>
      </c>
      <c r="AD307" s="12" t="n">
        <v>24.12742</v>
      </c>
      <c r="AE307" s="12" t="n">
        <v>76.05638</v>
      </c>
    </row>
    <row r="308" customFormat="false" ht="15" hidden="false" customHeight="false" outlineLevel="0" collapsed="false">
      <c r="A308" s="71" t="s">
        <v>415</v>
      </c>
      <c r="B308" s="71" t="s">
        <v>1877</v>
      </c>
      <c r="C308" s="51" t="s">
        <v>2208</v>
      </c>
      <c r="D308" s="71" t="s">
        <v>2212</v>
      </c>
      <c r="E308" s="71"/>
      <c r="F308" s="71"/>
      <c r="G308" s="71"/>
      <c r="H308" s="71"/>
      <c r="I308" s="71"/>
      <c r="J308" s="71"/>
      <c r="K308" s="71"/>
      <c r="M308" s="71"/>
      <c r="O308" s="71"/>
      <c r="P308" s="71"/>
      <c r="Q308" s="153" t="s">
        <v>43</v>
      </c>
      <c r="R308" s="153" t="s">
        <v>464</v>
      </c>
      <c r="T308" s="118"/>
      <c r="AB308" s="12" t="n">
        <v>1.8</v>
      </c>
      <c r="AC308" s="46" t="s">
        <v>859</v>
      </c>
      <c r="AD308" s="12" t="n">
        <v>24.1121</v>
      </c>
      <c r="AE308" s="12" t="n">
        <v>76.05664</v>
      </c>
    </row>
    <row r="309" customFormat="false" ht="15" hidden="false" customHeight="false" outlineLevel="0" collapsed="false">
      <c r="A309" s="71" t="s">
        <v>415</v>
      </c>
      <c r="B309" s="71" t="s">
        <v>1877</v>
      </c>
      <c r="C309" s="51" t="s">
        <v>2208</v>
      </c>
      <c r="D309" s="71" t="s">
        <v>2212</v>
      </c>
      <c r="E309" s="71"/>
      <c r="F309" s="71"/>
      <c r="G309" s="71"/>
      <c r="H309" s="71"/>
      <c r="I309" s="71"/>
      <c r="J309" s="71"/>
      <c r="K309" s="71"/>
      <c r="M309" s="71"/>
      <c r="O309" s="71"/>
      <c r="P309" s="71"/>
      <c r="Q309" s="153" t="s">
        <v>43</v>
      </c>
      <c r="R309" s="153" t="s">
        <v>464</v>
      </c>
      <c r="T309" s="118"/>
      <c r="AB309" s="12" t="n">
        <v>1.8</v>
      </c>
      <c r="AC309" s="46" t="s">
        <v>859</v>
      </c>
      <c r="AD309" s="12" t="n">
        <v>24.12726</v>
      </c>
      <c r="AE309" s="12" t="n">
        <v>76.05615</v>
      </c>
    </row>
    <row r="310" customFormat="false" ht="15" hidden="false" customHeight="false" outlineLevel="0" collapsed="false">
      <c r="A310" s="71" t="s">
        <v>415</v>
      </c>
      <c r="B310" s="71" t="s">
        <v>1877</v>
      </c>
      <c r="C310" s="51" t="s">
        <v>2208</v>
      </c>
      <c r="D310" s="71" t="s">
        <v>2212</v>
      </c>
      <c r="E310" s="71"/>
      <c r="F310" s="71"/>
      <c r="G310" s="71"/>
      <c r="H310" s="71"/>
      <c r="I310" s="71"/>
      <c r="J310" s="71"/>
      <c r="K310" s="71"/>
      <c r="M310" s="71"/>
      <c r="O310" s="71"/>
      <c r="P310" s="71"/>
      <c r="Q310" s="153" t="s">
        <v>43</v>
      </c>
      <c r="R310" s="153" t="s">
        <v>464</v>
      </c>
      <c r="T310" s="118"/>
      <c r="AB310" s="12" t="n">
        <v>2.8</v>
      </c>
      <c r="AC310" s="46" t="s">
        <v>859</v>
      </c>
      <c r="AD310" s="12" t="n">
        <v>24.10766</v>
      </c>
      <c r="AE310" s="12" t="n">
        <v>76.06355</v>
      </c>
    </row>
    <row r="311" customFormat="false" ht="15" hidden="false" customHeight="false" outlineLevel="0" collapsed="false">
      <c r="A311" s="71" t="s">
        <v>415</v>
      </c>
      <c r="B311" s="71" t="s">
        <v>1877</v>
      </c>
      <c r="C311" s="51" t="s">
        <v>2208</v>
      </c>
      <c r="D311" s="71" t="s">
        <v>2212</v>
      </c>
      <c r="E311" s="71"/>
      <c r="F311" s="71"/>
      <c r="G311" s="71"/>
      <c r="H311" s="71"/>
      <c r="I311" s="71"/>
      <c r="J311" s="71"/>
      <c r="K311" s="71"/>
      <c r="M311" s="71"/>
      <c r="O311" s="71"/>
      <c r="P311" s="71"/>
      <c r="Q311" s="153" t="s">
        <v>43</v>
      </c>
      <c r="R311" s="153" t="s">
        <v>464</v>
      </c>
      <c r="T311" s="118"/>
      <c r="AB311" s="12" t="n">
        <v>3.68</v>
      </c>
      <c r="AC311" s="46" t="s">
        <v>859</v>
      </c>
      <c r="AD311" s="12" t="n">
        <v>24.10938</v>
      </c>
      <c r="AE311" s="12" t="n">
        <v>76.06679</v>
      </c>
    </row>
    <row r="312" customFormat="false" ht="15" hidden="false" customHeight="false" outlineLevel="0" collapsed="false">
      <c r="A312" s="71" t="s">
        <v>415</v>
      </c>
      <c r="B312" s="71" t="s">
        <v>1877</v>
      </c>
      <c r="C312" s="51" t="s">
        <v>2208</v>
      </c>
      <c r="D312" s="71" t="s">
        <v>2212</v>
      </c>
      <c r="E312" s="71"/>
      <c r="F312" s="71"/>
      <c r="G312" s="71"/>
      <c r="H312" s="71"/>
      <c r="I312" s="71"/>
      <c r="J312" s="71"/>
      <c r="K312" s="71"/>
      <c r="M312" s="71"/>
      <c r="O312" s="71"/>
      <c r="P312" s="71"/>
      <c r="Q312" s="153" t="s">
        <v>43</v>
      </c>
      <c r="R312" s="153" t="s">
        <v>464</v>
      </c>
      <c r="T312" s="118"/>
      <c r="AB312" s="12" t="n">
        <v>2</v>
      </c>
      <c r="AC312" s="46" t="s">
        <v>859</v>
      </c>
      <c r="AD312" s="12" t="n">
        <v>24.10983</v>
      </c>
      <c r="AE312" s="12" t="n">
        <v>76.07387</v>
      </c>
    </row>
    <row r="313" customFormat="false" ht="15" hidden="false" customHeight="false" outlineLevel="0" collapsed="false">
      <c r="A313" s="71" t="s">
        <v>415</v>
      </c>
      <c r="B313" s="71" t="s">
        <v>1877</v>
      </c>
      <c r="C313" s="51" t="s">
        <v>2208</v>
      </c>
      <c r="D313" s="71" t="s">
        <v>2212</v>
      </c>
      <c r="E313" s="71"/>
      <c r="F313" s="71"/>
      <c r="G313" s="71"/>
      <c r="H313" s="71"/>
      <c r="I313" s="71"/>
      <c r="J313" s="71"/>
      <c r="K313" s="71"/>
      <c r="M313" s="71"/>
      <c r="O313" s="71"/>
      <c r="P313" s="71"/>
      <c r="Q313" s="153" t="s">
        <v>43</v>
      </c>
      <c r="R313" s="153" t="s">
        <v>464</v>
      </c>
      <c r="T313" s="118"/>
      <c r="AB313" s="12" t="n">
        <v>6</v>
      </c>
      <c r="AC313" s="46" t="s">
        <v>859</v>
      </c>
      <c r="AD313" s="12" t="n">
        <v>24.10849</v>
      </c>
      <c r="AE313" s="12" t="n">
        <v>76.07163</v>
      </c>
    </row>
    <row r="314" customFormat="false" ht="15" hidden="false" customHeight="false" outlineLevel="0" collapsed="false">
      <c r="A314" s="71" t="s">
        <v>415</v>
      </c>
      <c r="B314" s="71" t="s">
        <v>1877</v>
      </c>
      <c r="C314" s="51" t="s">
        <v>2208</v>
      </c>
      <c r="D314" s="71" t="s">
        <v>2212</v>
      </c>
      <c r="E314" s="71"/>
      <c r="F314" s="71"/>
      <c r="G314" s="71"/>
      <c r="H314" s="71"/>
      <c r="I314" s="71"/>
      <c r="J314" s="71"/>
      <c r="K314" s="71"/>
      <c r="M314" s="71"/>
      <c r="O314" s="71"/>
      <c r="P314" s="71"/>
      <c r="Q314" s="153" t="s">
        <v>43</v>
      </c>
      <c r="R314" s="153" t="s">
        <v>464</v>
      </c>
      <c r="T314" s="118"/>
      <c r="AB314" s="12" t="n">
        <v>3.68</v>
      </c>
      <c r="AC314" s="46" t="s">
        <v>859</v>
      </c>
      <c r="AD314" s="12" t="n">
        <v>24.10861</v>
      </c>
      <c r="AE314" s="12" t="n">
        <v>76.07166</v>
      </c>
    </row>
    <row r="315" customFormat="false" ht="15" hidden="false" customHeight="false" outlineLevel="0" collapsed="false">
      <c r="A315" s="71" t="s">
        <v>415</v>
      </c>
      <c r="B315" s="71" t="s">
        <v>1877</v>
      </c>
      <c r="C315" s="51" t="s">
        <v>2208</v>
      </c>
      <c r="D315" s="71" t="s">
        <v>2212</v>
      </c>
      <c r="E315" s="71"/>
      <c r="F315" s="71"/>
      <c r="G315" s="71"/>
      <c r="H315" s="71"/>
      <c r="I315" s="71"/>
      <c r="J315" s="71"/>
      <c r="K315" s="71"/>
      <c r="M315" s="71"/>
      <c r="O315" s="71"/>
      <c r="P315" s="71"/>
      <c r="Q315" s="153" t="s">
        <v>43</v>
      </c>
      <c r="R315" s="153" t="s">
        <v>464</v>
      </c>
      <c r="T315" s="118"/>
      <c r="AB315" s="12" t="n">
        <v>2</v>
      </c>
      <c r="AC315" s="46" t="s">
        <v>859</v>
      </c>
      <c r="AD315" s="12" t="n">
        <v>24.12639</v>
      </c>
      <c r="AE315" s="12" t="n">
        <v>76.05698</v>
      </c>
    </row>
    <row r="316" customFormat="false" ht="15" hidden="false" customHeight="false" outlineLevel="0" collapsed="false">
      <c r="A316" s="71" t="s">
        <v>415</v>
      </c>
      <c r="B316" s="71" t="s">
        <v>1877</v>
      </c>
      <c r="C316" s="51" t="s">
        <v>2208</v>
      </c>
      <c r="D316" s="71" t="s">
        <v>2212</v>
      </c>
      <c r="E316" s="71"/>
      <c r="F316" s="71"/>
      <c r="G316" s="71"/>
      <c r="H316" s="71"/>
      <c r="I316" s="71"/>
      <c r="J316" s="71"/>
      <c r="K316" s="71"/>
      <c r="M316" s="71"/>
      <c r="O316" s="71"/>
      <c r="P316" s="71"/>
      <c r="Q316" s="153" t="s">
        <v>43</v>
      </c>
      <c r="R316" s="153" t="s">
        <v>464</v>
      </c>
      <c r="T316" s="118"/>
      <c r="AB316" s="12" t="n">
        <v>2</v>
      </c>
      <c r="AC316" s="46" t="s">
        <v>859</v>
      </c>
      <c r="AD316" s="12" t="n">
        <v>24.12667</v>
      </c>
      <c r="AE316" s="12" t="n">
        <v>76.0591</v>
      </c>
    </row>
    <row r="317" customFormat="false" ht="15" hidden="false" customHeight="false" outlineLevel="0" collapsed="false">
      <c r="A317" s="71" t="s">
        <v>415</v>
      </c>
      <c r="B317" s="71" t="s">
        <v>1877</v>
      </c>
      <c r="C317" s="51" t="s">
        <v>2208</v>
      </c>
      <c r="D317" s="71" t="s">
        <v>2212</v>
      </c>
      <c r="E317" s="71"/>
      <c r="F317" s="71"/>
      <c r="G317" s="71"/>
      <c r="H317" s="71"/>
      <c r="I317" s="71"/>
      <c r="J317" s="71"/>
      <c r="K317" s="71"/>
      <c r="M317" s="71"/>
      <c r="O317" s="71"/>
      <c r="P317" s="71"/>
      <c r="Q317" s="153" t="s">
        <v>43</v>
      </c>
      <c r="R317" s="153" t="s">
        <v>464</v>
      </c>
      <c r="T317" s="118"/>
      <c r="AB317" s="12" t="n">
        <v>4.4</v>
      </c>
      <c r="AC317" s="46" t="s">
        <v>859</v>
      </c>
      <c r="AD317" s="12" t="n">
        <v>24.12268</v>
      </c>
      <c r="AE317" s="12" t="n">
        <v>76.0597</v>
      </c>
    </row>
    <row r="318" customFormat="false" ht="15" hidden="false" customHeight="false" outlineLevel="0" collapsed="false">
      <c r="A318" s="71" t="s">
        <v>415</v>
      </c>
      <c r="B318" s="71" t="s">
        <v>1877</v>
      </c>
      <c r="C318" s="51" t="s">
        <v>2208</v>
      </c>
      <c r="D318" s="71" t="s">
        <v>2214</v>
      </c>
      <c r="E318" s="71" t="s">
        <v>2215</v>
      </c>
      <c r="F318" s="71" t="n">
        <v>543.74</v>
      </c>
      <c r="G318" s="71" t="n">
        <v>120</v>
      </c>
      <c r="H318" s="71" t="n">
        <v>562</v>
      </c>
      <c r="I318" s="71" t="n">
        <v>284</v>
      </c>
      <c r="J318" s="71" t="n">
        <v>278</v>
      </c>
      <c r="K318" s="71" t="n">
        <v>138</v>
      </c>
      <c r="L318" s="112" t="n">
        <f aca="false">K318/H318*100</f>
        <v>24.5551601423488</v>
      </c>
      <c r="M318" s="71" t="n">
        <v>0</v>
      </c>
      <c r="N318" s="112" t="n">
        <f aca="false">M318/H318*100</f>
        <v>0</v>
      </c>
      <c r="O318" s="71" t="n">
        <v>88.47</v>
      </c>
      <c r="P318" s="71" t="n">
        <v>142.75</v>
      </c>
      <c r="Q318" s="153" t="s">
        <v>45</v>
      </c>
      <c r="R318" s="153" t="s">
        <v>464</v>
      </c>
      <c r="T318" s="118" t="n">
        <v>87.8545</v>
      </c>
      <c r="AB318" s="12" t="n">
        <v>1</v>
      </c>
      <c r="AC318" s="46" t="s">
        <v>859</v>
      </c>
      <c r="AD318" s="12" t="n">
        <v>24.1243</v>
      </c>
      <c r="AE318" s="12" t="n">
        <v>76.10373</v>
      </c>
    </row>
    <row r="319" customFormat="false" ht="15" hidden="false" customHeight="false" outlineLevel="0" collapsed="false">
      <c r="A319" s="71" t="s">
        <v>415</v>
      </c>
      <c r="B319" s="71" t="s">
        <v>1877</v>
      </c>
      <c r="C319" s="51" t="s">
        <v>2208</v>
      </c>
      <c r="D319" s="71" t="s">
        <v>2216</v>
      </c>
      <c r="E319" s="71" t="s">
        <v>2217</v>
      </c>
      <c r="F319" s="71" t="n">
        <v>533.25</v>
      </c>
      <c r="G319" s="71" t="n">
        <v>105</v>
      </c>
      <c r="H319" s="71" t="n">
        <v>524</v>
      </c>
      <c r="I319" s="71" t="n">
        <v>285</v>
      </c>
      <c r="J319" s="71" t="n">
        <v>239</v>
      </c>
      <c r="K319" s="71" t="n">
        <v>162</v>
      </c>
      <c r="L319" s="112" t="n">
        <f aca="false">K319/H319*100</f>
        <v>30.9160305343511</v>
      </c>
      <c r="M319" s="71" t="n">
        <v>5</v>
      </c>
      <c r="N319" s="112" t="n">
        <f aca="false">M319/H319*100</f>
        <v>0.954198473282443</v>
      </c>
      <c r="O319" s="71" t="n">
        <v>61.5</v>
      </c>
      <c r="P319" s="71" t="n">
        <v>49.81</v>
      </c>
      <c r="Q319" s="153" t="s">
        <v>45</v>
      </c>
      <c r="R319" s="153" t="s">
        <v>464</v>
      </c>
      <c r="T319" s="118" t="n">
        <v>65.3061</v>
      </c>
      <c r="AB319" s="12" t="n">
        <v>1.5</v>
      </c>
      <c r="AC319" s="46" t="s">
        <v>859</v>
      </c>
      <c r="AD319" s="12" t="n">
        <v>24.131003</v>
      </c>
      <c r="AE319" s="12" t="n">
        <v>76.103079</v>
      </c>
    </row>
    <row r="320" customFormat="false" ht="15" hidden="false" customHeight="false" outlineLevel="0" collapsed="false">
      <c r="A320" s="71" t="s">
        <v>415</v>
      </c>
      <c r="B320" s="71" t="s">
        <v>1877</v>
      </c>
      <c r="C320" s="51" t="s">
        <v>2218</v>
      </c>
      <c r="D320" s="72" t="s">
        <v>2219</v>
      </c>
      <c r="E320" s="71" t="s">
        <v>2220</v>
      </c>
      <c r="F320" s="71" t="n">
        <v>599.21</v>
      </c>
      <c r="G320" s="71" t="n">
        <v>350</v>
      </c>
      <c r="H320" s="71" t="n">
        <v>1844</v>
      </c>
      <c r="I320" s="71" t="n">
        <v>925</v>
      </c>
      <c r="J320" s="71" t="n">
        <v>919</v>
      </c>
      <c r="K320" s="71" t="n">
        <v>214</v>
      </c>
      <c r="L320" s="112" t="n">
        <f aca="false">K320/H320*100</f>
        <v>11.6052060737527</v>
      </c>
      <c r="M320" s="71" t="n">
        <v>421</v>
      </c>
      <c r="N320" s="112" t="n">
        <f aca="false">M320/H320*100</f>
        <v>22.8308026030369</v>
      </c>
      <c r="O320" s="71" t="n">
        <v>65.64</v>
      </c>
      <c r="P320" s="71" t="n">
        <v>0</v>
      </c>
      <c r="Q320" s="153" t="s">
        <v>43</v>
      </c>
      <c r="R320" s="153" t="s">
        <v>285</v>
      </c>
      <c r="T320" s="118" t="n">
        <v>70.4026</v>
      </c>
      <c r="AB320" s="12" t="n">
        <v>0</v>
      </c>
      <c r="AC320" s="46" t="s">
        <v>859</v>
      </c>
      <c r="AD320" s="12" t="n">
        <v>24.387676</v>
      </c>
      <c r="AE320" s="12" t="n">
        <v>76.033371</v>
      </c>
    </row>
    <row r="321" customFormat="false" ht="15" hidden="false" customHeight="false" outlineLevel="0" collapsed="false">
      <c r="A321" s="71" t="s">
        <v>415</v>
      </c>
      <c r="B321" s="71" t="s">
        <v>1877</v>
      </c>
      <c r="C321" s="51" t="s">
        <v>2218</v>
      </c>
      <c r="D321" s="71" t="s">
        <v>2221</v>
      </c>
      <c r="E321" s="71" t="s">
        <v>2222</v>
      </c>
      <c r="F321" s="71" t="n">
        <v>231.82</v>
      </c>
      <c r="G321" s="71" t="n">
        <v>38</v>
      </c>
      <c r="H321" s="71" t="n">
        <v>209</v>
      </c>
      <c r="I321" s="71" t="n">
        <v>103</v>
      </c>
      <c r="J321" s="71" t="n">
        <v>106</v>
      </c>
      <c r="K321" s="71" t="n">
        <v>0</v>
      </c>
      <c r="L321" s="112" t="n">
        <f aca="false">K321/H321*100</f>
        <v>0</v>
      </c>
      <c r="M321" s="71" t="n">
        <v>84</v>
      </c>
      <c r="N321" s="112" t="n">
        <f aca="false">M321/H321*100</f>
        <v>40.1913875598086</v>
      </c>
      <c r="O321" s="71" t="n">
        <v>2.23</v>
      </c>
      <c r="P321" s="71" t="n">
        <v>0</v>
      </c>
      <c r="Q321" s="153" t="s">
        <v>43</v>
      </c>
      <c r="R321" s="153" t="s">
        <v>285</v>
      </c>
      <c r="T321" s="118" t="n">
        <v>2.9715</v>
      </c>
      <c r="AB321" s="12" t="n">
        <v>0</v>
      </c>
      <c r="AC321" s="46" t="s">
        <v>859</v>
      </c>
      <c r="AD321" s="12"/>
      <c r="AE321" s="12"/>
    </row>
    <row r="322" customFormat="false" ht="15" hidden="false" customHeight="false" outlineLevel="0" collapsed="false">
      <c r="A322" s="71" t="s">
        <v>415</v>
      </c>
      <c r="B322" s="71" t="s">
        <v>1877</v>
      </c>
      <c r="C322" s="51" t="s">
        <v>2218</v>
      </c>
      <c r="D322" s="71" t="s">
        <v>2223</v>
      </c>
      <c r="E322" s="71" t="s">
        <v>2224</v>
      </c>
      <c r="F322" s="71" t="n">
        <v>205.3</v>
      </c>
      <c r="G322" s="71" t="n">
        <v>73</v>
      </c>
      <c r="H322" s="71" t="n">
        <v>376</v>
      </c>
      <c r="I322" s="71" t="n">
        <v>193</v>
      </c>
      <c r="J322" s="71" t="n">
        <v>183</v>
      </c>
      <c r="K322" s="71" t="n">
        <v>73</v>
      </c>
      <c r="L322" s="112" t="n">
        <f aca="false">K322/H322*100</f>
        <v>19.4148936170213</v>
      </c>
      <c r="M322" s="71" t="n">
        <v>66</v>
      </c>
      <c r="N322" s="112" t="n">
        <f aca="false">M322/H322*100</f>
        <v>17.5531914893617</v>
      </c>
      <c r="O322" s="71" t="n">
        <v>17.29</v>
      </c>
      <c r="P322" s="71" t="n">
        <v>0</v>
      </c>
      <c r="Q322" s="153" t="s">
        <v>43</v>
      </c>
      <c r="R322" s="153" t="s">
        <v>285</v>
      </c>
      <c r="T322" s="118" t="n">
        <v>18.9949</v>
      </c>
      <c r="AB322" s="12" t="n">
        <v>0</v>
      </c>
      <c r="AC322" s="46" t="s">
        <v>859</v>
      </c>
      <c r="AD322" s="12" t="n">
        <v>24.400457</v>
      </c>
      <c r="AE322" s="12" t="n">
        <v>75.997407</v>
      </c>
    </row>
    <row r="323" customFormat="false" ht="15" hidden="false" customHeight="false" outlineLevel="0" collapsed="false">
      <c r="A323" s="71" t="s">
        <v>415</v>
      </c>
      <c r="B323" s="71" t="s">
        <v>1877</v>
      </c>
      <c r="C323" s="51" t="s">
        <v>2218</v>
      </c>
      <c r="D323" s="71" t="s">
        <v>2225</v>
      </c>
      <c r="E323" s="71" t="s">
        <v>2226</v>
      </c>
      <c r="F323" s="71" t="n">
        <v>399.71</v>
      </c>
      <c r="G323" s="71" t="n">
        <v>158</v>
      </c>
      <c r="H323" s="71" t="n">
        <v>834</v>
      </c>
      <c r="I323" s="71" t="n">
        <v>426</v>
      </c>
      <c r="J323" s="71" t="n">
        <v>408</v>
      </c>
      <c r="K323" s="71" t="n">
        <v>42</v>
      </c>
      <c r="L323" s="112" t="n">
        <f aca="false">K323/H323*100</f>
        <v>5.03597122302158</v>
      </c>
      <c r="M323" s="71" t="n">
        <v>190</v>
      </c>
      <c r="N323" s="112" t="n">
        <f aca="false">M323/H323*100</f>
        <v>22.7817745803357</v>
      </c>
      <c r="O323" s="71" t="n">
        <v>22.95</v>
      </c>
      <c r="P323" s="71" t="n">
        <v>0</v>
      </c>
      <c r="Q323" s="153" t="s">
        <v>43</v>
      </c>
      <c r="R323" s="153" t="s">
        <v>285</v>
      </c>
      <c r="T323" s="118" t="n">
        <v>25.2773</v>
      </c>
      <c r="AB323" s="12" t="n">
        <v>0</v>
      </c>
      <c r="AC323" s="46" t="s">
        <v>859</v>
      </c>
      <c r="AD323" s="12" t="n">
        <v>24.40987</v>
      </c>
      <c r="AE323" s="12" t="n">
        <v>76.017478</v>
      </c>
    </row>
    <row r="324" customFormat="false" ht="15" hidden="false" customHeight="false" outlineLevel="0" collapsed="false">
      <c r="A324" s="71" t="s">
        <v>415</v>
      </c>
      <c r="B324" s="71" t="s">
        <v>1877</v>
      </c>
      <c r="C324" s="51" t="s">
        <v>2218</v>
      </c>
      <c r="D324" s="71" t="s">
        <v>1082</v>
      </c>
      <c r="E324" s="71"/>
      <c r="F324" s="71"/>
      <c r="G324" s="71"/>
      <c r="H324" s="71"/>
      <c r="I324" s="71"/>
      <c r="J324" s="71"/>
      <c r="K324" s="71"/>
      <c r="L324" s="112" t="e">
        <f aca="false">K324/H324*100</f>
        <v>#DIV/0!</v>
      </c>
      <c r="M324" s="71"/>
      <c r="O324" s="71"/>
      <c r="P324" s="71"/>
      <c r="Q324" s="153" t="s">
        <v>45</v>
      </c>
      <c r="R324" s="153" t="s">
        <v>285</v>
      </c>
      <c r="AB324" s="12" t="n">
        <v>8</v>
      </c>
      <c r="AC324" s="46" t="s">
        <v>859</v>
      </c>
      <c r="AD324" s="12" t="n">
        <v>24.40563</v>
      </c>
      <c r="AE324" s="12" t="n">
        <v>75.968595</v>
      </c>
    </row>
    <row r="325" customFormat="false" ht="15" hidden="false" customHeight="false" outlineLevel="0" collapsed="false">
      <c r="A325" s="71" t="s">
        <v>415</v>
      </c>
      <c r="B325" s="71" t="s">
        <v>1877</v>
      </c>
      <c r="C325" s="51" t="s">
        <v>2218</v>
      </c>
      <c r="D325" s="71" t="s">
        <v>1082</v>
      </c>
      <c r="E325" s="71"/>
      <c r="F325" s="71"/>
      <c r="G325" s="71"/>
      <c r="H325" s="71"/>
      <c r="I325" s="71"/>
      <c r="J325" s="71"/>
      <c r="K325" s="71"/>
      <c r="L325" s="112" t="e">
        <f aca="false">K325/H325*100</f>
        <v>#DIV/0!</v>
      </c>
      <c r="M325" s="71"/>
      <c r="O325" s="71"/>
      <c r="P325" s="71"/>
      <c r="Q325" s="153" t="s">
        <v>43</v>
      </c>
      <c r="R325" s="153" t="s">
        <v>285</v>
      </c>
      <c r="AB325" s="12" t="n">
        <v>10</v>
      </c>
      <c r="AC325" s="46" t="s">
        <v>859</v>
      </c>
      <c r="AD325" s="12" t="n">
        <v>24.40395</v>
      </c>
      <c r="AE325" s="12" t="n">
        <v>75.961228</v>
      </c>
    </row>
    <row r="326" customFormat="false" ht="15" hidden="false" customHeight="false" outlineLevel="0" collapsed="false">
      <c r="A326" s="71" t="s">
        <v>415</v>
      </c>
      <c r="B326" s="71" t="s">
        <v>1877</v>
      </c>
      <c r="C326" s="51" t="s">
        <v>2218</v>
      </c>
      <c r="D326" s="71" t="s">
        <v>1082</v>
      </c>
      <c r="E326" s="71" t="s">
        <v>2227</v>
      </c>
      <c r="F326" s="71" t="n">
        <v>567.68</v>
      </c>
      <c r="G326" s="71" t="n">
        <v>147</v>
      </c>
      <c r="H326" s="71" t="n">
        <v>858</v>
      </c>
      <c r="I326" s="71" t="n">
        <v>444</v>
      </c>
      <c r="J326" s="71" t="n">
        <v>414</v>
      </c>
      <c r="K326" s="71" t="n">
        <v>208</v>
      </c>
      <c r="L326" s="112" t="n">
        <f aca="false">K326/H326*100</f>
        <v>24.2424242424242</v>
      </c>
      <c r="M326" s="71" t="n">
        <v>24</v>
      </c>
      <c r="N326" s="112" t="n">
        <f aca="false">M326/H326*100</f>
        <v>2.7972027972028</v>
      </c>
      <c r="O326" s="71" t="n">
        <v>43.67</v>
      </c>
      <c r="P326" s="71" t="n">
        <v>0</v>
      </c>
      <c r="Q326" s="153" t="s">
        <v>43</v>
      </c>
      <c r="R326" s="153" t="s">
        <v>285</v>
      </c>
      <c r="T326" s="118" t="n">
        <v>44.3636</v>
      </c>
      <c r="AB326" s="12" t="n">
        <v>0</v>
      </c>
      <c r="AC326" s="46" t="s">
        <v>859</v>
      </c>
      <c r="AD326" s="12" t="n">
        <v>24.40563</v>
      </c>
      <c r="AE326" s="12" t="n">
        <v>75.968595</v>
      </c>
    </row>
    <row r="327" customFormat="false" ht="15" hidden="false" customHeight="false" outlineLevel="0" collapsed="false">
      <c r="A327" s="71" t="s">
        <v>415</v>
      </c>
      <c r="B327" s="71" t="s">
        <v>1877</v>
      </c>
      <c r="C327" s="51" t="s">
        <v>2218</v>
      </c>
      <c r="D327" s="71" t="s">
        <v>2228</v>
      </c>
      <c r="E327" s="71" t="s">
        <v>2229</v>
      </c>
      <c r="F327" s="71" t="n">
        <v>489.05</v>
      </c>
      <c r="G327" s="71" t="n">
        <v>230</v>
      </c>
      <c r="H327" s="71" t="n">
        <v>1200</v>
      </c>
      <c r="I327" s="71" t="n">
        <v>619</v>
      </c>
      <c r="J327" s="71" t="n">
        <v>581</v>
      </c>
      <c r="K327" s="71" t="n">
        <v>595</v>
      </c>
      <c r="L327" s="112" t="n">
        <f aca="false">K327/H327*100</f>
        <v>49.5833333333333</v>
      </c>
      <c r="M327" s="71" t="n">
        <v>82</v>
      </c>
      <c r="N327" s="112" t="n">
        <f aca="false">M327/H327*100</f>
        <v>6.83333333333333</v>
      </c>
      <c r="O327" s="71" t="n">
        <v>41.91</v>
      </c>
      <c r="P327" s="71" t="n">
        <v>0</v>
      </c>
      <c r="Q327" s="153" t="s">
        <v>43</v>
      </c>
      <c r="R327" s="153" t="s">
        <v>285</v>
      </c>
      <c r="T327" s="118" t="n">
        <v>46.8421</v>
      </c>
      <c r="AB327" s="12" t="n">
        <v>0</v>
      </c>
      <c r="AC327" s="46" t="s">
        <v>859</v>
      </c>
      <c r="AD327" s="12" t="n">
        <v>24.421682</v>
      </c>
      <c r="AE327" s="12" t="n">
        <v>76.001377</v>
      </c>
    </row>
    <row r="328" customFormat="false" ht="15" hidden="false" customHeight="false" outlineLevel="0" collapsed="false">
      <c r="A328" s="71" t="s">
        <v>415</v>
      </c>
      <c r="B328" s="71" t="s">
        <v>1877</v>
      </c>
      <c r="C328" s="51" t="s">
        <v>2218</v>
      </c>
      <c r="D328" s="71" t="s">
        <v>2228</v>
      </c>
      <c r="E328" s="71"/>
      <c r="F328" s="71"/>
      <c r="G328" s="71"/>
      <c r="H328" s="71"/>
      <c r="I328" s="71"/>
      <c r="J328" s="71"/>
      <c r="K328" s="71"/>
      <c r="L328" s="112" t="e">
        <f aca="false">K328/H328*100</f>
        <v>#DIV/0!</v>
      </c>
      <c r="M328" s="71"/>
      <c r="O328" s="71"/>
      <c r="P328" s="71"/>
      <c r="Q328" s="153" t="s">
        <v>45</v>
      </c>
      <c r="R328" s="153" t="s">
        <v>285</v>
      </c>
      <c r="AB328" s="12" t="n">
        <v>10</v>
      </c>
      <c r="AC328" s="46" t="s">
        <v>859</v>
      </c>
      <c r="AD328" s="12" t="n">
        <v>24.414217</v>
      </c>
      <c r="AE328" s="12" t="n">
        <v>75.998047</v>
      </c>
    </row>
    <row r="329" customFormat="false" ht="15" hidden="false" customHeight="false" outlineLevel="0" collapsed="false">
      <c r="A329" s="71" t="s">
        <v>415</v>
      </c>
      <c r="B329" s="71" t="s">
        <v>1877</v>
      </c>
      <c r="C329" s="51" t="s">
        <v>2218</v>
      </c>
      <c r="D329" s="71" t="s">
        <v>2228</v>
      </c>
      <c r="E329" s="71"/>
      <c r="F329" s="71"/>
      <c r="G329" s="71"/>
      <c r="H329" s="71"/>
      <c r="I329" s="71"/>
      <c r="J329" s="71"/>
      <c r="K329" s="71"/>
      <c r="L329" s="112" t="e">
        <f aca="false">K329/H329*100</f>
        <v>#DIV/0!</v>
      </c>
      <c r="M329" s="71"/>
      <c r="O329" s="71"/>
      <c r="P329" s="71"/>
      <c r="Q329" s="153" t="s">
        <v>45</v>
      </c>
      <c r="R329" s="153" t="s">
        <v>285</v>
      </c>
      <c r="AB329" s="12" t="n">
        <v>13</v>
      </c>
      <c r="AC329" s="46" t="s">
        <v>859</v>
      </c>
      <c r="AD329" s="12" t="n">
        <v>24.4211682</v>
      </c>
      <c r="AE329" s="12" t="n">
        <v>76.001377</v>
      </c>
    </row>
    <row r="330" customFormat="false" ht="15" hidden="false" customHeight="false" outlineLevel="0" collapsed="false">
      <c r="A330" s="71" t="s">
        <v>415</v>
      </c>
      <c r="B330" s="71" t="s">
        <v>1877</v>
      </c>
      <c r="C330" s="51" t="s">
        <v>2218</v>
      </c>
      <c r="D330" s="71" t="s">
        <v>1096</v>
      </c>
      <c r="E330" s="71" t="s">
        <v>2230</v>
      </c>
      <c r="F330" s="71" t="n">
        <v>106.72</v>
      </c>
      <c r="G330" s="71" t="n">
        <v>5</v>
      </c>
      <c r="H330" s="71" t="n">
        <v>26</v>
      </c>
      <c r="I330" s="71" t="n">
        <v>14</v>
      </c>
      <c r="J330" s="71" t="n">
        <v>12</v>
      </c>
      <c r="K330" s="71" t="n">
        <v>0</v>
      </c>
      <c r="L330" s="112" t="n">
        <f aca="false">K330/H330*100</f>
        <v>0</v>
      </c>
      <c r="M330" s="71" t="n">
        <v>0</v>
      </c>
      <c r="N330" s="112" t="n">
        <f aca="false">M330/H330*100</f>
        <v>0</v>
      </c>
      <c r="O330" s="71" t="n">
        <v>0</v>
      </c>
      <c r="P330" s="71" t="n">
        <v>0</v>
      </c>
      <c r="Q330" s="117"/>
      <c r="R330" s="117"/>
      <c r="AB330" s="10"/>
      <c r="AD330" s="10"/>
      <c r="AE330" s="10"/>
    </row>
    <row r="331" customFormat="false" ht="15" hidden="false" customHeight="false" outlineLevel="0" collapsed="false">
      <c r="A331" s="71" t="s">
        <v>415</v>
      </c>
      <c r="B331" s="71" t="s">
        <v>1877</v>
      </c>
      <c r="C331" s="51" t="s">
        <v>2231</v>
      </c>
      <c r="D331" s="72" t="s">
        <v>2232</v>
      </c>
      <c r="E331" s="71" t="s">
        <v>2233</v>
      </c>
      <c r="F331" s="71" t="n">
        <v>733.66</v>
      </c>
      <c r="G331" s="71" t="n">
        <v>420</v>
      </c>
      <c r="H331" s="71" t="n">
        <v>2100</v>
      </c>
      <c r="I331" s="71" t="n">
        <v>1132</v>
      </c>
      <c r="J331" s="71" t="n">
        <v>968</v>
      </c>
      <c r="K331" s="71" t="n">
        <v>410</v>
      </c>
      <c r="L331" s="112" t="n">
        <f aca="false">K331/H331*100</f>
        <v>19.5238095238095</v>
      </c>
      <c r="M331" s="71" t="n">
        <v>1161</v>
      </c>
      <c r="N331" s="112" t="n">
        <f aca="false">M331/H331*100</f>
        <v>55.2857142857143</v>
      </c>
      <c r="O331" s="71" t="n">
        <v>103.37</v>
      </c>
      <c r="P331" s="71" t="n">
        <v>0</v>
      </c>
      <c r="Q331" s="153" t="s">
        <v>45</v>
      </c>
      <c r="R331" s="171" t="n">
        <v>44967</v>
      </c>
      <c r="T331" s="118" t="n">
        <v>114.9813</v>
      </c>
      <c r="AB331" s="12" t="n">
        <v>75</v>
      </c>
      <c r="AC331" s="46" t="s">
        <v>859</v>
      </c>
      <c r="AD331" s="12" t="n">
        <v>24.418015</v>
      </c>
      <c r="AE331" s="12" t="n">
        <v>76.147125</v>
      </c>
    </row>
    <row r="332" customFormat="false" ht="15" hidden="false" customHeight="false" outlineLevel="0" collapsed="false">
      <c r="A332" s="71" t="s">
        <v>415</v>
      </c>
      <c r="B332" s="71" t="s">
        <v>1877</v>
      </c>
      <c r="C332" s="51" t="s">
        <v>2231</v>
      </c>
      <c r="D332" s="71" t="s">
        <v>2234</v>
      </c>
      <c r="E332" s="71" t="s">
        <v>2235</v>
      </c>
      <c r="F332" s="71" t="n">
        <v>320</v>
      </c>
      <c r="G332" s="71" t="n">
        <v>108</v>
      </c>
      <c r="H332" s="71" t="n">
        <v>614</v>
      </c>
      <c r="I332" s="71" t="n">
        <v>312</v>
      </c>
      <c r="J332" s="71" t="n">
        <v>302</v>
      </c>
      <c r="K332" s="71" t="n">
        <v>65</v>
      </c>
      <c r="L332" s="112" t="n">
        <f aca="false">K332/H332*100</f>
        <v>10.586319218241</v>
      </c>
      <c r="M332" s="71" t="n">
        <v>0</v>
      </c>
      <c r="N332" s="112" t="n">
        <f aca="false">M332/H332*100</f>
        <v>0</v>
      </c>
      <c r="O332" s="71" t="n">
        <v>16</v>
      </c>
      <c r="P332" s="71" t="n">
        <v>0</v>
      </c>
      <c r="Q332" s="153" t="s">
        <v>45</v>
      </c>
      <c r="R332" s="171" t="n">
        <v>44967</v>
      </c>
      <c r="T332" s="118" t="n">
        <v>16.35</v>
      </c>
      <c r="AB332" s="12" t="n">
        <v>0</v>
      </c>
      <c r="AC332" s="46" t="s">
        <v>1816</v>
      </c>
      <c r="AD332" s="12"/>
      <c r="AE332" s="12"/>
    </row>
    <row r="333" customFormat="false" ht="15" hidden="false" customHeight="false" outlineLevel="0" collapsed="false">
      <c r="A333" s="71" t="s">
        <v>415</v>
      </c>
      <c r="B333" s="71" t="s">
        <v>1877</v>
      </c>
      <c r="C333" s="51" t="s">
        <v>2231</v>
      </c>
      <c r="D333" s="71" t="s">
        <v>2236</v>
      </c>
      <c r="E333" s="71" t="s">
        <v>2237</v>
      </c>
      <c r="F333" s="71" t="n">
        <v>823</v>
      </c>
      <c r="G333" s="71" t="n">
        <v>213</v>
      </c>
      <c r="H333" s="71" t="n">
        <v>1014</v>
      </c>
      <c r="I333" s="71" t="n">
        <v>555</v>
      </c>
      <c r="J333" s="71" t="n">
        <v>459</v>
      </c>
      <c r="K333" s="71" t="n">
        <v>439</v>
      </c>
      <c r="L333" s="112" t="n">
        <f aca="false">K333/H333*100</f>
        <v>43.2938856015779</v>
      </c>
      <c r="M333" s="71" t="n">
        <v>249</v>
      </c>
      <c r="N333" s="112" t="n">
        <f aca="false">M333/H333*100</f>
        <v>24.5562130177515</v>
      </c>
      <c r="O333" s="71" t="n">
        <v>46</v>
      </c>
      <c r="P333" s="71" t="n">
        <v>0</v>
      </c>
      <c r="Q333" s="153" t="s">
        <v>45</v>
      </c>
      <c r="R333" s="171" t="n">
        <v>44967</v>
      </c>
      <c r="T333" s="118" t="n">
        <v>47.4618</v>
      </c>
      <c r="AB333" s="12" t="n">
        <v>0</v>
      </c>
      <c r="AC333" s="46" t="s">
        <v>1816</v>
      </c>
      <c r="AD333" s="12"/>
      <c r="AE333" s="12"/>
    </row>
    <row r="334" customFormat="false" ht="15" hidden="false" customHeight="false" outlineLevel="0" collapsed="false">
      <c r="A334" s="71" t="s">
        <v>415</v>
      </c>
      <c r="B334" s="71" t="s">
        <v>1877</v>
      </c>
      <c r="C334" s="51" t="s">
        <v>2231</v>
      </c>
      <c r="D334" s="71" t="s">
        <v>222</v>
      </c>
      <c r="E334" s="71" t="s">
        <v>2238</v>
      </c>
      <c r="F334" s="71" t="n">
        <v>212.81</v>
      </c>
      <c r="G334" s="71" t="n">
        <v>139</v>
      </c>
      <c r="H334" s="71" t="n">
        <v>672</v>
      </c>
      <c r="I334" s="71" t="n">
        <v>343</v>
      </c>
      <c r="J334" s="71" t="n">
        <v>329</v>
      </c>
      <c r="K334" s="71" t="n">
        <v>226</v>
      </c>
      <c r="L334" s="112" t="n">
        <f aca="false">K334/H334*100</f>
        <v>33.6309523809524</v>
      </c>
      <c r="M334" s="71" t="n">
        <v>92</v>
      </c>
      <c r="N334" s="112" t="n">
        <f aca="false">M334/H334*100</f>
        <v>13.6904761904762</v>
      </c>
      <c r="O334" s="71" t="n">
        <v>27.09</v>
      </c>
      <c r="P334" s="71" t="n">
        <v>0</v>
      </c>
      <c r="Q334" s="153" t="s">
        <v>45</v>
      </c>
      <c r="R334" s="171" t="n">
        <v>44967</v>
      </c>
      <c r="T334" s="118" t="n">
        <v>27.088</v>
      </c>
      <c r="AB334" s="12" t="n">
        <v>0</v>
      </c>
      <c r="AC334" s="46" t="s">
        <v>1816</v>
      </c>
      <c r="AD334" s="12"/>
      <c r="AE334" s="12"/>
    </row>
    <row r="335" customFormat="false" ht="15" hidden="false" customHeight="false" outlineLevel="0" collapsed="false">
      <c r="A335" s="71" t="s">
        <v>415</v>
      </c>
      <c r="B335" s="71" t="s">
        <v>1877</v>
      </c>
      <c r="C335" s="51" t="s">
        <v>2231</v>
      </c>
      <c r="D335" s="71" t="s">
        <v>2239</v>
      </c>
      <c r="E335" s="71" t="s">
        <v>2240</v>
      </c>
      <c r="F335" s="71" t="n">
        <v>368.36</v>
      </c>
      <c r="G335" s="71" t="n">
        <v>181</v>
      </c>
      <c r="H335" s="71" t="n">
        <v>737</v>
      </c>
      <c r="I335" s="71" t="n">
        <v>373</v>
      </c>
      <c r="J335" s="71" t="n">
        <v>364</v>
      </c>
      <c r="K335" s="71" t="n">
        <v>196</v>
      </c>
      <c r="L335" s="112" t="n">
        <f aca="false">K335/H335*100</f>
        <v>26.5943012211669</v>
      </c>
      <c r="M335" s="71" t="n">
        <v>39</v>
      </c>
      <c r="N335" s="112" t="n">
        <f aca="false">M335/H335*100</f>
        <v>5.29172320217096</v>
      </c>
      <c r="O335" s="71" t="n">
        <v>54.96</v>
      </c>
      <c r="P335" s="71" t="n">
        <v>0</v>
      </c>
      <c r="Q335" s="153" t="s">
        <v>45</v>
      </c>
      <c r="R335" s="171" t="n">
        <v>44967</v>
      </c>
      <c r="T335" s="118" t="n">
        <v>58.8308</v>
      </c>
      <c r="AB335" s="12" t="n">
        <v>14</v>
      </c>
      <c r="AC335" s="46" t="s">
        <v>1816</v>
      </c>
      <c r="AD335" s="12" t="n">
        <v>24.417218</v>
      </c>
      <c r="AE335" s="12" t="n">
        <v>76.161535</v>
      </c>
    </row>
    <row r="336" customFormat="false" ht="15" hidden="false" customHeight="false" outlineLevel="0" collapsed="false">
      <c r="A336" s="71" t="s">
        <v>415</v>
      </c>
      <c r="B336" s="71" t="s">
        <v>1877</v>
      </c>
      <c r="C336" s="51" t="s">
        <v>2241</v>
      </c>
      <c r="D336" s="72" t="s">
        <v>2242</v>
      </c>
      <c r="E336" s="71" t="s">
        <v>2243</v>
      </c>
      <c r="F336" s="71" t="n">
        <v>799.6</v>
      </c>
      <c r="G336" s="71" t="n">
        <v>380</v>
      </c>
      <c r="H336" s="71" t="n">
        <v>1799</v>
      </c>
      <c r="I336" s="71" t="n">
        <v>936</v>
      </c>
      <c r="J336" s="71" t="n">
        <v>863</v>
      </c>
      <c r="K336" s="71" t="n">
        <v>355</v>
      </c>
      <c r="L336" s="112" t="n">
        <f aca="false">K336/H336*100</f>
        <v>19.7331851028349</v>
      </c>
      <c r="M336" s="71" t="n">
        <v>257</v>
      </c>
      <c r="N336" s="112" t="n">
        <f aca="false">M336/H336*100</f>
        <v>14.2857142857143</v>
      </c>
      <c r="O336" s="71" t="n">
        <v>85.14</v>
      </c>
      <c r="P336" s="71" t="n">
        <v>0</v>
      </c>
      <c r="Q336" s="153" t="s">
        <v>43</v>
      </c>
      <c r="R336" s="153" t="s">
        <v>2244</v>
      </c>
      <c r="T336" s="118" t="n">
        <v>88.5753</v>
      </c>
      <c r="V336" s="112" t="s">
        <v>43</v>
      </c>
      <c r="AB336" s="12" t="n">
        <v>1.6</v>
      </c>
      <c r="AC336" s="46" t="s">
        <v>859</v>
      </c>
      <c r="AD336" s="12" t="n">
        <v>24.337238</v>
      </c>
      <c r="AE336" s="12" t="n">
        <v>75.920857</v>
      </c>
    </row>
    <row r="337" customFormat="false" ht="15" hidden="false" customHeight="false" outlineLevel="0" collapsed="false">
      <c r="A337" s="71" t="s">
        <v>415</v>
      </c>
      <c r="B337" s="71" t="s">
        <v>1877</v>
      </c>
      <c r="C337" s="51" t="s">
        <v>2241</v>
      </c>
      <c r="D337" s="72" t="s">
        <v>2242</v>
      </c>
      <c r="E337" s="71"/>
      <c r="F337" s="71"/>
      <c r="G337" s="71"/>
      <c r="H337" s="71"/>
      <c r="I337" s="71"/>
      <c r="J337" s="71"/>
      <c r="K337" s="71"/>
      <c r="L337" s="112" t="e">
        <f aca="false">K337/H337*100</f>
        <v>#DIV/0!</v>
      </c>
      <c r="M337" s="71"/>
      <c r="O337" s="71"/>
      <c r="P337" s="71"/>
      <c r="Q337" s="153" t="s">
        <v>43</v>
      </c>
      <c r="R337" s="153" t="s">
        <v>2244</v>
      </c>
      <c r="AB337" s="12" t="n">
        <v>11</v>
      </c>
      <c r="AC337" s="46" t="s">
        <v>2245</v>
      </c>
      <c r="AD337" s="12" t="n">
        <v>24.33441</v>
      </c>
      <c r="AE337" s="12" t="n">
        <v>75.933455</v>
      </c>
    </row>
    <row r="338" customFormat="false" ht="15" hidden="false" customHeight="false" outlineLevel="0" collapsed="false">
      <c r="A338" s="71" t="s">
        <v>415</v>
      </c>
      <c r="B338" s="71" t="s">
        <v>1877</v>
      </c>
      <c r="C338" s="51" t="s">
        <v>2241</v>
      </c>
      <c r="D338" s="72" t="s">
        <v>2242</v>
      </c>
      <c r="E338" s="71"/>
      <c r="F338" s="71"/>
      <c r="G338" s="71"/>
      <c r="H338" s="71"/>
      <c r="I338" s="71"/>
      <c r="J338" s="71"/>
      <c r="K338" s="71"/>
      <c r="L338" s="112" t="e">
        <f aca="false">K338/H338*100</f>
        <v>#DIV/0!</v>
      </c>
      <c r="M338" s="71"/>
      <c r="O338" s="71"/>
      <c r="P338" s="71"/>
      <c r="Q338" s="153" t="s">
        <v>43</v>
      </c>
      <c r="R338" s="153" t="s">
        <v>2244</v>
      </c>
      <c r="AB338" s="12" t="n">
        <v>48</v>
      </c>
      <c r="AC338" s="46" t="s">
        <v>859</v>
      </c>
      <c r="AD338" s="12" t="n">
        <v>24.3332075</v>
      </c>
      <c r="AE338" s="12" t="n">
        <v>75.934093</v>
      </c>
    </row>
    <row r="339" customFormat="false" ht="15" hidden="false" customHeight="false" outlineLevel="0" collapsed="false">
      <c r="A339" s="71" t="s">
        <v>415</v>
      </c>
      <c r="B339" s="71" t="s">
        <v>1877</v>
      </c>
      <c r="C339" s="51" t="s">
        <v>2241</v>
      </c>
      <c r="D339" s="72" t="s">
        <v>2242</v>
      </c>
      <c r="E339" s="118" t="s">
        <v>39</v>
      </c>
      <c r="F339" s="234" t="n">
        <v>2</v>
      </c>
      <c r="G339" s="118" t="n">
        <v>24.332801</v>
      </c>
      <c r="H339" s="118" t="n">
        <v>75.932345</v>
      </c>
      <c r="I339" s="118" t="n">
        <v>10.193</v>
      </c>
      <c r="J339" s="118" t="n">
        <v>10.193</v>
      </c>
      <c r="K339" s="118"/>
      <c r="L339" s="112" t="n">
        <f aca="false">K339/H339*100</f>
        <v>0</v>
      </c>
      <c r="M339" s="118"/>
      <c r="N339" s="112" t="n">
        <f aca="false">M339/H339*100</f>
        <v>0</v>
      </c>
      <c r="O339" s="118"/>
      <c r="P339" s="118"/>
      <c r="Q339" s="153" t="s">
        <v>43</v>
      </c>
      <c r="R339" s="153" t="s">
        <v>2244</v>
      </c>
      <c r="T339" s="118"/>
      <c r="AB339" s="12" t="n">
        <v>10</v>
      </c>
      <c r="AC339" s="46" t="s">
        <v>859</v>
      </c>
      <c r="AD339" s="12" t="n">
        <v>24.332801</v>
      </c>
      <c r="AE339" s="12" t="n">
        <v>75.932345</v>
      </c>
    </row>
    <row r="340" customFormat="false" ht="45" hidden="false" customHeight="false" outlineLevel="0" collapsed="false">
      <c r="A340" s="71" t="s">
        <v>415</v>
      </c>
      <c r="B340" s="71" t="s">
        <v>1877</v>
      </c>
      <c r="C340" s="51" t="s">
        <v>2241</v>
      </c>
      <c r="D340" s="72" t="s">
        <v>2242</v>
      </c>
      <c r="E340" s="118" t="s">
        <v>39</v>
      </c>
      <c r="F340" s="234" t="s">
        <v>2246</v>
      </c>
      <c r="G340" s="118" t="n">
        <v>24.3332075</v>
      </c>
      <c r="H340" s="118" t="n">
        <v>75.9340099</v>
      </c>
      <c r="I340" s="118" t="n">
        <v>88.5753</v>
      </c>
      <c r="J340" s="118" t="n">
        <v>88.5753</v>
      </c>
      <c r="K340" s="118"/>
      <c r="L340" s="112" t="n">
        <f aca="false">K340/H340*100</f>
        <v>0</v>
      </c>
      <c r="M340" s="118"/>
      <c r="N340" s="112" t="n">
        <f aca="false">M340/H340*100</f>
        <v>0</v>
      </c>
      <c r="O340" s="118"/>
      <c r="P340" s="118"/>
      <c r="Q340" s="153" t="s">
        <v>43</v>
      </c>
      <c r="R340" s="153" t="s">
        <v>2244</v>
      </c>
      <c r="T340" s="118"/>
      <c r="AB340" s="12" t="n">
        <v>5</v>
      </c>
      <c r="AC340" s="46" t="s">
        <v>2247</v>
      </c>
      <c r="AD340" s="12" t="n">
        <v>24.3332075</v>
      </c>
      <c r="AE340" s="12" t="n">
        <v>75.9340099</v>
      </c>
    </row>
    <row r="341" customFormat="false" ht="45" hidden="false" customHeight="false" outlineLevel="0" collapsed="false">
      <c r="A341" s="71" t="s">
        <v>415</v>
      </c>
      <c r="B341" s="71" t="s">
        <v>1877</v>
      </c>
      <c r="C341" s="51" t="s">
        <v>2241</v>
      </c>
      <c r="D341" s="72" t="s">
        <v>2242</v>
      </c>
      <c r="E341" s="118" t="s">
        <v>39</v>
      </c>
      <c r="F341" s="234" t="s">
        <v>2246</v>
      </c>
      <c r="G341" s="118" t="n">
        <v>24.347863</v>
      </c>
      <c r="H341" s="118" t="n">
        <v>75.922723</v>
      </c>
      <c r="I341" s="118" t="n">
        <v>88.5753</v>
      </c>
      <c r="J341" s="118" t="n">
        <v>88.5753</v>
      </c>
      <c r="K341" s="118"/>
      <c r="L341" s="112" t="n">
        <f aca="false">K341/H341*100</f>
        <v>0</v>
      </c>
      <c r="M341" s="118"/>
      <c r="N341" s="112" t="n">
        <f aca="false">M341/H341*100</f>
        <v>0</v>
      </c>
      <c r="O341" s="118"/>
      <c r="P341" s="118"/>
      <c r="Q341" s="153" t="s">
        <v>43</v>
      </c>
      <c r="R341" s="153" t="s">
        <v>2244</v>
      </c>
      <c r="T341" s="118"/>
      <c r="AB341" s="12" t="n">
        <v>5</v>
      </c>
      <c r="AC341" s="46" t="s">
        <v>2248</v>
      </c>
      <c r="AD341" s="12" t="n">
        <v>24.347863</v>
      </c>
      <c r="AE341" s="12" t="n">
        <v>75.922723</v>
      </c>
    </row>
    <row r="342" customFormat="false" ht="45" hidden="false" customHeight="false" outlineLevel="0" collapsed="false">
      <c r="A342" s="71" t="s">
        <v>415</v>
      </c>
      <c r="B342" s="71" t="s">
        <v>1877</v>
      </c>
      <c r="C342" s="51" t="s">
        <v>2241</v>
      </c>
      <c r="D342" s="72" t="s">
        <v>2242</v>
      </c>
      <c r="E342" s="118" t="s">
        <v>39</v>
      </c>
      <c r="F342" s="234" t="s">
        <v>2246</v>
      </c>
      <c r="G342" s="118" t="n">
        <v>24.334102</v>
      </c>
      <c r="H342" s="118" t="n">
        <v>75.931063</v>
      </c>
      <c r="I342" s="118" t="n">
        <v>88.5753</v>
      </c>
      <c r="J342" s="118" t="n">
        <v>88.5753</v>
      </c>
      <c r="K342" s="118"/>
      <c r="L342" s="112" t="n">
        <f aca="false">K342/H342*100</f>
        <v>0</v>
      </c>
      <c r="M342" s="118"/>
      <c r="N342" s="112" t="n">
        <f aca="false">M342/H342*100</f>
        <v>0</v>
      </c>
      <c r="O342" s="118"/>
      <c r="P342" s="118"/>
      <c r="Q342" s="153" t="s">
        <v>43</v>
      </c>
      <c r="R342" s="153" t="s">
        <v>2244</v>
      </c>
      <c r="T342" s="118"/>
      <c r="AB342" s="12" t="n">
        <v>5</v>
      </c>
      <c r="AC342" s="46" t="s">
        <v>2249</v>
      </c>
      <c r="AD342" s="12" t="n">
        <v>24.334102</v>
      </c>
      <c r="AE342" s="12" t="n">
        <v>75.931063</v>
      </c>
    </row>
    <row r="343" customFormat="false" ht="15" hidden="false" customHeight="false" outlineLevel="0" collapsed="false">
      <c r="A343" s="71" t="s">
        <v>415</v>
      </c>
      <c r="B343" s="71" t="s">
        <v>1877</v>
      </c>
      <c r="C343" s="51" t="s">
        <v>2241</v>
      </c>
      <c r="D343" s="71" t="s">
        <v>2250</v>
      </c>
      <c r="E343" s="71" t="s">
        <v>2251</v>
      </c>
      <c r="F343" s="71" t="n">
        <v>353.12</v>
      </c>
      <c r="G343" s="71" t="n">
        <v>88</v>
      </c>
      <c r="H343" s="71" t="n">
        <v>474</v>
      </c>
      <c r="I343" s="71" t="n">
        <v>258</v>
      </c>
      <c r="J343" s="71" t="n">
        <v>216</v>
      </c>
      <c r="K343" s="71" t="n">
        <v>75</v>
      </c>
      <c r="L343" s="112" t="n">
        <f aca="false">K343/H343*100</f>
        <v>15.8227848101266</v>
      </c>
      <c r="M343" s="71" t="n">
        <v>27</v>
      </c>
      <c r="N343" s="112" t="n">
        <f aca="false">M343/H343*100</f>
        <v>5.69620253164557</v>
      </c>
      <c r="O343" s="71" t="n">
        <v>19.36</v>
      </c>
      <c r="P343" s="71" t="n">
        <v>0</v>
      </c>
      <c r="Q343" s="153" t="s">
        <v>43</v>
      </c>
      <c r="R343" s="153" t="s">
        <v>2244</v>
      </c>
      <c r="T343" s="118" t="n">
        <v>21.0941</v>
      </c>
      <c r="AB343" s="12" t="n">
        <v>0.48</v>
      </c>
      <c r="AC343" s="46" t="s">
        <v>859</v>
      </c>
      <c r="AD343" s="12" t="n">
        <v>24.33527</v>
      </c>
      <c r="AE343" s="12" t="n">
        <v>75.958801</v>
      </c>
    </row>
    <row r="344" customFormat="false" ht="15" hidden="false" customHeight="false" outlineLevel="0" collapsed="false">
      <c r="A344" s="71" t="s">
        <v>415</v>
      </c>
      <c r="B344" s="71" t="s">
        <v>1877</v>
      </c>
      <c r="C344" s="51" t="s">
        <v>2241</v>
      </c>
      <c r="D344" s="71" t="s">
        <v>2252</v>
      </c>
      <c r="E344" s="71" t="s">
        <v>2253</v>
      </c>
      <c r="F344" s="71" t="n">
        <v>573.15</v>
      </c>
      <c r="G344" s="71" t="n">
        <v>245</v>
      </c>
      <c r="H344" s="71" t="n">
        <v>1212</v>
      </c>
      <c r="I344" s="71" t="n">
        <v>620</v>
      </c>
      <c r="J344" s="71" t="n">
        <v>592</v>
      </c>
      <c r="K344" s="71" t="n">
        <v>130</v>
      </c>
      <c r="L344" s="112" t="n">
        <f aca="false">K344/H344*100</f>
        <v>10.7260726072607</v>
      </c>
      <c r="M344" s="71" t="n">
        <v>310</v>
      </c>
      <c r="N344" s="112" t="n">
        <f aca="false">M344/H344*100</f>
        <v>25.5775577557756</v>
      </c>
      <c r="O344" s="71" t="n">
        <v>57.46</v>
      </c>
      <c r="P344" s="71" t="n">
        <v>0</v>
      </c>
      <c r="Q344" s="153" t="s">
        <v>43</v>
      </c>
      <c r="R344" s="153" t="s">
        <v>2244</v>
      </c>
      <c r="T344" s="118" t="n">
        <v>58.9068</v>
      </c>
      <c r="AB344" s="12" t="n">
        <v>0.64</v>
      </c>
      <c r="AC344" s="46" t="s">
        <v>859</v>
      </c>
      <c r="AD344" s="12" t="n">
        <v>24.35144</v>
      </c>
      <c r="AE344" s="12" t="n">
        <v>75.991783</v>
      </c>
    </row>
    <row r="345" customFormat="false" ht="15" hidden="false" customHeight="false" outlineLevel="0" collapsed="false">
      <c r="A345" s="71" t="s">
        <v>415</v>
      </c>
      <c r="B345" s="71" t="s">
        <v>1877</v>
      </c>
      <c r="C345" s="51" t="s">
        <v>2241</v>
      </c>
      <c r="D345" s="71" t="s">
        <v>2254</v>
      </c>
      <c r="E345" s="71" t="s">
        <v>2255</v>
      </c>
      <c r="F345" s="71" t="n">
        <v>210.6</v>
      </c>
      <c r="G345" s="71" t="n">
        <v>48</v>
      </c>
      <c r="H345" s="71" t="n">
        <v>238</v>
      </c>
      <c r="I345" s="71" t="n">
        <v>123</v>
      </c>
      <c r="J345" s="71" t="n">
        <v>115</v>
      </c>
      <c r="K345" s="71" t="n">
        <v>0</v>
      </c>
      <c r="L345" s="112" t="n">
        <f aca="false">K345/H345*100</f>
        <v>0</v>
      </c>
      <c r="M345" s="71" t="n">
        <v>204</v>
      </c>
      <c r="N345" s="112" t="n">
        <f aca="false">M345/H345*100</f>
        <v>85.7142857142857</v>
      </c>
      <c r="O345" s="71" t="n">
        <v>10.62</v>
      </c>
      <c r="P345" s="71" t="n">
        <v>0</v>
      </c>
      <c r="Q345" s="153" t="s">
        <v>43</v>
      </c>
      <c r="R345" s="153" t="s">
        <v>2244</v>
      </c>
      <c r="T345" s="118" t="n">
        <v>10.87</v>
      </c>
      <c r="AB345" s="12" t="n">
        <v>0.32</v>
      </c>
      <c r="AC345" s="46" t="s">
        <v>859</v>
      </c>
      <c r="AD345" s="12" t="n">
        <v>24.353447</v>
      </c>
      <c r="AE345" s="12" t="n">
        <v>75.924834</v>
      </c>
    </row>
    <row r="346" customFormat="false" ht="15" hidden="false" customHeight="false" outlineLevel="0" collapsed="false">
      <c r="A346" s="71" t="s">
        <v>415</v>
      </c>
      <c r="B346" s="71" t="s">
        <v>1877</v>
      </c>
      <c r="C346" s="51" t="s">
        <v>2241</v>
      </c>
      <c r="D346" s="71" t="s">
        <v>2256</v>
      </c>
      <c r="E346" s="71" t="s">
        <v>2257</v>
      </c>
      <c r="F346" s="71" t="n">
        <v>238.82</v>
      </c>
      <c r="G346" s="71" t="n">
        <v>0</v>
      </c>
      <c r="H346" s="71" t="n">
        <v>0</v>
      </c>
      <c r="I346" s="71" t="n">
        <v>0</v>
      </c>
      <c r="J346" s="71" t="n">
        <v>0</v>
      </c>
      <c r="K346" s="71" t="n">
        <v>0</v>
      </c>
      <c r="L346" s="112" t="e">
        <f aca="false">K346/H346*100</f>
        <v>#DIV/0!</v>
      </c>
      <c r="M346" s="71" t="n">
        <v>0</v>
      </c>
      <c r="O346" s="71" t="n">
        <v>0</v>
      </c>
      <c r="P346" s="71" t="n">
        <v>0</v>
      </c>
      <c r="Q346" s="117"/>
      <c r="R346" s="117"/>
      <c r="AB346" s="10"/>
      <c r="AD346" s="10"/>
      <c r="AE346" s="10"/>
    </row>
    <row r="347" customFormat="false" ht="15" hidden="false" customHeight="false" outlineLevel="0" collapsed="false">
      <c r="A347" s="71" t="s">
        <v>415</v>
      </c>
      <c r="B347" s="71" t="s">
        <v>1877</v>
      </c>
      <c r="C347" s="51" t="s">
        <v>2258</v>
      </c>
      <c r="D347" s="72" t="s">
        <v>2259</v>
      </c>
      <c r="E347" s="71" t="s">
        <v>2260</v>
      </c>
      <c r="F347" s="71" t="n">
        <v>832</v>
      </c>
      <c r="G347" s="71" t="n">
        <v>244</v>
      </c>
      <c r="H347" s="71" t="n">
        <v>1270</v>
      </c>
      <c r="I347" s="71" t="n">
        <v>657</v>
      </c>
      <c r="J347" s="71" t="n">
        <v>613</v>
      </c>
      <c r="K347" s="71" t="n">
        <v>193</v>
      </c>
      <c r="L347" s="112" t="n">
        <f aca="false">K347/H347*100</f>
        <v>15.1968503937008</v>
      </c>
      <c r="M347" s="71" t="n">
        <v>395</v>
      </c>
      <c r="N347" s="112" t="n">
        <f aca="false">M347/H347*100</f>
        <v>31.1023622047244</v>
      </c>
      <c r="O347" s="71" t="n">
        <v>0</v>
      </c>
      <c r="P347" s="71" t="n">
        <v>341</v>
      </c>
      <c r="Q347" s="153" t="s">
        <v>45</v>
      </c>
      <c r="R347" s="153" t="s">
        <v>464</v>
      </c>
      <c r="T347" s="118"/>
      <c r="AB347" s="12"/>
      <c r="AC347" s="56" t="s">
        <v>2261</v>
      </c>
      <c r="AD347" s="12"/>
      <c r="AE347" s="12"/>
    </row>
    <row r="348" customFormat="false" ht="15" hidden="false" customHeight="false" outlineLevel="0" collapsed="false">
      <c r="A348" s="71" t="s">
        <v>415</v>
      </c>
      <c r="B348" s="71" t="s">
        <v>1877</v>
      </c>
      <c r="C348" s="51" t="s">
        <v>2258</v>
      </c>
      <c r="D348" s="72" t="s">
        <v>2259</v>
      </c>
      <c r="E348" s="71"/>
      <c r="F348" s="71"/>
      <c r="G348" s="71"/>
      <c r="H348" s="71"/>
      <c r="I348" s="71"/>
      <c r="J348" s="71"/>
      <c r="K348" s="71"/>
      <c r="L348" s="112" t="e">
        <f aca="false">K348/H348*100</f>
        <v>#DIV/0!</v>
      </c>
      <c r="M348" s="71"/>
      <c r="O348" s="71"/>
      <c r="P348" s="71"/>
      <c r="Q348" s="153" t="s">
        <v>45</v>
      </c>
      <c r="R348" s="153" t="s">
        <v>464</v>
      </c>
      <c r="T348" s="118"/>
      <c r="AB348" s="12" t="n">
        <v>25</v>
      </c>
      <c r="AC348" s="56" t="s">
        <v>2261</v>
      </c>
      <c r="AD348" s="12" t="n">
        <v>24.339443</v>
      </c>
      <c r="AE348" s="12" t="n">
        <v>76.108687</v>
      </c>
    </row>
    <row r="349" customFormat="false" ht="15" hidden="false" customHeight="false" outlineLevel="0" collapsed="false">
      <c r="A349" s="71" t="s">
        <v>415</v>
      </c>
      <c r="B349" s="71" t="s">
        <v>1877</v>
      </c>
      <c r="C349" s="51" t="s">
        <v>2258</v>
      </c>
      <c r="D349" s="71" t="s">
        <v>1510</v>
      </c>
      <c r="E349" s="71" t="s">
        <v>2262</v>
      </c>
      <c r="F349" s="71" t="n">
        <v>316</v>
      </c>
      <c r="G349" s="71" t="n">
        <v>263</v>
      </c>
      <c r="H349" s="71" t="n">
        <v>1304</v>
      </c>
      <c r="I349" s="71" t="n">
        <v>687</v>
      </c>
      <c r="J349" s="71" t="n">
        <v>617</v>
      </c>
      <c r="K349" s="71" t="n">
        <v>202</v>
      </c>
      <c r="L349" s="112" t="n">
        <f aca="false">K349/H349*100</f>
        <v>15.4907975460123</v>
      </c>
      <c r="M349" s="71" t="n">
        <v>317</v>
      </c>
      <c r="N349" s="112" t="n">
        <f aca="false">M349/H349*100</f>
        <v>24.3098159509202</v>
      </c>
      <c r="O349" s="71" t="n">
        <v>23</v>
      </c>
      <c r="P349" s="71" t="n">
        <v>0</v>
      </c>
      <c r="Q349" s="153" t="s">
        <v>45</v>
      </c>
      <c r="R349" s="153" t="s">
        <v>464</v>
      </c>
      <c r="T349" s="118" t="n">
        <v>23.2569</v>
      </c>
      <c r="AB349" s="12" t="n">
        <v>0.3794</v>
      </c>
      <c r="AC349" s="56" t="s">
        <v>2261</v>
      </c>
      <c r="AD349" s="12" t="n">
        <v>24.354359</v>
      </c>
      <c r="AE349" s="12" t="n">
        <v>76.106161</v>
      </c>
    </row>
    <row r="350" customFormat="false" ht="15" hidden="false" customHeight="false" outlineLevel="0" collapsed="false">
      <c r="A350" s="71" t="s">
        <v>415</v>
      </c>
      <c r="B350" s="71" t="s">
        <v>1877</v>
      </c>
      <c r="C350" s="51" t="s">
        <v>2258</v>
      </c>
      <c r="D350" s="71" t="s">
        <v>1212</v>
      </c>
      <c r="E350" s="71" t="s">
        <v>2263</v>
      </c>
      <c r="F350" s="71" t="n">
        <v>450</v>
      </c>
      <c r="G350" s="71" t="n">
        <v>196</v>
      </c>
      <c r="H350" s="71" t="n">
        <v>964</v>
      </c>
      <c r="I350" s="71" t="n">
        <v>509</v>
      </c>
      <c r="J350" s="71" t="n">
        <v>455</v>
      </c>
      <c r="K350" s="71" t="n">
        <v>159</v>
      </c>
      <c r="L350" s="112" t="n">
        <f aca="false">K350/H350*100</f>
        <v>16.49377593361</v>
      </c>
      <c r="M350" s="71" t="n">
        <v>164</v>
      </c>
      <c r="N350" s="112" t="n">
        <f aca="false">M350/H350*100</f>
        <v>17.0124481327801</v>
      </c>
      <c r="O350" s="71" t="n">
        <v>58</v>
      </c>
      <c r="P350" s="71" t="n">
        <v>46</v>
      </c>
      <c r="Q350" s="153" t="s">
        <v>45</v>
      </c>
      <c r="R350" s="153" t="s">
        <v>464</v>
      </c>
      <c r="T350" s="118" t="n">
        <v>1.5176</v>
      </c>
      <c r="AB350" s="12" t="n">
        <v>0.0885</v>
      </c>
      <c r="AC350" s="56" t="s">
        <v>2261</v>
      </c>
      <c r="AD350" s="12" t="n">
        <v>24.353625</v>
      </c>
      <c r="AE350" s="12" t="n">
        <v>76.107474</v>
      </c>
    </row>
    <row r="351" customFormat="false" ht="15" hidden="false" customHeight="false" outlineLevel="0" collapsed="false">
      <c r="A351" s="71" t="s">
        <v>415</v>
      </c>
      <c r="B351" s="71" t="s">
        <v>1877</v>
      </c>
      <c r="C351" s="51" t="s">
        <v>2258</v>
      </c>
      <c r="D351" s="71" t="s">
        <v>1212</v>
      </c>
      <c r="E351" s="71"/>
      <c r="F351" s="71"/>
      <c r="G351" s="71"/>
      <c r="H351" s="71"/>
      <c r="I351" s="71"/>
      <c r="J351" s="71"/>
      <c r="K351" s="71"/>
      <c r="L351" s="112" t="e">
        <f aca="false">K351/H351*100</f>
        <v>#DIV/0!</v>
      </c>
      <c r="M351" s="71"/>
      <c r="O351" s="71"/>
      <c r="P351" s="71"/>
      <c r="Q351" s="153" t="s">
        <v>45</v>
      </c>
      <c r="R351" s="153" t="s">
        <v>464</v>
      </c>
      <c r="T351" s="118"/>
      <c r="AB351" s="12" t="n">
        <v>30</v>
      </c>
      <c r="AC351" s="56" t="s">
        <v>2261</v>
      </c>
      <c r="AD351" s="12" t="n">
        <v>24.357852</v>
      </c>
      <c r="AE351" s="12" t="n">
        <v>76.106398</v>
      </c>
    </row>
    <row r="352" customFormat="false" ht="15" hidden="false" customHeight="false" outlineLevel="0" collapsed="false">
      <c r="A352" s="71" t="s">
        <v>415</v>
      </c>
      <c r="B352" s="71" t="s">
        <v>1877</v>
      </c>
      <c r="C352" s="51" t="s">
        <v>2258</v>
      </c>
      <c r="D352" s="71" t="s">
        <v>2264</v>
      </c>
      <c r="E352" s="71" t="s">
        <v>2265</v>
      </c>
      <c r="F352" s="71" t="n">
        <v>130</v>
      </c>
      <c r="G352" s="71" t="n">
        <v>26</v>
      </c>
      <c r="H352" s="71" t="n">
        <v>156</v>
      </c>
      <c r="I352" s="71" t="n">
        <v>83</v>
      </c>
      <c r="J352" s="71" t="n">
        <v>73</v>
      </c>
      <c r="K352" s="71" t="n">
        <v>0</v>
      </c>
      <c r="L352" s="112" t="n">
        <f aca="false">K352/H352*100</f>
        <v>0</v>
      </c>
      <c r="M352" s="71" t="n">
        <v>7</v>
      </c>
      <c r="N352" s="112" t="n">
        <f aca="false">M352/H352*100</f>
        <v>4.48717948717949</v>
      </c>
      <c r="O352" s="71" t="n">
        <v>0</v>
      </c>
      <c r="P352" s="71" t="n">
        <v>0</v>
      </c>
      <c r="Q352" s="153" t="s">
        <v>45</v>
      </c>
      <c r="R352" s="153" t="s">
        <v>464</v>
      </c>
      <c r="T352" s="118"/>
      <c r="AB352" s="12"/>
      <c r="AC352" s="56" t="s">
        <v>2261</v>
      </c>
      <c r="AD352" s="12"/>
      <c r="AE352" s="12"/>
    </row>
    <row r="353" customFormat="false" ht="15" hidden="false" customHeight="false" outlineLevel="0" collapsed="false">
      <c r="A353" s="71" t="s">
        <v>415</v>
      </c>
      <c r="B353" s="71" t="s">
        <v>1877</v>
      </c>
      <c r="C353" s="51" t="s">
        <v>2266</v>
      </c>
      <c r="D353" s="72" t="s">
        <v>2267</v>
      </c>
      <c r="E353" s="71" t="s">
        <v>2268</v>
      </c>
      <c r="F353" s="71" t="n">
        <v>1238.01</v>
      </c>
      <c r="G353" s="71" t="n">
        <v>479</v>
      </c>
      <c r="H353" s="71" t="n">
        <v>2421</v>
      </c>
      <c r="I353" s="71" t="n">
        <v>1272</v>
      </c>
      <c r="J353" s="71" t="n">
        <v>1149</v>
      </c>
      <c r="K353" s="71" t="n">
        <v>377</v>
      </c>
      <c r="L353" s="112" t="n">
        <f aca="false">K353/H353*100</f>
        <v>15.572077653862</v>
      </c>
      <c r="M353" s="71" t="n">
        <v>102</v>
      </c>
      <c r="N353" s="112" t="n">
        <f aca="false">M353/H353*100</f>
        <v>4.21313506815366</v>
      </c>
      <c r="O353" s="71" t="n">
        <v>99.55</v>
      </c>
      <c r="P353" s="71" t="n">
        <v>0</v>
      </c>
      <c r="Q353" s="153" t="s">
        <v>43</v>
      </c>
      <c r="R353" s="153" t="s">
        <v>2269</v>
      </c>
      <c r="T353" s="118" t="n">
        <v>104.4466</v>
      </c>
      <c r="AB353" s="12" t="n">
        <v>0</v>
      </c>
      <c r="AC353" s="46" t="s">
        <v>859</v>
      </c>
      <c r="AD353" s="12"/>
      <c r="AE353" s="12"/>
    </row>
    <row r="354" customFormat="false" ht="15" hidden="false" customHeight="false" outlineLevel="0" collapsed="false">
      <c r="A354" s="71" t="s">
        <v>415</v>
      </c>
      <c r="B354" s="71" t="s">
        <v>1877</v>
      </c>
      <c r="C354" s="51" t="s">
        <v>2266</v>
      </c>
      <c r="D354" s="72" t="s">
        <v>2267</v>
      </c>
      <c r="E354" s="71"/>
      <c r="F354" s="71"/>
      <c r="G354" s="71"/>
      <c r="H354" s="71"/>
      <c r="I354" s="71"/>
      <c r="J354" s="71"/>
      <c r="K354" s="71"/>
      <c r="L354" s="112" t="e">
        <f aca="false">K354/H354*100</f>
        <v>#DIV/0!</v>
      </c>
      <c r="M354" s="71"/>
      <c r="O354" s="71"/>
      <c r="P354" s="71"/>
      <c r="Q354" s="153" t="s">
        <v>43</v>
      </c>
      <c r="R354" s="153" t="s">
        <v>2269</v>
      </c>
      <c r="T354" s="118"/>
      <c r="AB354" s="10" t="n">
        <v>2.716</v>
      </c>
      <c r="AC354" s="46" t="s">
        <v>859</v>
      </c>
      <c r="AD354" s="10" t="n">
        <v>24.24159</v>
      </c>
      <c r="AE354" s="10" t="n">
        <v>75.90178</v>
      </c>
    </row>
    <row r="355" customFormat="false" ht="15" hidden="false" customHeight="false" outlineLevel="0" collapsed="false">
      <c r="A355" s="71" t="s">
        <v>415</v>
      </c>
      <c r="B355" s="71" t="s">
        <v>1877</v>
      </c>
      <c r="C355" s="51" t="s">
        <v>2266</v>
      </c>
      <c r="D355" s="71" t="s">
        <v>1818</v>
      </c>
      <c r="E355" s="71" t="s">
        <v>2270</v>
      </c>
      <c r="F355" s="71" t="n">
        <v>212.66</v>
      </c>
      <c r="G355" s="71" t="n">
        <v>109</v>
      </c>
      <c r="H355" s="71" t="n">
        <v>498</v>
      </c>
      <c r="I355" s="71" t="n">
        <v>251</v>
      </c>
      <c r="J355" s="71" t="n">
        <v>247</v>
      </c>
      <c r="K355" s="71" t="n">
        <v>376</v>
      </c>
      <c r="L355" s="112" t="n">
        <f aca="false">K355/H355*100</f>
        <v>75.5020080321285</v>
      </c>
      <c r="M355" s="71" t="n">
        <v>0</v>
      </c>
      <c r="N355" s="112" t="n">
        <f aca="false">M355/H355*100</f>
        <v>0</v>
      </c>
      <c r="O355" s="71" t="n">
        <v>18.38</v>
      </c>
      <c r="P355" s="71" t="n">
        <v>0</v>
      </c>
      <c r="Q355" s="153" t="s">
        <v>43</v>
      </c>
      <c r="R355" s="153" t="s">
        <v>2269</v>
      </c>
      <c r="T355" s="118" t="n">
        <v>22.1415</v>
      </c>
      <c r="AB355" s="12" t="n">
        <v>0</v>
      </c>
      <c r="AC355" s="46" t="s">
        <v>859</v>
      </c>
      <c r="AD355" s="12"/>
      <c r="AE355" s="12"/>
    </row>
    <row r="356" customFormat="false" ht="15" hidden="false" customHeight="false" outlineLevel="0" collapsed="false">
      <c r="A356" s="71" t="s">
        <v>415</v>
      </c>
      <c r="B356" s="71" t="s">
        <v>1877</v>
      </c>
      <c r="C356" s="51" t="s">
        <v>2271</v>
      </c>
      <c r="D356" s="72" t="s">
        <v>2272</v>
      </c>
      <c r="E356" s="71" t="s">
        <v>2273</v>
      </c>
      <c r="F356" s="71" t="n">
        <v>887.75</v>
      </c>
      <c r="G356" s="71" t="n">
        <v>206</v>
      </c>
      <c r="H356" s="71" t="n">
        <v>1021</v>
      </c>
      <c r="I356" s="71" t="n">
        <v>514</v>
      </c>
      <c r="J356" s="71" t="n">
        <v>507</v>
      </c>
      <c r="K356" s="71" t="n">
        <v>108</v>
      </c>
      <c r="L356" s="112" t="n">
        <f aca="false">K356/H356*100</f>
        <v>10.5778648383937</v>
      </c>
      <c r="M356" s="71" t="n">
        <v>0</v>
      </c>
      <c r="N356" s="112" t="n">
        <f aca="false">M356/H356*100</f>
        <v>0</v>
      </c>
      <c r="O356" s="71" t="n">
        <v>119.62</v>
      </c>
      <c r="P356" s="71" t="n">
        <v>0</v>
      </c>
      <c r="Q356" s="153" t="s">
        <v>45</v>
      </c>
      <c r="R356" s="171" t="s">
        <v>2038</v>
      </c>
      <c r="T356" s="118" t="n">
        <v>119.3061</v>
      </c>
      <c r="AB356" s="12" t="n">
        <v>1.5</v>
      </c>
      <c r="AC356" s="46" t="s">
        <v>2274</v>
      </c>
      <c r="AD356" s="12" t="n">
        <v>24.08921</v>
      </c>
      <c r="AE356" s="12" t="n">
        <v>76.08004</v>
      </c>
    </row>
    <row r="357" customFormat="false" ht="15" hidden="false" customHeight="false" outlineLevel="0" collapsed="false">
      <c r="A357" s="71" t="s">
        <v>415</v>
      </c>
      <c r="B357" s="71" t="s">
        <v>1877</v>
      </c>
      <c r="C357" s="51" t="s">
        <v>2271</v>
      </c>
      <c r="D357" s="71" t="s">
        <v>51</v>
      </c>
      <c r="E357" s="71" t="s">
        <v>2275</v>
      </c>
      <c r="F357" s="71" t="n">
        <v>258.64</v>
      </c>
      <c r="G357" s="71" t="n">
        <v>49</v>
      </c>
      <c r="H357" s="71" t="n">
        <v>236</v>
      </c>
      <c r="I357" s="71" t="n">
        <v>123</v>
      </c>
      <c r="J357" s="71" t="n">
        <v>113</v>
      </c>
      <c r="K357" s="71" t="n">
        <v>0</v>
      </c>
      <c r="L357" s="112" t="n">
        <f aca="false">K357/H357*100</f>
        <v>0</v>
      </c>
      <c r="M357" s="71" t="n">
        <v>0</v>
      </c>
      <c r="N357" s="112" t="n">
        <f aca="false">M357/H357*100</f>
        <v>0</v>
      </c>
      <c r="O357" s="71" t="n">
        <v>19.63</v>
      </c>
      <c r="P357" s="71" t="n">
        <v>92.66</v>
      </c>
      <c r="Q357" s="153" t="s">
        <v>45</v>
      </c>
      <c r="R357" s="171" t="s">
        <v>2038</v>
      </c>
      <c r="T357" s="118" t="n">
        <v>20.0446</v>
      </c>
      <c r="AB357" s="12" t="n">
        <v>1.5</v>
      </c>
      <c r="AC357" s="46" t="s">
        <v>2274</v>
      </c>
      <c r="AD357" s="12" t="n">
        <v>24.071412</v>
      </c>
      <c r="AE357" s="12" t="n">
        <v>76.056093</v>
      </c>
    </row>
    <row r="358" customFormat="false" ht="15" hidden="false" customHeight="false" outlineLevel="0" collapsed="false">
      <c r="A358" s="71" t="s">
        <v>415</v>
      </c>
      <c r="B358" s="71" t="s">
        <v>1877</v>
      </c>
      <c r="C358" s="51" t="s">
        <v>2271</v>
      </c>
      <c r="D358" s="71" t="s">
        <v>2276</v>
      </c>
      <c r="E358" s="71" t="s">
        <v>2277</v>
      </c>
      <c r="F358" s="71" t="n">
        <v>979.65</v>
      </c>
      <c r="G358" s="71" t="n">
        <v>103</v>
      </c>
      <c r="H358" s="71" t="n">
        <v>509</v>
      </c>
      <c r="I358" s="71" t="n">
        <v>283</v>
      </c>
      <c r="J358" s="71" t="n">
        <v>226</v>
      </c>
      <c r="K358" s="71" t="n">
        <v>49</v>
      </c>
      <c r="L358" s="112" t="n">
        <f aca="false">K358/H358*100</f>
        <v>9.62671905697446</v>
      </c>
      <c r="M358" s="71" t="n">
        <v>0</v>
      </c>
      <c r="N358" s="112" t="n">
        <f aca="false">M358/H358*100</f>
        <v>0</v>
      </c>
      <c r="O358" s="71" t="n">
        <v>83.53</v>
      </c>
      <c r="P358" s="71" t="n">
        <v>429.49</v>
      </c>
      <c r="Q358" s="153" t="s">
        <v>45</v>
      </c>
      <c r="R358" s="171" t="s">
        <v>2038</v>
      </c>
      <c r="T358" s="118" t="n">
        <v>85.0344</v>
      </c>
      <c r="AB358" s="12" t="n">
        <v>1.5</v>
      </c>
      <c r="AC358" s="46" t="s">
        <v>2274</v>
      </c>
      <c r="AD358" s="12" t="n">
        <v>24.070436</v>
      </c>
      <c r="AE358" s="12" t="n">
        <v>76.010749</v>
      </c>
    </row>
    <row r="359" customFormat="false" ht="15" hidden="false" customHeight="false" outlineLevel="0" collapsed="false">
      <c r="A359" s="71" t="s">
        <v>415</v>
      </c>
      <c r="B359" s="71" t="s">
        <v>1877</v>
      </c>
      <c r="C359" s="51" t="s">
        <v>2271</v>
      </c>
      <c r="D359" s="71" t="s">
        <v>1760</v>
      </c>
      <c r="E359" s="71" t="s">
        <v>2278</v>
      </c>
      <c r="F359" s="71" t="n">
        <v>315.56</v>
      </c>
      <c r="G359" s="71" t="n">
        <v>118</v>
      </c>
      <c r="H359" s="71" t="n">
        <v>547</v>
      </c>
      <c r="I359" s="71" t="n">
        <v>282</v>
      </c>
      <c r="J359" s="71" t="n">
        <v>265</v>
      </c>
      <c r="K359" s="71" t="n">
        <v>156</v>
      </c>
      <c r="L359" s="112" t="n">
        <f aca="false">K359/H359*100</f>
        <v>28.5191956124314</v>
      </c>
      <c r="M359" s="71" t="n">
        <v>0</v>
      </c>
      <c r="N359" s="112" t="n">
        <f aca="false">M359/H359*100</f>
        <v>0</v>
      </c>
      <c r="O359" s="71" t="n">
        <v>57.17</v>
      </c>
      <c r="P359" s="71" t="n">
        <v>19.28</v>
      </c>
      <c r="Q359" s="153" t="s">
        <v>45</v>
      </c>
      <c r="R359" s="171" t="s">
        <v>2038</v>
      </c>
      <c r="T359" s="118" t="n">
        <v>59.8934</v>
      </c>
      <c r="AB359" s="12" t="n">
        <v>1.5</v>
      </c>
      <c r="AC359" s="46" t="s">
        <v>2274</v>
      </c>
      <c r="AD359" s="12" t="n">
        <v>24.075298</v>
      </c>
      <c r="AE359" s="12" t="n">
        <v>76.069055</v>
      </c>
    </row>
    <row r="360" customFormat="false" ht="15" hidden="false" customHeight="false" outlineLevel="0" collapsed="false">
      <c r="A360" s="71" t="s">
        <v>415</v>
      </c>
      <c r="B360" s="71" t="s">
        <v>1877</v>
      </c>
      <c r="C360" s="51" t="s">
        <v>2271</v>
      </c>
      <c r="D360" s="71" t="s">
        <v>2279</v>
      </c>
      <c r="E360" s="71" t="s">
        <v>2280</v>
      </c>
      <c r="F360" s="71" t="n">
        <v>504.42</v>
      </c>
      <c r="G360" s="71" t="n">
        <v>103</v>
      </c>
      <c r="H360" s="71" t="n">
        <v>466</v>
      </c>
      <c r="I360" s="71" t="n">
        <v>239</v>
      </c>
      <c r="J360" s="71" t="n">
        <v>227</v>
      </c>
      <c r="K360" s="71" t="n">
        <v>87</v>
      </c>
      <c r="L360" s="112" t="n">
        <f aca="false">K360/H360*100</f>
        <v>18.6695278969957</v>
      </c>
      <c r="M360" s="71" t="n">
        <v>0</v>
      </c>
      <c r="N360" s="112" t="n">
        <f aca="false">M360/H360*100</f>
        <v>0</v>
      </c>
      <c r="O360" s="71" t="n">
        <v>51.34</v>
      </c>
      <c r="P360" s="71" t="n">
        <v>120.48</v>
      </c>
      <c r="Q360" s="153" t="s">
        <v>45</v>
      </c>
      <c r="R360" s="171" t="s">
        <v>2038</v>
      </c>
      <c r="T360" s="118" t="n">
        <v>1.55</v>
      </c>
      <c r="AB360" s="12" t="n">
        <v>1.5</v>
      </c>
      <c r="AC360" s="46" t="s">
        <v>2274</v>
      </c>
      <c r="AD360" s="12" t="n">
        <v>24.087557</v>
      </c>
      <c r="AE360" s="12" t="n">
        <v>76.11069</v>
      </c>
    </row>
    <row r="361" customFormat="false" ht="15" hidden="false" customHeight="false" outlineLevel="0" collapsed="false">
      <c r="A361" s="71" t="s">
        <v>415</v>
      </c>
      <c r="B361" s="71" t="s">
        <v>1877</v>
      </c>
      <c r="C361" s="51" t="s">
        <v>2271</v>
      </c>
      <c r="D361" s="71" t="s">
        <v>2281</v>
      </c>
      <c r="E361" s="71" t="s">
        <v>2282</v>
      </c>
      <c r="F361" s="71" t="n">
        <v>469.38</v>
      </c>
      <c r="G361" s="71" t="n">
        <v>121</v>
      </c>
      <c r="H361" s="71" t="n">
        <v>709</v>
      </c>
      <c r="I361" s="71" t="n">
        <v>361</v>
      </c>
      <c r="J361" s="71" t="n">
        <v>348</v>
      </c>
      <c r="K361" s="71" t="n">
        <v>135</v>
      </c>
      <c r="L361" s="112" t="n">
        <f aca="false">K361/H361*100</f>
        <v>19.0409026798307</v>
      </c>
      <c r="M361" s="71" t="n">
        <v>0</v>
      </c>
      <c r="N361" s="112" t="n">
        <f aca="false">M361/H361*100</f>
        <v>0</v>
      </c>
      <c r="O361" s="71" t="n">
        <v>62.21</v>
      </c>
      <c r="P361" s="71" t="n">
        <v>0</v>
      </c>
      <c r="Q361" s="153" t="s">
        <v>45</v>
      </c>
      <c r="R361" s="171" t="s">
        <v>2038</v>
      </c>
      <c r="T361" s="118" t="n">
        <v>62.5997</v>
      </c>
      <c r="AB361" s="12" t="n">
        <v>1.5</v>
      </c>
      <c r="AC361" s="46" t="s">
        <v>2274</v>
      </c>
      <c r="AD361" s="12" t="n">
        <v>24.097328</v>
      </c>
      <c r="AE361" s="12" t="n">
        <v>76.049326</v>
      </c>
    </row>
    <row r="362" customFormat="false" ht="15" hidden="false" customHeight="false" outlineLevel="0" collapsed="false">
      <c r="A362" s="71" t="s">
        <v>415</v>
      </c>
      <c r="B362" s="71" t="s">
        <v>1877</v>
      </c>
      <c r="C362" s="51" t="s">
        <v>2283</v>
      </c>
      <c r="D362" s="72" t="s">
        <v>2284</v>
      </c>
      <c r="E362" s="71" t="s">
        <v>2285</v>
      </c>
      <c r="F362" s="71" t="n">
        <v>820.94</v>
      </c>
      <c r="G362" s="71" t="n">
        <v>378</v>
      </c>
      <c r="H362" s="71" t="n">
        <v>1660</v>
      </c>
      <c r="I362" s="71" t="n">
        <v>862</v>
      </c>
      <c r="J362" s="71" t="n">
        <v>798</v>
      </c>
      <c r="K362" s="71" t="n">
        <v>374</v>
      </c>
      <c r="L362" s="112" t="n">
        <f aca="false">K362/H362*100</f>
        <v>22.5301204819277</v>
      </c>
      <c r="M362" s="71" t="n">
        <v>0</v>
      </c>
      <c r="N362" s="112" t="n">
        <f aca="false">M362/H362*100</f>
        <v>0</v>
      </c>
      <c r="O362" s="71" t="n">
        <v>55.56</v>
      </c>
      <c r="P362" s="71" t="n">
        <v>0</v>
      </c>
      <c r="Q362" s="153" t="s">
        <v>43</v>
      </c>
      <c r="R362" s="153" t="s">
        <v>2286</v>
      </c>
      <c r="T362" s="118" t="n">
        <v>52.9889</v>
      </c>
      <c r="AB362" s="12" t="n">
        <v>2.1</v>
      </c>
      <c r="AC362" s="10" t="s">
        <v>859</v>
      </c>
      <c r="AD362" s="12" t="n">
        <v>24.305526</v>
      </c>
      <c r="AE362" s="12" t="n">
        <v>75.965413</v>
      </c>
    </row>
    <row r="363" customFormat="false" ht="15" hidden="false" customHeight="false" outlineLevel="0" collapsed="false">
      <c r="A363" s="71" t="s">
        <v>415</v>
      </c>
      <c r="B363" s="71" t="s">
        <v>1877</v>
      </c>
      <c r="C363" s="51" t="s">
        <v>2283</v>
      </c>
      <c r="D363" s="72" t="s">
        <v>2284</v>
      </c>
      <c r="E363" s="71"/>
      <c r="F363" s="71"/>
      <c r="G363" s="71"/>
      <c r="H363" s="71"/>
      <c r="I363" s="71"/>
      <c r="J363" s="71"/>
      <c r="K363" s="71"/>
      <c r="M363" s="71"/>
      <c r="O363" s="71"/>
      <c r="P363" s="71"/>
      <c r="Q363" s="153" t="s">
        <v>43</v>
      </c>
      <c r="R363" s="153" t="s">
        <v>2286</v>
      </c>
      <c r="AB363" s="12" t="n">
        <v>15</v>
      </c>
      <c r="AC363" s="10" t="s">
        <v>859</v>
      </c>
      <c r="AD363" s="12" t="n">
        <v>24.311094</v>
      </c>
      <c r="AE363" s="12" t="n">
        <v>75.963447</v>
      </c>
    </row>
    <row r="364" customFormat="false" ht="15" hidden="false" customHeight="false" outlineLevel="0" collapsed="false">
      <c r="A364" s="71" t="s">
        <v>415</v>
      </c>
      <c r="B364" s="71" t="s">
        <v>1877</v>
      </c>
      <c r="C364" s="51" t="s">
        <v>2283</v>
      </c>
      <c r="D364" s="71" t="s">
        <v>2287</v>
      </c>
      <c r="E364" s="71" t="s">
        <v>2288</v>
      </c>
      <c r="F364" s="71" t="n">
        <v>316.55</v>
      </c>
      <c r="G364" s="71" t="n">
        <v>123</v>
      </c>
      <c r="H364" s="71" t="n">
        <v>476</v>
      </c>
      <c r="I364" s="71" t="n">
        <v>240</v>
      </c>
      <c r="J364" s="71" t="n">
        <v>236</v>
      </c>
      <c r="K364" s="71" t="n">
        <v>57</v>
      </c>
      <c r="L364" s="112" t="n">
        <f aca="false">K364/H364*100</f>
        <v>11.9747899159664</v>
      </c>
      <c r="M364" s="71" t="n">
        <v>0</v>
      </c>
      <c r="N364" s="112" t="n">
        <f aca="false">M364/H364*100</f>
        <v>0</v>
      </c>
      <c r="O364" s="71" t="n">
        <v>25.75</v>
      </c>
      <c r="P364" s="71" t="n">
        <v>0</v>
      </c>
      <c r="Q364" s="153" t="s">
        <v>43</v>
      </c>
      <c r="R364" s="153" t="s">
        <v>2286</v>
      </c>
      <c r="T364" s="118" t="n">
        <v>28.0875</v>
      </c>
      <c r="AB364" s="12" t="n">
        <v>1.75</v>
      </c>
      <c r="AC364" s="10" t="s">
        <v>859</v>
      </c>
      <c r="AD364" s="12" t="n">
        <v>24.310318</v>
      </c>
      <c r="AE364" s="12" t="n">
        <v>75.997087</v>
      </c>
    </row>
    <row r="365" customFormat="false" ht="15" hidden="false" customHeight="false" outlineLevel="0" collapsed="false">
      <c r="A365" s="71" t="s">
        <v>415</v>
      </c>
      <c r="B365" s="71" t="s">
        <v>1877</v>
      </c>
      <c r="C365" s="51" t="s">
        <v>2283</v>
      </c>
      <c r="D365" s="71" t="s">
        <v>2289</v>
      </c>
      <c r="E365" s="71" t="s">
        <v>2290</v>
      </c>
      <c r="F365" s="71" t="n">
        <v>243.3</v>
      </c>
      <c r="G365" s="71" t="n">
        <v>67</v>
      </c>
      <c r="H365" s="71" t="n">
        <v>358</v>
      </c>
      <c r="I365" s="71" t="n">
        <v>185</v>
      </c>
      <c r="J365" s="71" t="n">
        <v>173</v>
      </c>
      <c r="K365" s="71" t="n">
        <v>97</v>
      </c>
      <c r="L365" s="112" t="n">
        <f aca="false">K365/H365*100</f>
        <v>27.0949720670391</v>
      </c>
      <c r="M365" s="71" t="n">
        <v>20</v>
      </c>
      <c r="N365" s="112" t="n">
        <f aca="false">M365/H365*100</f>
        <v>5.58659217877095</v>
      </c>
      <c r="O365" s="71" t="n">
        <v>18.63</v>
      </c>
      <c r="P365" s="71" t="n">
        <v>0</v>
      </c>
      <c r="Q365" s="153" t="s">
        <v>43</v>
      </c>
      <c r="R365" s="153" t="s">
        <v>2286</v>
      </c>
      <c r="T365" s="118" t="n">
        <v>18.6156</v>
      </c>
      <c r="AB365" s="12" t="n">
        <v>1.25</v>
      </c>
      <c r="AC365" s="10" t="s">
        <v>859</v>
      </c>
      <c r="AD365" s="12" t="n">
        <v>24.308701</v>
      </c>
      <c r="AE365" s="12" t="n">
        <v>75.990418</v>
      </c>
    </row>
    <row r="366" customFormat="false" ht="15" hidden="false" customHeight="false" outlineLevel="0" collapsed="false">
      <c r="A366" s="71" t="s">
        <v>415</v>
      </c>
      <c r="B366" s="71" t="s">
        <v>1877</v>
      </c>
      <c r="C366" s="51" t="s">
        <v>2283</v>
      </c>
      <c r="D366" s="71" t="s">
        <v>2291</v>
      </c>
      <c r="E366" s="71" t="s">
        <v>2292</v>
      </c>
      <c r="F366" s="71" t="n">
        <v>556.71</v>
      </c>
      <c r="G366" s="71" t="n">
        <v>182</v>
      </c>
      <c r="H366" s="71" t="n">
        <v>912</v>
      </c>
      <c r="I366" s="71" t="n">
        <v>469</v>
      </c>
      <c r="J366" s="71" t="n">
        <v>443</v>
      </c>
      <c r="K366" s="71" t="n">
        <v>97</v>
      </c>
      <c r="L366" s="112" t="n">
        <f aca="false">K366/H366*100</f>
        <v>10.6359649122807</v>
      </c>
      <c r="M366" s="71" t="n">
        <v>0</v>
      </c>
      <c r="N366" s="112" t="n">
        <f aca="false">M366/H366*100</f>
        <v>0</v>
      </c>
      <c r="O366" s="71" t="n">
        <v>64.02</v>
      </c>
      <c r="P366" s="71" t="n">
        <v>0</v>
      </c>
      <c r="Q366" s="153" t="s">
        <v>43</v>
      </c>
      <c r="R366" s="153" t="s">
        <v>2286</v>
      </c>
      <c r="T366" s="118" t="n">
        <v>66.4948</v>
      </c>
      <c r="AB366" s="12" t="n">
        <v>1.9</v>
      </c>
      <c r="AC366" s="10" t="s">
        <v>859</v>
      </c>
      <c r="AD366" s="12" t="n">
        <v>24.330033</v>
      </c>
      <c r="AE366" s="12" t="n">
        <v>75.990122</v>
      </c>
    </row>
    <row r="367" customFormat="false" ht="15" hidden="false" customHeight="false" outlineLevel="0" collapsed="false">
      <c r="A367" s="71" t="s">
        <v>415</v>
      </c>
      <c r="B367" s="71" t="s">
        <v>1877</v>
      </c>
      <c r="C367" s="51" t="s">
        <v>2293</v>
      </c>
      <c r="D367" s="72" t="s">
        <v>2294</v>
      </c>
      <c r="E367" s="71" t="s">
        <v>2295</v>
      </c>
      <c r="F367" s="71" t="n">
        <v>1230.16</v>
      </c>
      <c r="G367" s="71" t="n">
        <v>187</v>
      </c>
      <c r="H367" s="71" t="n">
        <v>930</v>
      </c>
      <c r="I367" s="71" t="n">
        <v>457</v>
      </c>
      <c r="J367" s="71" t="n">
        <v>473</v>
      </c>
      <c r="K367" s="71" t="n">
        <v>107</v>
      </c>
      <c r="L367" s="112" t="n">
        <f aca="false">K367/H367*100</f>
        <v>11.505376344086</v>
      </c>
      <c r="M367" s="71" t="n">
        <v>0</v>
      </c>
      <c r="N367" s="112" t="n">
        <f aca="false">M367/H367*100</f>
        <v>0</v>
      </c>
      <c r="O367" s="71" t="n">
        <v>312.62</v>
      </c>
      <c r="P367" s="71" t="n">
        <v>104.12</v>
      </c>
      <c r="Q367" s="153" t="s">
        <v>45</v>
      </c>
      <c r="R367" s="153" t="s">
        <v>2038</v>
      </c>
      <c r="T367" s="118" t="n">
        <v>297.1778</v>
      </c>
      <c r="AB367" s="12" t="n">
        <v>0</v>
      </c>
      <c r="AC367" s="46" t="s">
        <v>859</v>
      </c>
      <c r="AD367" s="12"/>
      <c r="AE367" s="12"/>
    </row>
    <row r="368" customFormat="false" ht="15" hidden="false" customHeight="false" outlineLevel="0" collapsed="false">
      <c r="A368" s="71" t="s">
        <v>415</v>
      </c>
      <c r="B368" s="71" t="s">
        <v>1877</v>
      </c>
      <c r="C368" s="51" t="s">
        <v>2293</v>
      </c>
      <c r="D368" s="72" t="s">
        <v>2294</v>
      </c>
      <c r="E368" s="71"/>
      <c r="F368" s="71"/>
      <c r="G368" s="71"/>
      <c r="H368" s="71"/>
      <c r="I368" s="71"/>
      <c r="J368" s="71"/>
      <c r="K368" s="71"/>
      <c r="M368" s="71"/>
      <c r="O368" s="71"/>
      <c r="P368" s="71"/>
      <c r="Q368" s="153" t="s">
        <v>45</v>
      </c>
      <c r="R368" s="153" t="s">
        <v>2038</v>
      </c>
      <c r="AB368" s="12" t="n">
        <v>14</v>
      </c>
      <c r="AC368" s="46" t="s">
        <v>859</v>
      </c>
      <c r="AD368" s="12" t="n">
        <v>24.152575</v>
      </c>
      <c r="AE368" s="12" t="n">
        <v>76.085741</v>
      </c>
    </row>
    <row r="369" customFormat="false" ht="15" hidden="false" customHeight="false" outlineLevel="0" collapsed="false">
      <c r="A369" s="71" t="s">
        <v>415</v>
      </c>
      <c r="B369" s="71" t="s">
        <v>1877</v>
      </c>
      <c r="C369" s="51" t="s">
        <v>2293</v>
      </c>
      <c r="D369" s="72" t="s">
        <v>2294</v>
      </c>
      <c r="E369" s="71"/>
      <c r="F369" s="71"/>
      <c r="G369" s="71"/>
      <c r="H369" s="71"/>
      <c r="I369" s="71"/>
      <c r="J369" s="71"/>
      <c r="K369" s="71"/>
      <c r="M369" s="71"/>
      <c r="O369" s="71"/>
      <c r="P369" s="71"/>
      <c r="Q369" s="153" t="s">
        <v>45</v>
      </c>
      <c r="R369" s="153" t="s">
        <v>2038</v>
      </c>
      <c r="AB369" s="12" t="n">
        <v>15</v>
      </c>
      <c r="AC369" s="46" t="s">
        <v>859</v>
      </c>
      <c r="AD369" s="12" t="n">
        <v>24.149497</v>
      </c>
      <c r="AE369" s="12" t="n">
        <v>76.084098</v>
      </c>
    </row>
    <row r="370" customFormat="false" ht="15" hidden="false" customHeight="false" outlineLevel="0" collapsed="false">
      <c r="A370" s="71" t="s">
        <v>415</v>
      </c>
      <c r="B370" s="71" t="s">
        <v>1877</v>
      </c>
      <c r="C370" s="51" t="s">
        <v>2293</v>
      </c>
      <c r="D370" s="72" t="s">
        <v>2294</v>
      </c>
      <c r="E370" s="71"/>
      <c r="F370" s="71"/>
      <c r="G370" s="71"/>
      <c r="H370" s="71"/>
      <c r="I370" s="71"/>
      <c r="J370" s="71"/>
      <c r="K370" s="71"/>
      <c r="M370" s="71"/>
      <c r="O370" s="71"/>
      <c r="P370" s="71"/>
      <c r="Q370" s="153" t="s">
        <v>45</v>
      </c>
      <c r="R370" s="153" t="s">
        <v>2038</v>
      </c>
      <c r="AB370" s="12" t="n">
        <v>1.2646</v>
      </c>
      <c r="AC370" s="46" t="s">
        <v>859</v>
      </c>
      <c r="AD370" s="12" t="n">
        <v>24.146617</v>
      </c>
      <c r="AE370" s="12" t="n">
        <v>76.076811</v>
      </c>
    </row>
    <row r="371" customFormat="false" ht="15" hidden="false" customHeight="false" outlineLevel="0" collapsed="false">
      <c r="A371" s="71" t="s">
        <v>415</v>
      </c>
      <c r="B371" s="71" t="s">
        <v>1877</v>
      </c>
      <c r="C371" s="51" t="s">
        <v>2293</v>
      </c>
      <c r="D371" s="72" t="s">
        <v>2294</v>
      </c>
      <c r="E371" s="71"/>
      <c r="F371" s="71"/>
      <c r="G371" s="71"/>
      <c r="H371" s="71"/>
      <c r="I371" s="71"/>
      <c r="J371" s="71"/>
      <c r="K371" s="71"/>
      <c r="M371" s="71"/>
      <c r="O371" s="71"/>
      <c r="P371" s="71"/>
      <c r="Q371" s="153" t="s">
        <v>45</v>
      </c>
      <c r="R371" s="153" t="s">
        <v>2038</v>
      </c>
      <c r="AB371" s="12" t="n">
        <v>13</v>
      </c>
      <c r="AC371" s="46" t="s">
        <v>859</v>
      </c>
      <c r="AD371" s="12" t="n">
        <v>24.146555</v>
      </c>
      <c r="AE371" s="12" t="n">
        <v>76.076954</v>
      </c>
    </row>
    <row r="372" customFormat="false" ht="15" hidden="false" customHeight="false" outlineLevel="0" collapsed="false">
      <c r="A372" s="71" t="s">
        <v>415</v>
      </c>
      <c r="B372" s="71" t="s">
        <v>1877</v>
      </c>
      <c r="C372" s="51" t="s">
        <v>2293</v>
      </c>
      <c r="D372" s="71" t="s">
        <v>1862</v>
      </c>
      <c r="E372" s="71" t="s">
        <v>2296</v>
      </c>
      <c r="F372" s="71" t="n">
        <v>474.73</v>
      </c>
      <c r="G372" s="71" t="n">
        <v>121</v>
      </c>
      <c r="H372" s="71" t="n">
        <v>558</v>
      </c>
      <c r="I372" s="71" t="n">
        <v>281</v>
      </c>
      <c r="J372" s="71" t="n">
        <v>277</v>
      </c>
      <c r="K372" s="71" t="n">
        <v>91</v>
      </c>
      <c r="L372" s="112" t="n">
        <f aca="false">K372/H372*100</f>
        <v>16.3082437275986</v>
      </c>
      <c r="M372" s="71" t="n">
        <v>0</v>
      </c>
      <c r="N372" s="112" t="n">
        <f aca="false">M372/H372*100</f>
        <v>0</v>
      </c>
      <c r="O372" s="71" t="n">
        <v>66.9</v>
      </c>
      <c r="P372" s="71" t="n">
        <v>97.54</v>
      </c>
      <c r="Q372" s="153" t="s">
        <v>45</v>
      </c>
      <c r="R372" s="153" t="s">
        <v>2038</v>
      </c>
      <c r="T372" s="118" t="n">
        <v>66.912</v>
      </c>
      <c r="AB372" s="12" t="n">
        <v>1.85</v>
      </c>
      <c r="AC372" s="46" t="s">
        <v>859</v>
      </c>
      <c r="AD372" s="12"/>
      <c r="AE372" s="12"/>
    </row>
    <row r="373" customFormat="false" ht="15" hidden="false" customHeight="false" outlineLevel="0" collapsed="false">
      <c r="A373" s="71" t="s">
        <v>415</v>
      </c>
      <c r="B373" s="71" t="s">
        <v>1877</v>
      </c>
      <c r="C373" s="51" t="s">
        <v>2293</v>
      </c>
      <c r="D373" s="71" t="s">
        <v>1862</v>
      </c>
      <c r="E373" s="71"/>
      <c r="F373" s="71"/>
      <c r="G373" s="71"/>
      <c r="H373" s="71"/>
      <c r="I373" s="71"/>
      <c r="J373" s="71"/>
      <c r="K373" s="71"/>
      <c r="M373" s="71"/>
      <c r="O373" s="71"/>
      <c r="P373" s="71"/>
      <c r="Q373" s="153" t="s">
        <v>45</v>
      </c>
      <c r="R373" s="153" t="s">
        <v>2038</v>
      </c>
      <c r="AB373" s="12" t="n">
        <v>15</v>
      </c>
      <c r="AC373" s="46" t="s">
        <v>859</v>
      </c>
      <c r="AD373" s="12" t="n">
        <v>24.131062</v>
      </c>
      <c r="AE373" s="12" t="n">
        <v>76.052132</v>
      </c>
    </row>
    <row r="374" customFormat="false" ht="15" hidden="false" customHeight="false" outlineLevel="0" collapsed="false">
      <c r="A374" s="71" t="s">
        <v>415</v>
      </c>
      <c r="B374" s="71" t="s">
        <v>1877</v>
      </c>
      <c r="C374" s="51" t="s">
        <v>2293</v>
      </c>
      <c r="D374" s="71" t="s">
        <v>2297</v>
      </c>
      <c r="E374" s="71" t="s">
        <v>2298</v>
      </c>
      <c r="F374" s="71" t="n">
        <v>561</v>
      </c>
      <c r="G374" s="71" t="n">
        <v>175</v>
      </c>
      <c r="H374" s="71" t="n">
        <v>733</v>
      </c>
      <c r="I374" s="71" t="n">
        <v>377</v>
      </c>
      <c r="J374" s="71" t="n">
        <v>356</v>
      </c>
      <c r="K374" s="71" t="n">
        <v>209</v>
      </c>
      <c r="L374" s="112" t="n">
        <f aca="false">K374/H374*100</f>
        <v>28.5129604365621</v>
      </c>
      <c r="M374" s="71" t="n">
        <v>19</v>
      </c>
      <c r="N374" s="112" t="n">
        <f aca="false">M374/H374*100</f>
        <v>2.59208731241473</v>
      </c>
      <c r="O374" s="71" t="n">
        <v>93.86</v>
      </c>
      <c r="P374" s="71" t="n">
        <v>148.3</v>
      </c>
      <c r="Q374" s="153" t="s">
        <v>45</v>
      </c>
      <c r="R374" s="153" t="s">
        <v>2038</v>
      </c>
      <c r="T374" s="118" t="n">
        <v>96.062</v>
      </c>
      <c r="AB374" s="12" t="n">
        <v>1.75</v>
      </c>
      <c r="AC374" s="46" t="s">
        <v>859</v>
      </c>
      <c r="AD374" s="12"/>
      <c r="AE374" s="12"/>
    </row>
    <row r="375" customFormat="false" ht="15" hidden="false" customHeight="false" outlineLevel="0" collapsed="false">
      <c r="A375" s="71" t="s">
        <v>415</v>
      </c>
      <c r="B375" s="71" t="s">
        <v>1877</v>
      </c>
      <c r="C375" s="51" t="s">
        <v>2293</v>
      </c>
      <c r="D375" s="71" t="s">
        <v>2297</v>
      </c>
      <c r="E375" s="71"/>
      <c r="F375" s="71"/>
      <c r="G375" s="71"/>
      <c r="H375" s="71"/>
      <c r="I375" s="71"/>
      <c r="J375" s="71"/>
      <c r="K375" s="71"/>
      <c r="M375" s="71"/>
      <c r="O375" s="71"/>
      <c r="P375" s="71"/>
      <c r="Q375" s="153" t="s">
        <v>45</v>
      </c>
      <c r="R375" s="153" t="s">
        <v>2038</v>
      </c>
      <c r="AB375" s="12" t="n">
        <v>15</v>
      </c>
      <c r="AC375" s="46" t="s">
        <v>859</v>
      </c>
      <c r="AD375" s="12" t="n">
        <v>24.144577</v>
      </c>
      <c r="AE375" s="12" t="n">
        <v>76.108269</v>
      </c>
    </row>
    <row r="376" customFormat="false" ht="15" hidden="false" customHeight="false" outlineLevel="0" collapsed="false">
      <c r="A376" s="71" t="s">
        <v>415</v>
      </c>
      <c r="B376" s="71" t="s">
        <v>1877</v>
      </c>
      <c r="C376" s="51" t="s">
        <v>2293</v>
      </c>
      <c r="D376" s="71" t="s">
        <v>2299</v>
      </c>
      <c r="E376" s="71" t="s">
        <v>2300</v>
      </c>
      <c r="F376" s="71" t="n">
        <v>121.43</v>
      </c>
      <c r="G376" s="71" t="n">
        <v>22</v>
      </c>
      <c r="H376" s="71" t="n">
        <v>89</v>
      </c>
      <c r="I376" s="71" t="n">
        <v>44</v>
      </c>
      <c r="J376" s="71" t="n">
        <v>45</v>
      </c>
      <c r="K376" s="71" t="n">
        <v>25</v>
      </c>
      <c r="L376" s="112" t="n">
        <f aca="false">K376/H376*100</f>
        <v>28.0898876404494</v>
      </c>
      <c r="M376" s="71" t="n">
        <v>0</v>
      </c>
      <c r="N376" s="112" t="n">
        <f aca="false">M376/H376*100</f>
        <v>0</v>
      </c>
      <c r="O376" s="71" t="n">
        <v>3.29</v>
      </c>
      <c r="P376" s="71" t="n">
        <v>3.12</v>
      </c>
      <c r="Q376" s="153" t="s">
        <v>45</v>
      </c>
      <c r="R376" s="153" t="s">
        <v>2038</v>
      </c>
      <c r="T376" s="118" t="n">
        <v>3.2881</v>
      </c>
      <c r="AB376" s="12" t="n">
        <v>1</v>
      </c>
      <c r="AC376" s="46" t="s">
        <v>1816</v>
      </c>
      <c r="AD376" s="12"/>
      <c r="AE376" s="12"/>
    </row>
    <row r="377" customFormat="false" ht="15" hidden="false" customHeight="false" outlineLevel="0" collapsed="false">
      <c r="A377" s="71" t="s">
        <v>415</v>
      </c>
      <c r="B377" s="71" t="s">
        <v>1877</v>
      </c>
      <c r="C377" s="51" t="s">
        <v>2293</v>
      </c>
      <c r="D377" s="71" t="s">
        <v>2301</v>
      </c>
      <c r="E377" s="71" t="s">
        <v>2302</v>
      </c>
      <c r="F377" s="71" t="n">
        <v>68.3</v>
      </c>
      <c r="G377" s="71" t="n">
        <v>17</v>
      </c>
      <c r="H377" s="71" t="n">
        <v>71</v>
      </c>
      <c r="I377" s="71" t="n">
        <v>38</v>
      </c>
      <c r="J377" s="71" t="n">
        <v>33</v>
      </c>
      <c r="K377" s="71" t="n">
        <v>0</v>
      </c>
      <c r="L377" s="112" t="n">
        <f aca="false">K377/H377*100</f>
        <v>0</v>
      </c>
      <c r="M377" s="71" t="n">
        <v>0</v>
      </c>
      <c r="N377" s="112" t="n">
        <f aca="false">M377/H377*100</f>
        <v>0</v>
      </c>
      <c r="O377" s="71" t="n">
        <v>4.15</v>
      </c>
      <c r="P377" s="71" t="n">
        <v>0</v>
      </c>
      <c r="Q377" s="153" t="s">
        <v>45</v>
      </c>
      <c r="R377" s="153" t="s">
        <v>2038</v>
      </c>
      <c r="T377" s="118" t="n">
        <v>4.4515</v>
      </c>
      <c r="AB377" s="12" t="n">
        <v>0</v>
      </c>
      <c r="AC377" s="46" t="s">
        <v>1816</v>
      </c>
      <c r="AD377" s="12"/>
      <c r="AE377" s="12"/>
    </row>
    <row r="378" customFormat="false" ht="15" hidden="false" customHeight="false" outlineLevel="0" collapsed="false">
      <c r="A378" s="71" t="s">
        <v>415</v>
      </c>
      <c r="B378" s="71" t="s">
        <v>1877</v>
      </c>
      <c r="C378" s="51" t="s">
        <v>2293</v>
      </c>
      <c r="D378" s="71" t="s">
        <v>1985</v>
      </c>
      <c r="E378" s="71" t="s">
        <v>2303</v>
      </c>
      <c r="F378" s="71" t="n">
        <v>525.71</v>
      </c>
      <c r="G378" s="71" t="n">
        <v>210</v>
      </c>
      <c r="H378" s="71" t="n">
        <v>1029</v>
      </c>
      <c r="I378" s="71" t="n">
        <v>512</v>
      </c>
      <c r="J378" s="71" t="n">
        <v>517</v>
      </c>
      <c r="K378" s="71" t="n">
        <v>149</v>
      </c>
      <c r="L378" s="112" t="n">
        <f aca="false">K378/H378*100</f>
        <v>14.4800777453839</v>
      </c>
      <c r="M378" s="71" t="n">
        <v>0</v>
      </c>
      <c r="N378" s="112" t="n">
        <f aca="false">M378/H378*100</f>
        <v>0</v>
      </c>
      <c r="O378" s="71" t="n">
        <v>53.87</v>
      </c>
      <c r="P378" s="71" t="n">
        <v>0</v>
      </c>
      <c r="Q378" s="153" t="s">
        <v>45</v>
      </c>
      <c r="R378" s="153" t="s">
        <v>2038</v>
      </c>
      <c r="T378" s="118" t="n">
        <v>50.5352</v>
      </c>
      <c r="AB378" s="12" t="n">
        <v>1.5</v>
      </c>
      <c r="AC378" s="46" t="s">
        <v>1816</v>
      </c>
      <c r="AD378" s="12"/>
      <c r="AE378" s="12"/>
    </row>
    <row r="379" customFormat="false" ht="15" hidden="false" customHeight="false" outlineLevel="0" collapsed="false">
      <c r="A379" s="71" t="s">
        <v>415</v>
      </c>
      <c r="B379" s="71" t="s">
        <v>1877</v>
      </c>
      <c r="C379" s="51" t="s">
        <v>2293</v>
      </c>
      <c r="D379" s="71" t="s">
        <v>1985</v>
      </c>
      <c r="E379" s="71"/>
      <c r="F379" s="71"/>
      <c r="G379" s="71"/>
      <c r="H379" s="71"/>
      <c r="I379" s="71"/>
      <c r="J379" s="71"/>
      <c r="K379" s="71"/>
      <c r="M379" s="71"/>
      <c r="O379" s="71"/>
      <c r="P379" s="71"/>
      <c r="Q379" s="153" t="s">
        <v>43</v>
      </c>
      <c r="R379" s="117" t="s">
        <v>2038</v>
      </c>
      <c r="T379" s="118"/>
      <c r="AB379" s="10" t="n">
        <v>1.5</v>
      </c>
      <c r="AC379" s="38" t="s">
        <v>1816</v>
      </c>
      <c r="AD379" s="10" t="n">
        <v>24.16052</v>
      </c>
      <c r="AE379" s="10" t="n">
        <v>76.06318</v>
      </c>
    </row>
    <row r="380" customFormat="false" ht="15" hidden="false" customHeight="false" outlineLevel="0" collapsed="false">
      <c r="A380" s="71" t="s">
        <v>415</v>
      </c>
      <c r="B380" s="71" t="s">
        <v>1877</v>
      </c>
      <c r="C380" s="51" t="s">
        <v>2293</v>
      </c>
      <c r="D380" s="71" t="s">
        <v>1985</v>
      </c>
      <c r="E380" s="71"/>
      <c r="F380" s="71"/>
      <c r="G380" s="71"/>
      <c r="H380" s="71"/>
      <c r="I380" s="71"/>
      <c r="J380" s="71"/>
      <c r="K380" s="71"/>
      <c r="M380" s="71"/>
      <c r="O380" s="71"/>
      <c r="P380" s="71"/>
      <c r="Q380" s="153" t="s">
        <v>43</v>
      </c>
      <c r="R380" s="153" t="s">
        <v>2038</v>
      </c>
      <c r="T380" s="118"/>
      <c r="AB380" s="12" t="n">
        <v>1.8</v>
      </c>
      <c r="AC380" s="46" t="s">
        <v>1816</v>
      </c>
      <c r="AD380" s="12" t="n">
        <v>24.16107</v>
      </c>
      <c r="AE380" s="12" t="n">
        <v>76.06542</v>
      </c>
    </row>
    <row r="381" customFormat="false" ht="15" hidden="false" customHeight="false" outlineLevel="0" collapsed="false">
      <c r="A381" s="71" t="s">
        <v>415</v>
      </c>
      <c r="B381" s="71" t="s">
        <v>1877</v>
      </c>
      <c r="C381" s="51" t="s">
        <v>2293</v>
      </c>
      <c r="D381" s="71" t="s">
        <v>1985</v>
      </c>
      <c r="E381" s="71"/>
      <c r="F381" s="71"/>
      <c r="G381" s="71"/>
      <c r="H381" s="71"/>
      <c r="I381" s="71"/>
      <c r="J381" s="71"/>
      <c r="K381" s="71"/>
      <c r="M381" s="71"/>
      <c r="O381" s="71"/>
      <c r="P381" s="71"/>
      <c r="Q381" s="153" t="s">
        <v>43</v>
      </c>
      <c r="R381" s="153" t="s">
        <v>2038</v>
      </c>
      <c r="T381" s="118"/>
      <c r="AB381" s="12" t="n">
        <v>1.8</v>
      </c>
      <c r="AC381" s="46" t="s">
        <v>1816</v>
      </c>
      <c r="AD381" s="12" t="n">
        <v>24.16058</v>
      </c>
      <c r="AE381" s="12" t="n">
        <v>76.06463</v>
      </c>
    </row>
    <row r="382" customFormat="false" ht="15" hidden="false" customHeight="false" outlineLevel="0" collapsed="false">
      <c r="A382" s="71" t="s">
        <v>415</v>
      </c>
      <c r="B382" s="71" t="s">
        <v>1877</v>
      </c>
      <c r="C382" s="51" t="s">
        <v>2293</v>
      </c>
      <c r="D382" s="71" t="s">
        <v>1985</v>
      </c>
      <c r="E382" s="71"/>
      <c r="F382" s="71"/>
      <c r="G382" s="71"/>
      <c r="H382" s="71"/>
      <c r="I382" s="71"/>
      <c r="J382" s="71"/>
      <c r="K382" s="71"/>
      <c r="M382" s="71"/>
      <c r="O382" s="71"/>
      <c r="P382" s="71"/>
      <c r="Q382" s="153" t="s">
        <v>43</v>
      </c>
      <c r="R382" s="153" t="s">
        <v>2038</v>
      </c>
      <c r="T382" s="118"/>
      <c r="AB382" s="12" t="n">
        <v>1.8</v>
      </c>
      <c r="AC382" s="46" t="s">
        <v>1816</v>
      </c>
      <c r="AD382" s="12" t="n">
        <v>24.16043</v>
      </c>
      <c r="AE382" s="12" t="n">
        <v>76.06301</v>
      </c>
    </row>
    <row r="383" customFormat="false" ht="15" hidden="false" customHeight="false" outlineLevel="0" collapsed="false">
      <c r="A383" s="71" t="s">
        <v>415</v>
      </c>
      <c r="B383" s="71" t="s">
        <v>1877</v>
      </c>
      <c r="C383" s="51" t="s">
        <v>2293</v>
      </c>
      <c r="D383" s="71" t="s">
        <v>1985</v>
      </c>
      <c r="E383" s="71"/>
      <c r="F383" s="71"/>
      <c r="G383" s="71"/>
      <c r="H383" s="71"/>
      <c r="I383" s="71"/>
      <c r="J383" s="71"/>
      <c r="K383" s="71"/>
      <c r="M383" s="71"/>
      <c r="O383" s="71"/>
      <c r="P383" s="71"/>
      <c r="Q383" s="153" t="s">
        <v>43</v>
      </c>
      <c r="R383" s="153" t="s">
        <v>2038</v>
      </c>
      <c r="T383" s="118"/>
      <c r="AB383" s="12" t="n">
        <v>1.8</v>
      </c>
      <c r="AC383" s="46" t="s">
        <v>1816</v>
      </c>
      <c r="AD383" s="12" t="n">
        <v>24.15814</v>
      </c>
      <c r="AE383" s="12" t="n">
        <v>76.0633</v>
      </c>
    </row>
    <row r="384" customFormat="false" ht="15" hidden="false" customHeight="false" outlineLevel="0" collapsed="false">
      <c r="A384" s="71" t="s">
        <v>415</v>
      </c>
      <c r="B384" s="71" t="s">
        <v>1877</v>
      </c>
      <c r="C384" s="51" t="s">
        <v>2293</v>
      </c>
      <c r="D384" s="71" t="s">
        <v>1985</v>
      </c>
      <c r="E384" s="71"/>
      <c r="F384" s="71"/>
      <c r="G384" s="71"/>
      <c r="H384" s="71"/>
      <c r="I384" s="71"/>
      <c r="J384" s="71"/>
      <c r="K384" s="71"/>
      <c r="M384" s="71"/>
      <c r="O384" s="71"/>
      <c r="P384" s="71"/>
      <c r="Q384" s="153" t="s">
        <v>43</v>
      </c>
      <c r="R384" s="153" t="s">
        <v>2038</v>
      </c>
      <c r="T384" s="118"/>
      <c r="AB384" s="12" t="n">
        <v>2.8</v>
      </c>
      <c r="AC384" s="46" t="s">
        <v>1816</v>
      </c>
      <c r="AD384" s="12" t="n">
        <v>24.16072</v>
      </c>
      <c r="AE384" s="12" t="n">
        <v>76.06377</v>
      </c>
    </row>
    <row r="385" customFormat="false" ht="15" hidden="false" customHeight="false" outlineLevel="0" collapsed="false">
      <c r="A385" s="71" t="s">
        <v>415</v>
      </c>
      <c r="B385" s="71" t="s">
        <v>1877</v>
      </c>
      <c r="C385" s="51" t="s">
        <v>2293</v>
      </c>
      <c r="D385" s="71" t="s">
        <v>1027</v>
      </c>
      <c r="E385" s="71" t="s">
        <v>2304</v>
      </c>
      <c r="F385" s="71" t="n">
        <v>505.76</v>
      </c>
      <c r="G385" s="71" t="n">
        <v>40</v>
      </c>
      <c r="H385" s="71" t="n">
        <v>188</v>
      </c>
      <c r="I385" s="71" t="n">
        <v>92</v>
      </c>
      <c r="J385" s="71" t="n">
        <v>96</v>
      </c>
      <c r="K385" s="71" t="n">
        <v>11</v>
      </c>
      <c r="L385" s="112" t="n">
        <f aca="false">K385/H385*100</f>
        <v>5.85106382978723</v>
      </c>
      <c r="M385" s="71" t="n">
        <v>0</v>
      </c>
      <c r="N385" s="112" t="n">
        <f aca="false">M385/H385*100</f>
        <v>0</v>
      </c>
      <c r="O385" s="71" t="n">
        <v>36.42</v>
      </c>
      <c r="P385" s="71" t="n">
        <v>15.29</v>
      </c>
      <c r="Q385" s="153" t="s">
        <v>45</v>
      </c>
      <c r="R385" s="153" t="s">
        <v>2038</v>
      </c>
      <c r="T385" s="118" t="n">
        <v>38.3944</v>
      </c>
      <c r="AB385" s="12" t="n">
        <v>2.4</v>
      </c>
      <c r="AC385" s="46" t="s">
        <v>859</v>
      </c>
      <c r="AD385" s="12"/>
      <c r="AE385" s="12"/>
    </row>
    <row r="386" customFormat="false" ht="15" hidden="false" customHeight="false" outlineLevel="0" collapsed="false">
      <c r="A386" s="71" t="s">
        <v>415</v>
      </c>
      <c r="B386" s="71" t="s">
        <v>1877</v>
      </c>
      <c r="C386" s="51" t="s">
        <v>2305</v>
      </c>
      <c r="D386" s="72" t="s">
        <v>2306</v>
      </c>
      <c r="E386" s="71" t="s">
        <v>2307</v>
      </c>
      <c r="F386" s="71" t="n">
        <v>1275.69</v>
      </c>
      <c r="G386" s="71" t="n">
        <v>544</v>
      </c>
      <c r="H386" s="71" t="n">
        <v>2792</v>
      </c>
      <c r="I386" s="71" t="n">
        <v>1405</v>
      </c>
      <c r="J386" s="71" t="n">
        <v>1387</v>
      </c>
      <c r="K386" s="71" t="n">
        <v>682</v>
      </c>
      <c r="L386" s="112" t="n">
        <f aca="false">K386/H386*100</f>
        <v>24.4269340974212</v>
      </c>
      <c r="M386" s="71" t="n">
        <v>26</v>
      </c>
      <c r="N386" s="112" t="n">
        <f aca="false">M386/H386*100</f>
        <v>0.931232091690544</v>
      </c>
      <c r="O386" s="71" t="n">
        <v>91.89</v>
      </c>
      <c r="P386" s="71" t="n">
        <v>0</v>
      </c>
      <c r="Q386" s="153" t="s">
        <v>45</v>
      </c>
      <c r="R386" s="153" t="s">
        <v>464</v>
      </c>
      <c r="T386" s="118" t="n">
        <v>96.8459</v>
      </c>
      <c r="AB386" s="12" t="n">
        <v>10.82</v>
      </c>
      <c r="AC386" s="56" t="s">
        <v>2261</v>
      </c>
      <c r="AD386" s="12" t="n">
        <v>24.308179</v>
      </c>
      <c r="AE386" s="12" t="n">
        <v>75.92248</v>
      </c>
    </row>
    <row r="387" customFormat="false" ht="15" hidden="false" customHeight="false" outlineLevel="0" collapsed="false">
      <c r="A387" s="71" t="s">
        <v>415</v>
      </c>
      <c r="B387" s="71" t="s">
        <v>1877</v>
      </c>
      <c r="C387" s="51" t="s">
        <v>2305</v>
      </c>
      <c r="D387" s="72" t="s">
        <v>2306</v>
      </c>
      <c r="E387" s="71"/>
      <c r="F387" s="71"/>
      <c r="G387" s="71"/>
      <c r="H387" s="71"/>
      <c r="I387" s="71"/>
      <c r="J387" s="71"/>
      <c r="K387" s="71"/>
      <c r="M387" s="71"/>
      <c r="O387" s="71"/>
      <c r="P387" s="71"/>
      <c r="Q387" s="153" t="s">
        <v>45</v>
      </c>
      <c r="R387" s="153" t="s">
        <v>464</v>
      </c>
      <c r="AB387" s="12" t="n">
        <v>8</v>
      </c>
      <c r="AC387" s="56" t="s">
        <v>2261</v>
      </c>
      <c r="AD387" s="12" t="n">
        <v>24.31945</v>
      </c>
      <c r="AE387" s="12" t="n">
        <v>75.91664</v>
      </c>
    </row>
    <row r="388" customFormat="false" ht="15" hidden="false" customHeight="false" outlineLevel="0" collapsed="false">
      <c r="A388" s="71" t="s">
        <v>415</v>
      </c>
      <c r="B388" s="71" t="s">
        <v>1877</v>
      </c>
      <c r="C388" s="51" t="s">
        <v>2305</v>
      </c>
      <c r="D388" s="71" t="s">
        <v>2308</v>
      </c>
      <c r="E388" s="71" t="s">
        <v>2309</v>
      </c>
      <c r="F388" s="71" t="n">
        <v>171.21</v>
      </c>
      <c r="G388" s="71" t="n">
        <v>104</v>
      </c>
      <c r="H388" s="71" t="n">
        <v>416</v>
      </c>
      <c r="I388" s="71" t="n">
        <v>212</v>
      </c>
      <c r="J388" s="71" t="n">
        <v>204</v>
      </c>
      <c r="K388" s="71" t="n">
        <v>415</v>
      </c>
      <c r="L388" s="112" t="n">
        <f aca="false">K388/H388*100</f>
        <v>99.7596153846154</v>
      </c>
      <c r="M388" s="71" t="n">
        <v>1</v>
      </c>
      <c r="N388" s="112" t="n">
        <f aca="false">M388/H388*100</f>
        <v>0.240384615384615</v>
      </c>
      <c r="O388" s="71" t="n">
        <v>0.82</v>
      </c>
      <c r="P388" s="71" t="n">
        <v>24.11</v>
      </c>
      <c r="Q388" s="153" t="s">
        <v>45</v>
      </c>
      <c r="R388" s="153" t="s">
        <v>464</v>
      </c>
      <c r="T388" s="118" t="n">
        <v>16.1241</v>
      </c>
      <c r="AB388" s="12" t="n">
        <v>0</v>
      </c>
      <c r="AC388" s="56" t="s">
        <v>2261</v>
      </c>
      <c r="AD388" s="12" t="n">
        <v>24.629412</v>
      </c>
      <c r="AE388" s="12" t="n">
        <v>75.72032</v>
      </c>
    </row>
    <row r="389" customFormat="false" ht="15" hidden="false" customHeight="false" outlineLevel="0" collapsed="false">
      <c r="A389" s="71" t="s">
        <v>415</v>
      </c>
      <c r="B389" s="71" t="s">
        <v>1877</v>
      </c>
      <c r="C389" s="51" t="s">
        <v>2305</v>
      </c>
      <c r="D389" s="71" t="s">
        <v>2310</v>
      </c>
      <c r="E389" s="71" t="s">
        <v>2311</v>
      </c>
      <c r="F389" s="71" t="n">
        <v>170.12</v>
      </c>
      <c r="G389" s="71" t="n">
        <v>56</v>
      </c>
      <c r="H389" s="71" t="n">
        <v>247</v>
      </c>
      <c r="I389" s="71" t="n">
        <v>122</v>
      </c>
      <c r="J389" s="71" t="n">
        <v>125</v>
      </c>
      <c r="K389" s="71" t="n">
        <v>215</v>
      </c>
      <c r="L389" s="112" t="n">
        <f aca="false">K389/H389*100</f>
        <v>87.0445344129555</v>
      </c>
      <c r="M389" s="71" t="n">
        <v>0</v>
      </c>
      <c r="N389" s="112" t="n">
        <f aca="false">M389/H389*100</f>
        <v>0</v>
      </c>
      <c r="O389" s="71" t="n">
        <v>19.75</v>
      </c>
      <c r="P389" s="71" t="n">
        <v>0</v>
      </c>
      <c r="Q389" s="153" t="s">
        <v>45</v>
      </c>
      <c r="R389" s="153" t="s">
        <v>464</v>
      </c>
      <c r="T389" s="118" t="n">
        <v>18.5776</v>
      </c>
      <c r="AB389" s="12" t="n">
        <v>0</v>
      </c>
      <c r="AC389" s="56" t="s">
        <v>2261</v>
      </c>
      <c r="AD389" s="12" t="n">
        <v>24.504783</v>
      </c>
      <c r="AE389" s="12" t="n">
        <v>75.56427</v>
      </c>
    </row>
    <row r="390" customFormat="false" ht="15" hidden="false" customHeight="false" outlineLevel="0" collapsed="false">
      <c r="A390" s="71" t="s">
        <v>415</v>
      </c>
      <c r="B390" s="71" t="s">
        <v>1877</v>
      </c>
      <c r="C390" s="51" t="s">
        <v>2305</v>
      </c>
      <c r="D390" s="71" t="s">
        <v>2312</v>
      </c>
      <c r="E390" s="71" t="s">
        <v>2313</v>
      </c>
      <c r="F390" s="71" t="n">
        <v>107.44</v>
      </c>
      <c r="G390" s="71" t="n">
        <v>0</v>
      </c>
      <c r="H390" s="71" t="n">
        <v>0</v>
      </c>
      <c r="I390" s="71" t="n">
        <v>0</v>
      </c>
      <c r="J390" s="71" t="n">
        <v>0</v>
      </c>
      <c r="K390" s="71" t="n">
        <v>0</v>
      </c>
      <c r="M390" s="71" t="n">
        <v>0</v>
      </c>
      <c r="O390" s="71" t="n">
        <v>0</v>
      </c>
      <c r="P390" s="71" t="n">
        <v>0</v>
      </c>
      <c r="Q390" s="153" t="s">
        <v>45</v>
      </c>
      <c r="R390" s="153" t="s">
        <v>464</v>
      </c>
      <c r="T390" s="118" t="n">
        <v>0.7588</v>
      </c>
      <c r="AB390" s="12" t="n">
        <v>0</v>
      </c>
      <c r="AC390" s="56" t="s">
        <v>2261</v>
      </c>
      <c r="AD390" s="12" t="n">
        <v>24.942161</v>
      </c>
      <c r="AE390" s="12" t="n">
        <v>75.60321</v>
      </c>
    </row>
    <row r="391" customFormat="false" ht="15" hidden="false" customHeight="false" outlineLevel="0" collapsed="false">
      <c r="A391" s="71" t="s">
        <v>415</v>
      </c>
      <c r="B391" s="71" t="s">
        <v>1877</v>
      </c>
      <c r="C391" s="51" t="s">
        <v>2314</v>
      </c>
      <c r="D391" s="72" t="s">
        <v>2315</v>
      </c>
      <c r="E391" s="71" t="s">
        <v>2316</v>
      </c>
      <c r="F391" s="71" t="n">
        <v>713.16</v>
      </c>
      <c r="G391" s="71" t="n">
        <v>277</v>
      </c>
      <c r="H391" s="71" t="n">
        <v>985</v>
      </c>
      <c r="I391" s="71" t="n">
        <v>516</v>
      </c>
      <c r="J391" s="71" t="n">
        <v>469</v>
      </c>
      <c r="K391" s="71" t="n">
        <v>81</v>
      </c>
      <c r="L391" s="112" t="n">
        <f aca="false">K391/H391*100</f>
        <v>8.22335025380711</v>
      </c>
      <c r="M391" s="71" t="n">
        <v>37</v>
      </c>
      <c r="N391" s="112" t="n">
        <f aca="false">M391/H391*100</f>
        <v>3.75634517766497</v>
      </c>
      <c r="O391" s="71" t="n">
        <v>60.94</v>
      </c>
      <c r="P391" s="71" t="n">
        <v>24.63</v>
      </c>
      <c r="Q391" s="153" t="s">
        <v>43</v>
      </c>
      <c r="R391" s="153" t="n">
        <v>2.102023</v>
      </c>
      <c r="T391" s="118" t="n">
        <v>61.6765</v>
      </c>
      <c r="AB391" s="12" t="n">
        <v>0</v>
      </c>
      <c r="AC391" s="46" t="s">
        <v>859</v>
      </c>
      <c r="AD391" s="12"/>
      <c r="AE391" s="12"/>
    </row>
    <row r="392" customFormat="false" ht="15" hidden="false" customHeight="false" outlineLevel="0" collapsed="false">
      <c r="A392" s="71" t="s">
        <v>415</v>
      </c>
      <c r="B392" s="71" t="s">
        <v>1877</v>
      </c>
      <c r="C392" s="51" t="s">
        <v>2314</v>
      </c>
      <c r="D392" s="72" t="s">
        <v>2315</v>
      </c>
      <c r="E392" s="71"/>
      <c r="F392" s="71"/>
      <c r="G392" s="71"/>
      <c r="H392" s="71"/>
      <c r="I392" s="71"/>
      <c r="J392" s="71"/>
      <c r="K392" s="71"/>
      <c r="M392" s="71"/>
      <c r="O392" s="71"/>
      <c r="P392" s="71"/>
      <c r="Q392" s="153" t="s">
        <v>43</v>
      </c>
      <c r="R392" s="153" t="n">
        <v>2.102023</v>
      </c>
      <c r="T392" s="118"/>
      <c r="AB392" s="10" t="n">
        <v>19</v>
      </c>
      <c r="AC392" s="46" t="s">
        <v>859</v>
      </c>
      <c r="AD392" s="10" t="s">
        <v>2317</v>
      </c>
      <c r="AE392" s="10" t="s">
        <v>2318</v>
      </c>
    </row>
    <row r="393" customFormat="false" ht="15" hidden="false" customHeight="false" outlineLevel="0" collapsed="false">
      <c r="A393" s="71" t="s">
        <v>415</v>
      </c>
      <c r="B393" s="71" t="s">
        <v>1877</v>
      </c>
      <c r="C393" s="51" t="s">
        <v>2314</v>
      </c>
      <c r="D393" s="71" t="s">
        <v>1862</v>
      </c>
      <c r="E393" s="71" t="s">
        <v>2319</v>
      </c>
      <c r="F393" s="71" t="n">
        <v>113.86</v>
      </c>
      <c r="G393" s="71" t="n">
        <v>9</v>
      </c>
      <c r="H393" s="71" t="n">
        <v>34</v>
      </c>
      <c r="I393" s="71" t="n">
        <v>18</v>
      </c>
      <c r="J393" s="71" t="n">
        <v>16</v>
      </c>
      <c r="K393" s="71" t="n">
        <v>4</v>
      </c>
      <c r="L393" s="112" t="n">
        <f aca="false">K393/H393*100</f>
        <v>11.7647058823529</v>
      </c>
      <c r="M393" s="71" t="n">
        <v>0</v>
      </c>
      <c r="N393" s="112" t="n">
        <f aca="false">M393/H393*100</f>
        <v>0</v>
      </c>
      <c r="O393" s="71" t="n">
        <v>0</v>
      </c>
      <c r="P393" s="71" t="n">
        <v>0</v>
      </c>
      <c r="Q393" s="117"/>
      <c r="R393" s="117"/>
      <c r="AB393" s="10"/>
      <c r="AD393" s="10"/>
      <c r="AE393" s="10"/>
    </row>
    <row r="394" customFormat="false" ht="15" hidden="false" customHeight="false" outlineLevel="0" collapsed="false">
      <c r="A394" s="71" t="s">
        <v>415</v>
      </c>
      <c r="B394" s="71" t="s">
        <v>1877</v>
      </c>
      <c r="C394" s="51" t="s">
        <v>2314</v>
      </c>
      <c r="D394" s="71" t="s">
        <v>1843</v>
      </c>
      <c r="E394" s="71" t="s">
        <v>2320</v>
      </c>
      <c r="F394" s="71" t="n">
        <v>245.24</v>
      </c>
      <c r="G394" s="71" t="n">
        <v>92</v>
      </c>
      <c r="H394" s="71" t="n">
        <v>459</v>
      </c>
      <c r="I394" s="71" t="n">
        <v>237</v>
      </c>
      <c r="J394" s="71" t="n">
        <v>222</v>
      </c>
      <c r="K394" s="71" t="n">
        <v>71</v>
      </c>
      <c r="L394" s="112" t="n">
        <f aca="false">K394/H394*100</f>
        <v>15.4684095860566</v>
      </c>
      <c r="M394" s="71" t="n">
        <v>0</v>
      </c>
      <c r="N394" s="112" t="n">
        <f aca="false">M394/H394*100</f>
        <v>0</v>
      </c>
      <c r="O394" s="71" t="n">
        <v>16.99</v>
      </c>
      <c r="P394" s="71" t="n">
        <v>0</v>
      </c>
      <c r="Q394" s="153" t="s">
        <v>43</v>
      </c>
      <c r="R394" s="153" t="n">
        <v>2.102023</v>
      </c>
      <c r="T394" s="118" t="n">
        <v>18.3247</v>
      </c>
      <c r="AB394" s="12" t="n">
        <v>0</v>
      </c>
      <c r="AC394" s="46" t="s">
        <v>859</v>
      </c>
      <c r="AD394" s="12"/>
      <c r="AE394" s="12"/>
    </row>
    <row r="395" customFormat="false" ht="15" hidden="false" customHeight="false" outlineLevel="0" collapsed="false">
      <c r="A395" s="71" t="s">
        <v>415</v>
      </c>
      <c r="B395" s="71" t="s">
        <v>1877</v>
      </c>
      <c r="C395" s="51" t="s">
        <v>2314</v>
      </c>
      <c r="D395" s="71" t="s">
        <v>2321</v>
      </c>
      <c r="E395" s="71" t="s">
        <v>2322</v>
      </c>
      <c r="F395" s="71" t="n">
        <v>111.36</v>
      </c>
      <c r="G395" s="71" t="n">
        <v>24</v>
      </c>
      <c r="H395" s="71" t="n">
        <v>112</v>
      </c>
      <c r="I395" s="71" t="n">
        <v>61</v>
      </c>
      <c r="J395" s="71" t="n">
        <v>51</v>
      </c>
      <c r="K395" s="71" t="n">
        <v>8</v>
      </c>
      <c r="L395" s="112" t="n">
        <f aca="false">K395/H395*100</f>
        <v>7.14285714285714</v>
      </c>
      <c r="M395" s="71" t="n">
        <v>0</v>
      </c>
      <c r="N395" s="112" t="n">
        <f aca="false">M395/H395*100</f>
        <v>0</v>
      </c>
      <c r="O395" s="71" t="n">
        <v>0</v>
      </c>
      <c r="P395" s="71" t="n">
        <v>0</v>
      </c>
      <c r="Q395" s="117"/>
      <c r="R395" s="117"/>
      <c r="AB395" s="10"/>
      <c r="AD395" s="10"/>
      <c r="AE395" s="10"/>
    </row>
    <row r="396" customFormat="false" ht="15" hidden="false" customHeight="false" outlineLevel="0" collapsed="false">
      <c r="A396" s="71" t="s">
        <v>415</v>
      </c>
      <c r="B396" s="71" t="s">
        <v>1877</v>
      </c>
      <c r="C396" s="51" t="s">
        <v>2314</v>
      </c>
      <c r="D396" s="71" t="s">
        <v>1532</v>
      </c>
      <c r="E396" s="71" t="s">
        <v>2323</v>
      </c>
      <c r="F396" s="71" t="n">
        <v>425.69</v>
      </c>
      <c r="G396" s="71" t="n">
        <v>219</v>
      </c>
      <c r="H396" s="71" t="n">
        <v>1077</v>
      </c>
      <c r="I396" s="71" t="n">
        <v>548</v>
      </c>
      <c r="J396" s="71" t="n">
        <v>529</v>
      </c>
      <c r="K396" s="71" t="n">
        <v>260</v>
      </c>
      <c r="L396" s="112" t="n">
        <f aca="false">K396/H396*100</f>
        <v>24.1411327762303</v>
      </c>
      <c r="M396" s="71" t="n">
        <v>17</v>
      </c>
      <c r="N396" s="112" t="n">
        <f aca="false">M396/H396*100</f>
        <v>1.57845868152275</v>
      </c>
      <c r="O396" s="71" t="n">
        <v>45.88</v>
      </c>
      <c r="P396" s="71" t="n">
        <v>0</v>
      </c>
      <c r="Q396" s="153" t="s">
        <v>43</v>
      </c>
      <c r="R396" s="153" t="n">
        <v>2.102023</v>
      </c>
      <c r="T396" s="118" t="n">
        <v>48.6002</v>
      </c>
      <c r="AB396" s="12" t="n">
        <v>0</v>
      </c>
      <c r="AC396" s="46" t="s">
        <v>859</v>
      </c>
      <c r="AD396" s="12"/>
      <c r="AE396" s="12"/>
    </row>
    <row r="397" customFormat="false" ht="15" hidden="false" customHeight="false" outlineLevel="0" collapsed="false">
      <c r="A397" s="71" t="s">
        <v>415</v>
      </c>
      <c r="B397" s="71" t="s">
        <v>1877</v>
      </c>
      <c r="C397" s="51" t="s">
        <v>2314</v>
      </c>
      <c r="D397" s="71" t="s">
        <v>2324</v>
      </c>
      <c r="E397" s="71" t="s">
        <v>2325</v>
      </c>
      <c r="F397" s="71" t="n">
        <v>260.8</v>
      </c>
      <c r="G397" s="71" t="n">
        <v>178</v>
      </c>
      <c r="H397" s="71" t="n">
        <v>906</v>
      </c>
      <c r="I397" s="71" t="n">
        <v>458</v>
      </c>
      <c r="J397" s="71" t="n">
        <v>448</v>
      </c>
      <c r="K397" s="71" t="n">
        <v>158</v>
      </c>
      <c r="L397" s="112" t="n">
        <f aca="false">K397/H397*100</f>
        <v>17.439293598234</v>
      </c>
      <c r="M397" s="71" t="n">
        <v>0</v>
      </c>
      <c r="N397" s="112" t="n">
        <f aca="false">M397/H397*100</f>
        <v>0</v>
      </c>
      <c r="O397" s="71" t="n">
        <v>55.23</v>
      </c>
      <c r="P397" s="71" t="n">
        <v>46.12</v>
      </c>
      <c r="Q397" s="153" t="s">
        <v>43</v>
      </c>
      <c r="R397" s="153" t="n">
        <v>2.102023</v>
      </c>
      <c r="T397" s="118" t="n">
        <v>55.2395</v>
      </c>
      <c r="AB397" s="12" t="n">
        <v>0</v>
      </c>
      <c r="AC397" s="46" t="s">
        <v>859</v>
      </c>
      <c r="AD397" s="12"/>
      <c r="AE397" s="12"/>
    </row>
    <row r="398" customFormat="false" ht="15" hidden="false" customHeight="false" outlineLevel="0" collapsed="false">
      <c r="A398" s="71" t="s">
        <v>415</v>
      </c>
      <c r="B398" s="71" t="s">
        <v>1877</v>
      </c>
      <c r="C398" s="51" t="s">
        <v>2314</v>
      </c>
      <c r="D398" s="71" t="s">
        <v>2326</v>
      </c>
      <c r="E398" s="71" t="s">
        <v>2327</v>
      </c>
      <c r="F398" s="71" t="n">
        <v>225.57</v>
      </c>
      <c r="G398" s="71" t="n">
        <v>156</v>
      </c>
      <c r="H398" s="71" t="n">
        <v>677</v>
      </c>
      <c r="I398" s="71" t="n">
        <v>339</v>
      </c>
      <c r="J398" s="71" t="n">
        <v>338</v>
      </c>
      <c r="K398" s="71" t="n">
        <v>95</v>
      </c>
      <c r="L398" s="112" t="n">
        <f aca="false">K398/H398*100</f>
        <v>14.0324963072378</v>
      </c>
      <c r="M398" s="71" t="n">
        <v>0</v>
      </c>
      <c r="N398" s="112" t="n">
        <f aca="false">M398/H398*100</f>
        <v>0</v>
      </c>
      <c r="O398" s="71" t="n">
        <v>50.68</v>
      </c>
      <c r="P398" s="71" t="n">
        <v>35.93</v>
      </c>
      <c r="Q398" s="153" t="s">
        <v>43</v>
      </c>
      <c r="R398" s="153" t="n">
        <v>2.102023</v>
      </c>
      <c r="T398" s="118" t="n">
        <v>50.6868</v>
      </c>
      <c r="AB398" s="12" t="n">
        <v>0</v>
      </c>
      <c r="AC398" s="46" t="s">
        <v>859</v>
      </c>
      <c r="AD398" s="12"/>
      <c r="AE398" s="12"/>
    </row>
    <row r="399" customFormat="false" ht="15" hidden="false" customHeight="false" outlineLevel="0" collapsed="false">
      <c r="A399" s="71" t="s">
        <v>415</v>
      </c>
      <c r="B399" s="71" t="s">
        <v>1877</v>
      </c>
      <c r="C399" s="51" t="s">
        <v>2328</v>
      </c>
      <c r="D399" s="72" t="s">
        <v>2329</v>
      </c>
      <c r="E399" s="71" t="s">
        <v>2330</v>
      </c>
      <c r="F399" s="71" t="n">
        <v>2627.71</v>
      </c>
      <c r="G399" s="71" t="n">
        <v>2782</v>
      </c>
      <c r="H399" s="71" t="n">
        <v>14696</v>
      </c>
      <c r="I399" s="71" t="n">
        <v>7537</v>
      </c>
      <c r="J399" s="71" t="n">
        <v>7159</v>
      </c>
      <c r="K399" s="71" t="n">
        <v>1463</v>
      </c>
      <c r="L399" s="112" t="n">
        <f aca="false">K399/H399*100</f>
        <v>9.95508982035928</v>
      </c>
      <c r="M399" s="71" t="n">
        <v>263</v>
      </c>
      <c r="N399" s="112" t="n">
        <f aca="false">M399/H399*100</f>
        <v>1.78960261295591</v>
      </c>
      <c r="O399" s="71" t="n">
        <v>91</v>
      </c>
      <c r="P399" s="71" t="n">
        <v>0</v>
      </c>
      <c r="Q399" s="153" t="s">
        <v>43</v>
      </c>
      <c r="R399" s="153" t="s">
        <v>2331</v>
      </c>
      <c r="T399" s="118" t="n">
        <v>90.9906</v>
      </c>
      <c r="AB399" s="12" t="n">
        <v>5</v>
      </c>
      <c r="AC399" s="56" t="s">
        <v>859</v>
      </c>
      <c r="AD399" s="12" t="n">
        <v>24.368657</v>
      </c>
      <c r="AE399" s="12" t="n">
        <v>75.929555</v>
      </c>
    </row>
    <row r="400" customFormat="false" ht="15" hidden="false" customHeight="false" outlineLevel="0" collapsed="false">
      <c r="A400" s="71" t="s">
        <v>415</v>
      </c>
      <c r="B400" s="71" t="s">
        <v>1877</v>
      </c>
      <c r="C400" s="51" t="s">
        <v>2332</v>
      </c>
      <c r="D400" s="72" t="s">
        <v>2333</v>
      </c>
      <c r="E400" s="71" t="s">
        <v>2334</v>
      </c>
      <c r="F400" s="71" t="n">
        <v>686</v>
      </c>
      <c r="G400" s="71" t="n">
        <v>293</v>
      </c>
      <c r="H400" s="71" t="n">
        <v>1727</v>
      </c>
      <c r="I400" s="71" t="n">
        <v>869</v>
      </c>
      <c r="J400" s="71" t="n">
        <v>858</v>
      </c>
      <c r="K400" s="71" t="n">
        <v>213</v>
      </c>
      <c r="L400" s="112" t="n">
        <f aca="false">K400/H400*100</f>
        <v>12.3335263462652</v>
      </c>
      <c r="M400" s="71" t="n">
        <v>94</v>
      </c>
      <c r="N400" s="112" t="n">
        <f aca="false">M400/H400*100</f>
        <v>5.44296467863347</v>
      </c>
      <c r="O400" s="71" t="n">
        <v>26</v>
      </c>
      <c r="P400" s="71" t="n">
        <v>0</v>
      </c>
      <c r="Q400" s="153" t="s">
        <v>45</v>
      </c>
      <c r="R400" s="153" t="s">
        <v>2335</v>
      </c>
      <c r="T400" s="118" t="n">
        <v>29.1247</v>
      </c>
      <c r="AB400" s="12" t="n">
        <v>0</v>
      </c>
      <c r="AC400" s="46" t="s">
        <v>859</v>
      </c>
      <c r="AD400" s="12"/>
      <c r="AE400" s="12"/>
    </row>
    <row r="401" customFormat="false" ht="15" hidden="false" customHeight="false" outlineLevel="0" collapsed="false">
      <c r="A401" s="71" t="s">
        <v>415</v>
      </c>
      <c r="B401" s="71" t="s">
        <v>1877</v>
      </c>
      <c r="C401" s="51" t="s">
        <v>2332</v>
      </c>
      <c r="D401" s="72" t="s">
        <v>2333</v>
      </c>
      <c r="E401" s="71"/>
      <c r="F401" s="71"/>
      <c r="G401" s="71"/>
      <c r="H401" s="71"/>
      <c r="I401" s="71"/>
      <c r="J401" s="71"/>
      <c r="K401" s="71"/>
      <c r="M401" s="71"/>
      <c r="O401" s="71"/>
      <c r="P401" s="71"/>
      <c r="Q401" s="153" t="s">
        <v>45</v>
      </c>
      <c r="R401" s="153" t="s">
        <v>2335</v>
      </c>
      <c r="AB401" s="12" t="n">
        <v>10</v>
      </c>
      <c r="AC401" s="46" t="s">
        <v>859</v>
      </c>
      <c r="AD401" s="12" t="n">
        <v>24.324251</v>
      </c>
      <c r="AE401" s="12" t="n">
        <v>76.169782</v>
      </c>
    </row>
    <row r="402" customFormat="false" ht="15" hidden="false" customHeight="false" outlineLevel="0" collapsed="false">
      <c r="A402" s="71" t="s">
        <v>415</v>
      </c>
      <c r="B402" s="71" t="s">
        <v>1877</v>
      </c>
      <c r="C402" s="51" t="s">
        <v>2332</v>
      </c>
      <c r="D402" s="72" t="s">
        <v>2333</v>
      </c>
      <c r="E402" s="71"/>
      <c r="F402" s="71"/>
      <c r="G402" s="71"/>
      <c r="H402" s="71"/>
      <c r="I402" s="71"/>
      <c r="J402" s="71"/>
      <c r="K402" s="71"/>
      <c r="M402" s="71"/>
      <c r="O402" s="71"/>
      <c r="P402" s="71"/>
      <c r="Q402" s="153" t="s">
        <v>45</v>
      </c>
      <c r="R402" s="153" t="s">
        <v>2335</v>
      </c>
      <c r="AB402" s="12" t="n">
        <v>5</v>
      </c>
      <c r="AC402" s="46" t="s">
        <v>859</v>
      </c>
      <c r="AD402" s="12" t="n">
        <v>24.32592</v>
      </c>
      <c r="AE402" s="12" t="n">
        <v>76.163963</v>
      </c>
    </row>
    <row r="403" customFormat="false" ht="15" hidden="false" customHeight="false" outlineLevel="0" collapsed="false">
      <c r="A403" s="71" t="s">
        <v>415</v>
      </c>
      <c r="B403" s="71" t="s">
        <v>1877</v>
      </c>
      <c r="C403" s="51" t="s">
        <v>2332</v>
      </c>
      <c r="D403" s="71" t="s">
        <v>2336</v>
      </c>
      <c r="E403" s="71" t="s">
        <v>2337</v>
      </c>
      <c r="F403" s="71" t="n">
        <v>299</v>
      </c>
      <c r="G403" s="71" t="n">
        <v>141</v>
      </c>
      <c r="H403" s="71" t="n">
        <v>861</v>
      </c>
      <c r="I403" s="71" t="n">
        <v>423</v>
      </c>
      <c r="J403" s="71" t="n">
        <v>438</v>
      </c>
      <c r="K403" s="71" t="n">
        <v>235</v>
      </c>
      <c r="L403" s="112" t="n">
        <f aca="false">K403/H403*100</f>
        <v>27.2938443670151</v>
      </c>
      <c r="M403" s="71" t="n">
        <v>3</v>
      </c>
      <c r="N403" s="112" t="n">
        <f aca="false">M403/H403*100</f>
        <v>0.348432055749129</v>
      </c>
      <c r="O403" s="71" t="n">
        <v>0</v>
      </c>
      <c r="P403" s="71" t="n">
        <v>0</v>
      </c>
      <c r="Q403" s="153" t="s">
        <v>43</v>
      </c>
      <c r="R403" s="153" t="s">
        <v>2338</v>
      </c>
      <c r="T403" s="118" t="n">
        <v>0</v>
      </c>
      <c r="AB403" s="12" t="n">
        <v>0</v>
      </c>
      <c r="AC403" s="17" t="s">
        <v>859</v>
      </c>
      <c r="AD403" s="226"/>
      <c r="AE403" s="226"/>
    </row>
    <row r="404" customFormat="false" ht="15" hidden="false" customHeight="false" outlineLevel="0" collapsed="false">
      <c r="A404" s="71" t="s">
        <v>415</v>
      </c>
      <c r="B404" s="71" t="s">
        <v>1877</v>
      </c>
      <c r="C404" s="51" t="s">
        <v>2332</v>
      </c>
      <c r="D404" s="71" t="s">
        <v>96</v>
      </c>
      <c r="E404" s="71" t="s">
        <v>2339</v>
      </c>
      <c r="F404" s="71" t="n">
        <v>140</v>
      </c>
      <c r="G404" s="71" t="n">
        <v>132</v>
      </c>
      <c r="H404" s="71" t="n">
        <v>692</v>
      </c>
      <c r="I404" s="71" t="n">
        <v>356</v>
      </c>
      <c r="J404" s="71" t="n">
        <v>336</v>
      </c>
      <c r="K404" s="71" t="n">
        <v>96</v>
      </c>
      <c r="L404" s="112" t="n">
        <f aca="false">K404/H404*100</f>
        <v>13.8728323699422</v>
      </c>
      <c r="M404" s="71" t="n">
        <v>0</v>
      </c>
      <c r="N404" s="112" t="n">
        <f aca="false">M404/H404*100</f>
        <v>0</v>
      </c>
      <c r="O404" s="71" t="n">
        <v>0</v>
      </c>
      <c r="P404" s="71" t="n">
        <v>0</v>
      </c>
      <c r="Q404" s="153" t="s">
        <v>43</v>
      </c>
      <c r="R404" s="153" t="s">
        <v>2338</v>
      </c>
      <c r="T404" s="146" t="n">
        <v>0</v>
      </c>
      <c r="AB404" s="12" t="n">
        <v>0</v>
      </c>
      <c r="AC404" s="17" t="s">
        <v>859</v>
      </c>
      <c r="AD404" s="226"/>
      <c r="AE404" s="226"/>
    </row>
    <row r="405" customFormat="false" ht="15" hidden="false" customHeight="false" outlineLevel="0" collapsed="false">
      <c r="A405" s="71" t="s">
        <v>415</v>
      </c>
      <c r="B405" s="71" t="s">
        <v>1877</v>
      </c>
      <c r="C405" s="51" t="s">
        <v>2332</v>
      </c>
      <c r="D405" s="71" t="s">
        <v>2340</v>
      </c>
      <c r="E405" s="71" t="s">
        <v>2341</v>
      </c>
      <c r="F405" s="71" t="n">
        <v>254</v>
      </c>
      <c r="G405" s="71" t="n">
        <v>272</v>
      </c>
      <c r="H405" s="71" t="n">
        <v>1301</v>
      </c>
      <c r="I405" s="71" t="n">
        <v>665</v>
      </c>
      <c r="J405" s="71" t="n">
        <v>636</v>
      </c>
      <c r="K405" s="71" t="n">
        <v>0</v>
      </c>
      <c r="L405" s="112" t="n">
        <f aca="false">K405/H405*100</f>
        <v>0</v>
      </c>
      <c r="M405" s="71" t="n">
        <v>0</v>
      </c>
      <c r="N405" s="112" t="n">
        <f aca="false">M405/H405*100</f>
        <v>0</v>
      </c>
      <c r="O405" s="71" t="n">
        <v>23</v>
      </c>
      <c r="P405" s="71" t="n">
        <v>0</v>
      </c>
      <c r="Q405" s="153" t="s">
        <v>45</v>
      </c>
      <c r="R405" s="153" t="s">
        <v>2335</v>
      </c>
      <c r="T405" s="118" t="n">
        <v>23.8638</v>
      </c>
      <c r="AB405" s="12" t="n">
        <v>0</v>
      </c>
      <c r="AC405" s="46" t="s">
        <v>859</v>
      </c>
      <c r="AD405" s="12"/>
      <c r="AE405" s="12"/>
    </row>
    <row r="406" customFormat="false" ht="15" hidden="false" customHeight="false" outlineLevel="0" collapsed="false">
      <c r="A406" s="71" t="s">
        <v>415</v>
      </c>
      <c r="B406" s="71" t="s">
        <v>1877</v>
      </c>
      <c r="C406" s="51" t="s">
        <v>1869</v>
      </c>
      <c r="D406" s="72" t="s">
        <v>1870</v>
      </c>
      <c r="E406" s="71" t="s">
        <v>2342</v>
      </c>
      <c r="F406" s="71" t="n">
        <v>901.8</v>
      </c>
      <c r="G406" s="71" t="n">
        <v>481</v>
      </c>
      <c r="H406" s="71" t="n">
        <v>2399</v>
      </c>
      <c r="I406" s="71" t="n">
        <v>1202</v>
      </c>
      <c r="J406" s="71" t="n">
        <v>1197</v>
      </c>
      <c r="K406" s="71" t="n">
        <v>447</v>
      </c>
      <c r="L406" s="112" t="n">
        <f aca="false">K406/H406*100</f>
        <v>18.6327636515215</v>
      </c>
      <c r="M406" s="71" t="n">
        <v>28</v>
      </c>
      <c r="N406" s="112" t="n">
        <f aca="false">M406/H406*100</f>
        <v>1.1671529804085</v>
      </c>
      <c r="O406" s="71" t="n">
        <v>74.2</v>
      </c>
      <c r="P406" s="71" t="n">
        <v>133.53</v>
      </c>
      <c r="Q406" s="153" t="s">
        <v>45</v>
      </c>
      <c r="R406" s="153" t="s">
        <v>464</v>
      </c>
      <c r="T406" s="118" t="n">
        <v>79.44</v>
      </c>
      <c r="V406" s="112" t="s">
        <v>43</v>
      </c>
      <c r="W406" s="112" t="s">
        <v>43</v>
      </c>
      <c r="X406" s="112" t="s">
        <v>43</v>
      </c>
      <c r="Y406" s="112" t="s">
        <v>43</v>
      </c>
      <c r="Z406" s="112" t="s">
        <v>43</v>
      </c>
      <c r="AA406" s="112" t="s">
        <v>43</v>
      </c>
      <c r="AB406" s="12" t="n">
        <v>5.2</v>
      </c>
      <c r="AC406" s="46" t="s">
        <v>859</v>
      </c>
      <c r="AD406" s="12" t="n">
        <v>24.34</v>
      </c>
      <c r="AE406" s="12" t="n">
        <v>76</v>
      </c>
    </row>
    <row r="407" customFormat="false" ht="15" hidden="false" customHeight="false" outlineLevel="0" collapsed="false">
      <c r="A407" s="71" t="s">
        <v>415</v>
      </c>
      <c r="B407" s="71" t="s">
        <v>1877</v>
      </c>
      <c r="C407" s="51" t="s">
        <v>1869</v>
      </c>
      <c r="D407" s="72" t="s">
        <v>1870</v>
      </c>
      <c r="E407" s="71"/>
      <c r="F407" s="71"/>
      <c r="G407" s="71"/>
      <c r="H407" s="71"/>
      <c r="I407" s="71"/>
      <c r="J407" s="71"/>
      <c r="K407" s="71"/>
      <c r="M407" s="71"/>
      <c r="O407" s="71"/>
      <c r="P407" s="71"/>
      <c r="Q407" s="153" t="s">
        <v>45</v>
      </c>
      <c r="R407" s="153" t="s">
        <v>464</v>
      </c>
      <c r="AB407" s="12" t="n">
        <v>11</v>
      </c>
      <c r="AC407" s="46" t="s">
        <v>859</v>
      </c>
      <c r="AD407" s="12" t="n">
        <v>24.333052</v>
      </c>
      <c r="AE407" s="12" t="n">
        <v>76.028771</v>
      </c>
    </row>
    <row r="408" customFormat="false" ht="15" hidden="false" customHeight="false" outlineLevel="0" collapsed="false">
      <c r="A408" s="71" t="s">
        <v>415</v>
      </c>
      <c r="B408" s="71" t="s">
        <v>1877</v>
      </c>
      <c r="C408" s="51" t="s">
        <v>1869</v>
      </c>
      <c r="D408" s="72" t="s">
        <v>1870</v>
      </c>
      <c r="E408" s="71"/>
      <c r="F408" s="71"/>
      <c r="G408" s="71"/>
      <c r="H408" s="71"/>
      <c r="I408" s="71"/>
      <c r="J408" s="71"/>
      <c r="K408" s="71"/>
      <c r="M408" s="71"/>
      <c r="O408" s="71"/>
      <c r="P408" s="71"/>
      <c r="Q408" s="153" t="s">
        <v>45</v>
      </c>
      <c r="R408" s="153" t="s">
        <v>464</v>
      </c>
      <c r="AB408" s="12" t="n">
        <v>4</v>
      </c>
      <c r="AC408" s="46" t="s">
        <v>859</v>
      </c>
      <c r="AD408" s="12" t="n">
        <v>24.33317</v>
      </c>
      <c r="AE408" s="12" t="n">
        <v>76.028807</v>
      </c>
    </row>
    <row r="409" customFormat="false" ht="15" hidden="false" customHeight="false" outlineLevel="0" collapsed="false">
      <c r="A409" s="71" t="s">
        <v>415</v>
      </c>
      <c r="B409" s="71" t="s">
        <v>1877</v>
      </c>
      <c r="C409" s="51" t="s">
        <v>1869</v>
      </c>
      <c r="D409" s="72" t="s">
        <v>1870</v>
      </c>
      <c r="E409" s="71"/>
      <c r="F409" s="71"/>
      <c r="G409" s="71"/>
      <c r="H409" s="71"/>
      <c r="I409" s="71"/>
      <c r="J409" s="71"/>
      <c r="K409" s="71"/>
      <c r="M409" s="71"/>
      <c r="O409" s="71"/>
      <c r="P409" s="71"/>
      <c r="Q409" s="153" t="s">
        <v>45</v>
      </c>
      <c r="R409" s="153" t="s">
        <v>464</v>
      </c>
      <c r="AB409" s="12" t="n">
        <v>15</v>
      </c>
      <c r="AC409" s="46" t="s">
        <v>859</v>
      </c>
      <c r="AD409" s="12" t="n">
        <v>24.333232</v>
      </c>
      <c r="AE409" s="12" t="n">
        <v>76.029013</v>
      </c>
    </row>
    <row r="410" customFormat="false" ht="15" hidden="false" customHeight="false" outlineLevel="0" collapsed="false">
      <c r="A410" s="71" t="s">
        <v>415</v>
      </c>
      <c r="B410" s="71" t="s">
        <v>1877</v>
      </c>
      <c r="C410" s="51" t="s">
        <v>1869</v>
      </c>
      <c r="D410" s="71" t="s">
        <v>2343</v>
      </c>
      <c r="E410" s="71" t="s">
        <v>2344</v>
      </c>
      <c r="F410" s="71" t="n">
        <v>183.09</v>
      </c>
      <c r="G410" s="71" t="n">
        <v>82</v>
      </c>
      <c r="H410" s="71" t="n">
        <v>501</v>
      </c>
      <c r="I410" s="71" t="n">
        <v>254</v>
      </c>
      <c r="J410" s="71" t="n">
        <v>247</v>
      </c>
      <c r="K410" s="71" t="n">
        <v>67</v>
      </c>
      <c r="L410" s="112" t="n">
        <f aca="false">K410/H410*100</f>
        <v>13.373253493014</v>
      </c>
      <c r="M410" s="71" t="n">
        <v>0</v>
      </c>
      <c r="N410" s="112" t="n">
        <f aca="false">M410/H410*100</f>
        <v>0</v>
      </c>
      <c r="O410" s="71" t="n">
        <v>22.09</v>
      </c>
      <c r="P410" s="71" t="n">
        <v>0</v>
      </c>
      <c r="Q410" s="153" t="s">
        <v>45</v>
      </c>
      <c r="R410" s="153" t="s">
        <v>464</v>
      </c>
      <c r="T410" s="118" t="n">
        <v>22.09</v>
      </c>
      <c r="AB410" s="12" t="n">
        <v>5</v>
      </c>
      <c r="AC410" s="46" t="s">
        <v>859</v>
      </c>
      <c r="AD410" s="12" t="n">
        <v>24.3</v>
      </c>
      <c r="AE410" s="12" t="n">
        <v>76.01</v>
      </c>
    </row>
    <row r="411" customFormat="false" ht="15" hidden="false" customHeight="false" outlineLevel="0" collapsed="false">
      <c r="A411" s="71" t="s">
        <v>415</v>
      </c>
      <c r="B411" s="71" t="s">
        <v>1877</v>
      </c>
      <c r="C411" s="51" t="s">
        <v>1869</v>
      </c>
      <c r="D411" s="71" t="s">
        <v>2345</v>
      </c>
      <c r="E411" s="71" t="s">
        <v>2346</v>
      </c>
      <c r="F411" s="71" t="n">
        <v>441.42</v>
      </c>
      <c r="G411" s="71" t="n">
        <v>189</v>
      </c>
      <c r="H411" s="71" t="n">
        <v>949</v>
      </c>
      <c r="I411" s="71" t="n">
        <v>465</v>
      </c>
      <c r="J411" s="71" t="n">
        <v>484</v>
      </c>
      <c r="K411" s="71" t="n">
        <v>202</v>
      </c>
      <c r="L411" s="112" t="n">
        <f aca="false">K411/H411*100</f>
        <v>21.2855637513172</v>
      </c>
      <c r="M411" s="71" t="n">
        <v>65</v>
      </c>
      <c r="N411" s="112" t="n">
        <f aca="false">M411/H411*100</f>
        <v>6.84931506849315</v>
      </c>
      <c r="O411" s="71" t="n">
        <v>45.34</v>
      </c>
      <c r="P411" s="71" t="n">
        <v>0</v>
      </c>
      <c r="Q411" s="153" t="s">
        <v>45</v>
      </c>
      <c r="R411" s="153" t="s">
        <v>464</v>
      </c>
      <c r="T411" s="118" t="n">
        <v>50.37</v>
      </c>
      <c r="AB411" s="12" t="n">
        <v>7</v>
      </c>
      <c r="AC411" s="46" t="s">
        <v>859</v>
      </c>
      <c r="AD411" s="12" t="n">
        <v>24.32</v>
      </c>
      <c r="AE411" s="12" t="n">
        <v>76.03</v>
      </c>
    </row>
    <row r="412" customFormat="false" ht="15" hidden="false" customHeight="false" outlineLevel="0" collapsed="false">
      <c r="A412" s="71" t="s">
        <v>415</v>
      </c>
      <c r="B412" s="71" t="s">
        <v>1877</v>
      </c>
      <c r="C412" s="71"/>
      <c r="D412" s="71" t="s">
        <v>2347</v>
      </c>
      <c r="E412" s="71" t="s">
        <v>2348</v>
      </c>
      <c r="F412" s="71" t="n">
        <v>0</v>
      </c>
      <c r="G412" s="71" t="n">
        <v>0</v>
      </c>
      <c r="H412" s="71" t="n">
        <v>0</v>
      </c>
      <c r="I412" s="71" t="n">
        <v>0</v>
      </c>
      <c r="J412" s="71" t="n">
        <v>0</v>
      </c>
      <c r="K412" s="71" t="n">
        <v>0</v>
      </c>
      <c r="L412" s="112" t="e">
        <f aca="false">K412/H412*100</f>
        <v>#DIV/0!</v>
      </c>
      <c r="M412" s="71" t="n">
        <v>0</v>
      </c>
      <c r="O412" s="71" t="n">
        <v>0</v>
      </c>
      <c r="P412" s="71" t="n">
        <v>0</v>
      </c>
    </row>
    <row r="414" customFormat="false" ht="15" hidden="false" customHeight="false" outlineLevel="0" collapsed="false">
      <c r="AD414" s="235"/>
      <c r="AE414" s="46"/>
    </row>
    <row r="415" customFormat="false" ht="15" hidden="false" customHeight="false" outlineLevel="0" collapsed="false">
      <c r="AD415" s="235"/>
      <c r="AE415" s="46"/>
    </row>
    <row r="416" customFormat="false" ht="15" hidden="false" customHeight="false" outlineLevel="0" collapsed="false">
      <c r="AD416" s="235"/>
      <c r="AE416" s="46"/>
    </row>
    <row r="417" customFormat="false" ht="15" hidden="false" customHeight="false" outlineLevel="0" collapsed="false">
      <c r="AC417" s="112"/>
      <c r="AD417" s="236"/>
      <c r="AE417" s="46"/>
    </row>
    <row r="418" customFormat="false" ht="15" hidden="false" customHeight="false" outlineLevel="0" collapsed="false">
      <c r="AC418" s="112"/>
      <c r="AD418" s="236"/>
      <c r="AE418" s="46"/>
    </row>
    <row r="419" customFormat="false" ht="15" hidden="false" customHeight="false" outlineLevel="0" collapsed="false">
      <c r="AC419" s="112"/>
      <c r="AD419" s="236"/>
      <c r="AE419" s="46"/>
    </row>
    <row r="420" customFormat="false" ht="15" hidden="false" customHeight="false" outlineLevel="0" collapsed="false">
      <c r="AC420" s="112"/>
      <c r="AD420" s="236"/>
      <c r="AE420" s="46"/>
    </row>
    <row r="421" customFormat="false" ht="15" hidden="false" customHeight="false" outlineLevel="0" collapsed="false">
      <c r="AC421" s="112"/>
      <c r="AD421" s="236"/>
      <c r="AE421" s="46"/>
    </row>
    <row r="422" customFormat="false" ht="15" hidden="false" customHeight="false" outlineLevel="0" collapsed="false">
      <c r="AC422" s="112"/>
      <c r="AD422" s="236"/>
      <c r="AE422" s="46"/>
    </row>
    <row r="423" customFormat="false" ht="15" hidden="false" customHeight="false" outlineLevel="0" collapsed="false">
      <c r="AC423" s="112"/>
      <c r="AD423" s="236"/>
      <c r="AE423" s="46"/>
    </row>
    <row r="424" customFormat="false" ht="15" hidden="false" customHeight="false" outlineLevel="0" collapsed="false">
      <c r="AC424" s="112"/>
      <c r="AD424" s="236"/>
      <c r="AE424" s="46"/>
    </row>
    <row r="425" customFormat="false" ht="15" hidden="false" customHeight="false" outlineLevel="0" collapsed="false">
      <c r="AC425" s="112"/>
      <c r="AD425" s="236"/>
      <c r="AE425" s="47"/>
    </row>
    <row r="426" customFormat="false" ht="15" hidden="false" customHeight="false" outlineLevel="0" collapsed="false">
      <c r="AC426" s="112"/>
      <c r="AD426" s="236"/>
      <c r="AE426" s="46"/>
    </row>
    <row r="427" customFormat="false" ht="15" hidden="false" customHeight="false" outlineLevel="0" collapsed="false">
      <c r="AC427" s="112"/>
      <c r="AD427" s="235"/>
      <c r="AE427" s="46"/>
    </row>
    <row r="428" customFormat="false" ht="15" hidden="false" customHeight="false" outlineLevel="0" collapsed="false">
      <c r="AC428" s="112"/>
      <c r="AD428" s="235"/>
      <c r="AE428" s="46"/>
    </row>
    <row r="429" customFormat="false" ht="15" hidden="false" customHeight="false" outlineLevel="0" collapsed="false">
      <c r="AC429" s="112"/>
      <c r="AD429" s="236"/>
      <c r="AE429" s="46"/>
    </row>
    <row r="430" customFormat="false" ht="15" hidden="false" customHeight="false" outlineLevel="0" collapsed="false">
      <c r="AC430" s="112"/>
      <c r="AD430" s="236"/>
      <c r="AE430" s="46"/>
    </row>
    <row r="431" customFormat="false" ht="15" hidden="false" customHeight="false" outlineLevel="0" collapsed="false">
      <c r="AC431" s="112"/>
      <c r="AD431" s="236"/>
      <c r="AE431" s="46"/>
    </row>
    <row r="432" customFormat="false" ht="15" hidden="false" customHeight="false" outlineLevel="0" collapsed="false">
      <c r="AC432" s="112"/>
      <c r="AD432" s="236"/>
      <c r="AE432" s="46"/>
    </row>
    <row r="433" customFormat="false" ht="15" hidden="false" customHeight="false" outlineLevel="0" collapsed="false">
      <c r="AC433" s="112"/>
      <c r="AD433" s="236"/>
      <c r="AE433" s="46"/>
    </row>
    <row r="434" customFormat="false" ht="15" hidden="false" customHeight="false" outlineLevel="0" collapsed="false">
      <c r="AC434" s="112"/>
      <c r="AD434" s="236"/>
      <c r="AE434" s="46"/>
    </row>
    <row r="435" customFormat="false" ht="15" hidden="false" customHeight="false" outlineLevel="0" collapsed="false">
      <c r="AC435" s="112"/>
      <c r="AD435" s="236"/>
      <c r="AE435" s="46"/>
    </row>
    <row r="436" customFormat="false" ht="15" hidden="false" customHeight="false" outlineLevel="0" collapsed="false">
      <c r="AC436" s="112"/>
      <c r="AD436" s="236"/>
      <c r="AE436" s="46"/>
    </row>
    <row r="437" customFormat="false" ht="15" hidden="false" customHeight="false" outlineLevel="0" collapsed="false">
      <c r="AC437" s="112"/>
      <c r="AD437" s="236"/>
      <c r="AE437" s="46"/>
    </row>
    <row r="438" customFormat="false" ht="15" hidden="false" customHeight="false" outlineLevel="0" collapsed="false">
      <c r="AC438" s="112"/>
      <c r="AD438" s="236"/>
      <c r="AE438" s="46"/>
    </row>
    <row r="439" customFormat="false" ht="15" hidden="false" customHeight="false" outlineLevel="0" collapsed="false">
      <c r="AC439" s="112"/>
      <c r="AD439" s="236"/>
      <c r="AE439" s="46"/>
    </row>
    <row r="440" customFormat="false" ht="15" hidden="false" customHeight="false" outlineLevel="0" collapsed="false">
      <c r="AC440" s="112"/>
      <c r="AD440" s="236"/>
      <c r="AE440" s="46"/>
    </row>
  </sheetData>
  <mergeCells count="3">
    <mergeCell ref="K2:L2"/>
    <mergeCell ref="M2:N2"/>
    <mergeCell ref="AD2:AE2"/>
  </mergeCells>
  <conditionalFormatting sqref="P28">
    <cfRule type="expression" priority="2" aboveAverage="0" equalAverage="0" bottom="0" percent="0" rank="0" text="" dxfId="8">
      <formula>AND(COUNTIF($A$221:$A$65672, P28)+COUNTIF($A$147:$A$150, P28)+COUNTIF($A$2:$A$3, P28)+COUNTIF($A$7:$A$145, P28)+COUNTIF($B$6, P28)+COUNTIF($A$5, P28)+COUNTIF($A$176:$A$198, P28)&gt;1,NOT(ISBLANK(P28)))</formula>
    </cfRule>
  </conditionalFormatting>
  <conditionalFormatting sqref="P29">
    <cfRule type="expression" priority="3" aboveAverage="0" equalAverage="0" bottom="0" percent="0" rank="0" text="" dxfId="9">
      <formula>AND(COUNTIF($A$221:$A$65672, P29)+COUNTIF($A$147:$A$150, P29)+COUNTIF($A$2:$A$3, P29)+COUNTIF($A$7:$A$145, P29)+COUNTIF($B$6, P29)+COUNTIF($A$5, P29)+COUNTIF($A$176:$A$198, P29)&gt;1,NOT(ISBLANK(P29)))</formula>
    </cfRule>
  </conditionalFormatting>
  <conditionalFormatting sqref="P29">
    <cfRule type="expression" priority="4" aboveAverage="0" equalAverage="0" bottom="0" percent="0" rank="0" text="" dxfId="10">
      <formula>AND(COUNTIF($A$221:$A$65672, P29)+COUNTIF($A$147:$A$150, P29)+COUNTIF($A$2:$A$3, P29)+COUNTIF($A$7:$A$145, P29)+COUNTIF($B$6, P29)+COUNTIF($A$5, P29)+COUNTIF($A$176:$A$198, P29)&gt;1,NOT(ISBLANK(P29)))</formula>
    </cfRule>
  </conditionalFormatting>
  <conditionalFormatting sqref="P30">
    <cfRule type="expression" priority="5" aboveAverage="0" equalAverage="0" bottom="0" percent="0" rank="0" text="" dxfId="11">
      <formula>AND(COUNTIF($A$221:$A$65672, P30)+COUNTIF($A$147:$A$150, P30)+COUNTIF($A$2:$A$3, P30)+COUNTIF($A$7:$A$145, P30)+COUNTIF($B$6, P30)+COUNTIF($A$5, P30)+COUNTIF($A$176:$A$198, P30)&gt;1,NOT(ISBLANK(P30)))</formula>
    </cfRule>
  </conditionalFormatting>
  <conditionalFormatting sqref="AC284:AC285">
    <cfRule type="expression" priority="6" aboveAverage="0" equalAverage="0" bottom="0" percent="0" rank="0" text="" dxfId="12">
      <formula>AND(COUNTIF($A$254:$A$65740, AC284)+COUNTIF($A$173:$A$176, AC284)+COUNTIF($A$2:$A$3, AC284)+COUNTIF($A$7:$A$171, AC284)+COUNTIF($B$6, AC284)+COUNTIF($A$5, AC284)+COUNTIF($A$202:$A$225, AC284)&gt;1,NOT(ISBLANK(AC284)))</formula>
    </cfRule>
  </conditionalFormatting>
  <conditionalFormatting sqref="AC15">
    <cfRule type="expression" priority="7" aboveAverage="0" equalAverage="0" bottom="0" percent="0" rank="0" text="" dxfId="13">
      <formula>AND(COUNTIF($A$254:$A$65740, AC15)+COUNTIF($A$173:$A$176, AC15)+COUNTIF($A$2:$A$3, AC15)+COUNTIF($A$7:$A$171, AC15)+COUNTIF($B$6, AC15)+COUNTIF($A$5, AC15)+COUNTIF($A$202:$A$225, AC15)&gt;1,NOT(ISBLANK(AC15)))</formula>
    </cfRule>
  </conditionalFormatting>
  <conditionalFormatting sqref="AC17">
    <cfRule type="expression" priority="8" aboveAverage="0" equalAverage="0" bottom="0" percent="0" rank="0" text="" dxfId="14">
      <formula>AND(COUNTIF($A$254:$A$65740, AC17)+COUNTIF($A$173:$A$176, AC17)+COUNTIF($A$2:$A$3, AC17)+COUNTIF($A$7:$A$171, AC17)+COUNTIF($B$6, AC17)+COUNTIF($A$5, AC17)+COUNTIF($A$202:$A$225, AC17)&gt;1,NOT(ISBLANK(AC17)))</formula>
    </cfRule>
  </conditionalFormatting>
  <conditionalFormatting sqref="AC11:AC13">
    <cfRule type="expression" priority="9" aboveAverage="0" equalAverage="0" bottom="0" percent="0" rank="0" text="" dxfId="15">
      <formula>AND(COUNTIF($A$253:$A$65739, AC11)+COUNTIF($A$172:$A$175, AC11)+COUNTIF($A$2:$A$3, AC11)+COUNTIF($A$7:$A$170, AC11)+COUNTIF($B$6, AC11)+COUNTIF($A$5, AC11)+COUNTIF($A$201:$A$224, AC11)&gt;1,NOT(ISBLANK(AC11)))</formula>
    </cfRule>
  </conditionalFormatting>
  <conditionalFormatting sqref="AC146">
    <cfRule type="expression" priority="10" aboveAverage="0" equalAverage="0" bottom="0" percent="0" rank="0" text="" dxfId="16">
      <formula>AND(COUNTIF($A$245:$A$65735, AC146)+COUNTIF($A$169:$A$172, AC146)+COUNTIF($A$2:$A$3, AC146)+COUNTIF($A$7:$A$166, AC146)+COUNTIF($B$6, AC146)+COUNTIF($A$5, AC146)+COUNTIF($A$198:$A$220, AC146)&gt;1,NOT(ISBLANK(AC146)))</formula>
    </cfRule>
  </conditionalFormatting>
  <conditionalFormatting sqref="AC146">
    <cfRule type="expression" priority="11" aboveAverage="0" equalAverage="0" bottom="0" percent="0" rank="0" text="" dxfId="17">
      <formula>AND(COUNTIF($A$245:$A$65735, AC146)+COUNTIF($A$169:$A$172, AC146)+COUNTIF($A$2:$A$3, AC146)+COUNTIF($A$7:$A$166, AC146)+COUNTIF($B$6, AC146)+COUNTIF($A$5, AC146)+COUNTIF($A$198:$A$220, AC146)&gt;1,NOT(ISBLANK(AC146)))</formula>
    </cfRule>
  </conditionalFormatting>
  <conditionalFormatting sqref="AC146">
    <cfRule type="expression" priority="12" aboveAverage="0" equalAverage="0" bottom="0" percent="0" rank="0" text="" dxfId="18">
      <formula>AND(COUNTIF($A$245:$A$65735, AC146)+COUNTIF($A$169:$A$172, AC146)+COUNTIF($A$2:$A$3, AC146)+COUNTIF($A$7:$A$166, AC146)+COUNTIF($B$6, AC146)+COUNTIF($A$5, AC146)+COUNTIF($A$198:$A$220, AC146)&gt;1,NOT(ISBLANK(AC146)))</formula>
    </cfRule>
  </conditionalFormatting>
  <conditionalFormatting sqref="AC146">
    <cfRule type="expression" priority="13" aboveAverage="0" equalAverage="0" bottom="0" percent="0" rank="0" text="" dxfId="19">
      <formula>AND(COUNTIF($A$245:$A$65735, AC146)+COUNTIF($A$169:$A$172, AC146)+COUNTIF($A$2:$A$3, AC146)+COUNTIF($A$7:$A$166, AC146)+COUNTIF($B$6, AC146)+COUNTIF($A$5, AC146)+COUNTIF($A$198:$A$220, AC146)&gt;1,NOT(ISBLANK(AC146)))</formula>
    </cfRule>
  </conditionalFormatting>
  <conditionalFormatting sqref="AC151">
    <cfRule type="expression" priority="14" aboveAverage="0" equalAverage="0" bottom="0" percent="0" rank="0" text="" dxfId="20">
      <formula>AND(COUNTIF($A$245:$A$65735, AC151)+COUNTIF($A$169:$A$172, AC151)+COUNTIF($A$2:$A$3, AC151)+COUNTIF($A$7:$A$166, AC151)+COUNTIF($B$6, AC151)+COUNTIF($A$5, AC151)+COUNTIF($A$198:$A$220, AC151)&gt;1,NOT(ISBLANK(AC151)))</formula>
    </cfRule>
  </conditionalFormatting>
  <conditionalFormatting sqref="AC151">
    <cfRule type="expression" priority="15" aboveAverage="0" equalAverage="0" bottom="0" percent="0" rank="0" text="" dxfId="21">
      <formula>AND(COUNTIF($A$245:$A$65735, AC151)+COUNTIF($A$169:$A$172, AC151)+COUNTIF($A$2:$A$3, AC151)+COUNTIF($A$7:$A$166, AC151)+COUNTIF($B$6, AC151)+COUNTIF($A$5, AC151)+COUNTIF($A$198:$A$220, AC151)&gt;1,NOT(ISBLANK(AC151)))</formula>
    </cfRule>
  </conditionalFormatting>
  <conditionalFormatting sqref="AC151">
    <cfRule type="expression" priority="16" aboveAverage="0" equalAverage="0" bottom="0" percent="0" rank="0" text="" dxfId="22">
      <formula>AND(COUNTIF($A$245:$A$65735, AC151)+COUNTIF($A$169:$A$172, AC151)+COUNTIF($A$2:$A$3, AC151)+COUNTIF($A$7:$A$166, AC151)+COUNTIF($B$6, AC151)+COUNTIF($A$5, AC151)+COUNTIF($A$198:$A$220, AC151)&gt;1,NOT(ISBLANK(AC151)))</formula>
    </cfRule>
  </conditionalFormatting>
  <conditionalFormatting sqref="AC151">
    <cfRule type="expression" priority="17" aboveAverage="0" equalAverage="0" bottom="0" percent="0" rank="0" text="" dxfId="23">
      <formula>AND(COUNTIF($A$245:$A$65735, AC151)+COUNTIF($A$169:$A$172, AC151)+COUNTIF($A$2:$A$3, AC151)+COUNTIF($A$7:$A$166, AC151)+COUNTIF($B$6, AC151)+COUNTIF($A$5, AC151)+COUNTIF($A$198:$A$220, AC151)&gt;1,NOT(ISBLANK(AC151)))</formula>
    </cfRule>
  </conditionalFormatting>
  <conditionalFormatting sqref="AC150">
    <cfRule type="expression" priority="18" aboveAverage="0" equalAverage="0" bottom="0" percent="0" rank="0" text="" dxfId="24">
      <formula>AND(COUNTIF($A$245:$A$65735, AC150)+COUNTIF($A$169:$A$172, AC150)+COUNTIF($A$2:$A$3, AC150)+COUNTIF($A$7:$A$166, AC150)+COUNTIF($B$6, AC150)+COUNTIF($A$5, AC150)+COUNTIF($A$198:$A$220, AC150)&gt;1,NOT(ISBLANK(AC150)))</formula>
    </cfRule>
  </conditionalFormatting>
  <conditionalFormatting sqref="AC150">
    <cfRule type="expression" priority="19" aboveAverage="0" equalAverage="0" bottom="0" percent="0" rank="0" text="" dxfId="25">
      <formula>AND(COUNTIF($A$245:$A$65735, AC150)+COUNTIF($A$169:$A$172, AC150)+COUNTIF($A$2:$A$3, AC150)+COUNTIF($A$7:$A$166, AC150)+COUNTIF($B$6, AC150)+COUNTIF($A$5, AC150)+COUNTIF($A$198:$A$220, AC150)&gt;1,NOT(ISBLANK(AC150)))</formula>
    </cfRule>
  </conditionalFormatting>
  <conditionalFormatting sqref="AC150">
    <cfRule type="expression" priority="20" aboveAverage="0" equalAverage="0" bottom="0" percent="0" rank="0" text="" dxfId="26">
      <formula>AND(COUNTIF($A$245:$A$65735, AC150)+COUNTIF($A$169:$A$172, AC150)+COUNTIF($A$2:$A$3, AC150)+COUNTIF($A$7:$A$166, AC150)+COUNTIF($B$6, AC150)+COUNTIF($A$5, AC150)+COUNTIF($A$198:$A$220, AC150)&gt;1,NOT(ISBLANK(AC150)))</formula>
    </cfRule>
  </conditionalFormatting>
  <conditionalFormatting sqref="AC150">
    <cfRule type="expression" priority="21" aboveAverage="0" equalAverage="0" bottom="0" percent="0" rank="0" text="" dxfId="27">
      <formula>AND(COUNTIF($A$245:$A$65735, AC150)+COUNTIF($A$169:$A$172, AC150)+COUNTIF($A$2:$A$3, AC150)+COUNTIF($A$7:$A$166, AC150)+COUNTIF($B$6, AC150)+COUNTIF($A$5, AC150)+COUNTIF($A$198:$A$220, AC150)&gt;1,NOT(ISBLANK(AC150)))</formula>
    </cfRule>
  </conditionalFormatting>
  <conditionalFormatting sqref="AC149">
    <cfRule type="expression" priority="22" aboveAverage="0" equalAverage="0" bottom="0" percent="0" rank="0" text="" dxfId="28">
      <formula>AND(COUNTIF($A$245:$A$65735, AC149)+COUNTIF($A$169:$A$172, AC149)+COUNTIF($A$2:$A$3, AC149)+COUNTIF($A$7:$A$166, AC149)+COUNTIF($B$6, AC149)+COUNTIF($A$5, AC149)+COUNTIF($A$198:$A$220, AC149)&gt;1,NOT(ISBLANK(AC149)))</formula>
    </cfRule>
  </conditionalFormatting>
  <conditionalFormatting sqref="AC149">
    <cfRule type="expression" priority="23" aboveAverage="0" equalAverage="0" bottom="0" percent="0" rank="0" text="" dxfId="29">
      <formula>AND(COUNTIF($A$245:$A$65735, AC149)+COUNTIF($A$169:$A$172, AC149)+COUNTIF($A$2:$A$3, AC149)+COUNTIF($A$7:$A$166, AC149)+COUNTIF($B$6, AC149)+COUNTIF($A$5, AC149)+COUNTIF($A$198:$A$220, AC149)&gt;1,NOT(ISBLANK(AC149)))</formula>
    </cfRule>
  </conditionalFormatting>
  <conditionalFormatting sqref="AC149">
    <cfRule type="expression" priority="24" aboveAverage="0" equalAverage="0" bottom="0" percent="0" rank="0" text="" dxfId="30">
      <formula>AND(COUNTIF($A$245:$A$65735, AC149)+COUNTIF($A$169:$A$172, AC149)+COUNTIF($A$2:$A$3, AC149)+COUNTIF($A$7:$A$166, AC149)+COUNTIF($B$6, AC149)+COUNTIF($A$5, AC149)+COUNTIF($A$198:$A$220, AC149)&gt;1,NOT(ISBLANK(AC149)))</formula>
    </cfRule>
  </conditionalFormatting>
  <conditionalFormatting sqref="AC147">
    <cfRule type="expression" priority="25" aboveAverage="0" equalAverage="0" bottom="0" percent="0" rank="0" text="" dxfId="31">
      <formula>AND(COUNTIF($A$245:$A$65735, AC147)+COUNTIF($A$169:$A$172, AC147)+COUNTIF($A$2:$A$3, AC147)+COUNTIF($A$7:$A$166, AC147)+COUNTIF($B$6, AC147)+COUNTIF($A$5, AC147)+COUNTIF($A$198:$A$220, AC147)&gt;1,NOT(ISBLANK(AC147)))</formula>
    </cfRule>
  </conditionalFormatting>
  <conditionalFormatting sqref="AC147">
    <cfRule type="expression" priority="26" aboveAverage="0" equalAverage="0" bottom="0" percent="0" rank="0" text="" dxfId="32">
      <formula>AND(COUNTIF($A$245:$A$65735, AC147)+COUNTIF($A$169:$A$172, AC147)+COUNTIF($A$2:$A$3, AC147)+COUNTIF($A$7:$A$166, AC147)+COUNTIF($B$6, AC147)+COUNTIF($A$5, AC147)+COUNTIF($A$198:$A$220, AC147)&gt;1,NOT(ISBLANK(AC147)))</formula>
    </cfRule>
  </conditionalFormatting>
  <conditionalFormatting sqref="AC147">
    <cfRule type="expression" priority="27" aboveAverage="0" equalAverage="0" bottom="0" percent="0" rank="0" text="" dxfId="33">
      <formula>AND(COUNTIF($A$245:$A$65735, AC147)+COUNTIF($A$169:$A$172, AC147)+COUNTIF($A$2:$A$3, AC147)+COUNTIF($A$7:$A$166, AC147)+COUNTIF($B$6, AC147)+COUNTIF($A$5, AC147)+COUNTIF($A$198:$A$220, AC147)&gt;1,NOT(ISBLANK(AC147)))</formula>
    </cfRule>
  </conditionalFormatting>
  <conditionalFormatting sqref="AC147">
    <cfRule type="expression" priority="28" aboveAverage="0" equalAverage="0" bottom="0" percent="0" rank="0" text="" dxfId="34">
      <formula>AND(COUNTIF($A$245:$A$65735, AC147)+COUNTIF($A$169:$A$172, AC147)+COUNTIF($A$2:$A$3, AC147)+COUNTIF($A$7:$A$166, AC147)+COUNTIF($B$6, AC147)+COUNTIF($A$5, AC147)+COUNTIF($A$198:$A$220, AC147)&gt;1,NOT(ISBLANK(AC147)))</formula>
    </cfRule>
  </conditionalFormatting>
  <conditionalFormatting sqref="AC220">
    <cfRule type="expression" priority="29" aboveAverage="0" equalAverage="0" bottom="0" percent="0" rank="0" text="" dxfId="35">
      <formula>AND(COUNTIF($A$242:$A$65729, AC220)+COUNTIF($A$169:$A$172, AC220)+COUNTIF($A$2:$A$3, AC220)+COUNTIF($A$7:$A$166, AC220)+COUNTIF($B$6, AC220)+COUNTIF($A$5, AC220)+COUNTIF($A$195:$A$217, AC220)&gt;1,NOT(ISBLANK(AC220)))</formula>
    </cfRule>
  </conditionalFormatting>
  <conditionalFormatting sqref="AC220">
    <cfRule type="expression" priority="30" aboveAverage="0" equalAverage="0" bottom="0" percent="0" rank="0" text="" dxfId="36">
      <formula>AND(COUNTIF($A$242:$A$65729, AC220)+COUNTIF($A$169:$A$172, AC220)+COUNTIF($A$2:$A$3, AC220)+COUNTIF($A$7:$A$166, AC220)+COUNTIF($B$6, AC220)+COUNTIF($A$5, AC220)+COUNTIF($A$195:$A$217, AC220)&gt;1,NOT(ISBLANK(AC220)))</formula>
    </cfRule>
  </conditionalFormatting>
  <conditionalFormatting sqref="AC220">
    <cfRule type="expression" priority="31" aboveAverage="0" equalAverage="0" bottom="0" percent="0" rank="0" text="" dxfId="37">
      <formula>AND(COUNTIF($A$242:$A$65729, AC220)+COUNTIF($A$169:$A$172, AC220)+COUNTIF($A$2:$A$3, AC220)+COUNTIF($A$7:$A$166, AC220)+COUNTIF($B$6, AC220)+COUNTIF($A$5, AC220)+COUNTIF($A$195:$A$217, AC220)&gt;1,NOT(ISBLANK(AC220)))</formula>
    </cfRule>
  </conditionalFormatting>
  <conditionalFormatting sqref="AC220">
    <cfRule type="expression" priority="32" aboveAverage="0" equalAverage="0" bottom="0" percent="0" rank="0" text="" dxfId="38">
      <formula>AND(COUNTIF($A$242:$A$65729, AC220)+COUNTIF($A$169:$A$172, AC220)+COUNTIF($A$2:$A$3, AC220)+COUNTIF($A$7:$A$166, AC220)+COUNTIF($B$6, AC220)+COUNTIF($A$5, AC220)+COUNTIF($A$195:$A$217, AC220)&gt;1,NOT(ISBLANK(AC220)))</formula>
    </cfRule>
  </conditionalFormatting>
  <conditionalFormatting sqref="AC225">
    <cfRule type="expression" priority="33" aboveAverage="0" equalAverage="0" bottom="0" percent="0" rank="0" text="" dxfId="39">
      <formula>AND(COUNTIF($A$242:$A$65729, AC225)+COUNTIF($A$169:$A$172, AC225)+COUNTIF($A$2:$A$3, AC225)+COUNTIF($A$7:$A$166, AC225)+COUNTIF($B$6, AC225)+COUNTIF($A$5, AC225)+COUNTIF($A$195:$A$217, AC225)&gt;1,NOT(ISBLANK(AC225)))</formula>
    </cfRule>
  </conditionalFormatting>
  <conditionalFormatting sqref="AC225">
    <cfRule type="expression" priority="34" aboveAverage="0" equalAverage="0" bottom="0" percent="0" rank="0" text="" dxfId="40">
      <formula>AND(COUNTIF($A$242:$A$65729, AC225)+COUNTIF($A$169:$A$172, AC225)+COUNTIF($A$2:$A$3, AC225)+COUNTIF($A$7:$A$166, AC225)+COUNTIF($B$6, AC225)+COUNTIF($A$5, AC225)+COUNTIF($A$195:$A$217, AC225)&gt;1,NOT(ISBLANK(AC225)))</formula>
    </cfRule>
  </conditionalFormatting>
  <conditionalFormatting sqref="AC225">
    <cfRule type="expression" priority="35" aboveAverage="0" equalAverage="0" bottom="0" percent="0" rank="0" text="" dxfId="41">
      <formula>AND(COUNTIF($A$242:$A$65729, AC225)+COUNTIF($A$169:$A$172, AC225)+COUNTIF($A$2:$A$3, AC225)+COUNTIF($A$7:$A$166, AC225)+COUNTIF($B$6, AC225)+COUNTIF($A$5, AC225)+COUNTIF($A$195:$A$217, AC225)&gt;1,NOT(ISBLANK(AC225)))</formula>
    </cfRule>
  </conditionalFormatting>
  <conditionalFormatting sqref="AC225">
    <cfRule type="expression" priority="36" aboveAverage="0" equalAverage="0" bottom="0" percent="0" rank="0" text="" dxfId="42">
      <formula>AND(COUNTIF($A$242:$A$65729, AC225)+COUNTIF($A$169:$A$172, AC225)+COUNTIF($A$2:$A$3, AC225)+COUNTIF($A$7:$A$166, AC225)+COUNTIF($B$6, AC225)+COUNTIF($A$5, AC225)+COUNTIF($A$195:$A$217, AC225)&gt;1,NOT(ISBLANK(AC225)))</formula>
    </cfRule>
  </conditionalFormatting>
  <conditionalFormatting sqref="AC225">
    <cfRule type="expression" priority="37" aboveAverage="0" equalAverage="0" bottom="0" percent="0" rank="0" text="" dxfId="43">
      <formula>AND(COUNTIF($A$242:$A$65729, AC225)+COUNTIF($A$169:$A$172, AC225)+COUNTIF($A$2:$A$3, AC225)+COUNTIF($A$7:$A$166, AC225)+COUNTIF($B$6, AC225)+COUNTIF($A$5, AC225)+COUNTIF($A$195:$A$217, AC225)&gt;1,NOT(ISBLANK(AC225)))</formula>
    </cfRule>
  </conditionalFormatting>
  <conditionalFormatting sqref="AC221">
    <cfRule type="expression" priority="38" aboveAverage="0" equalAverage="0" bottom="0" percent="0" rank="0" text="" dxfId="44">
      <formula>AND(COUNTIF($A$242:$A$65729, AC221)+COUNTIF($A$169:$A$172, AC221)+COUNTIF($A$2:$A$3, AC221)+COUNTIF($A$7:$A$166, AC221)+COUNTIF($B$6, AC221)+COUNTIF($A$5, AC221)+COUNTIF($A$195:$A$217, AC221)&gt;1,NOT(ISBLANK(AC221)))</formula>
    </cfRule>
  </conditionalFormatting>
  <conditionalFormatting sqref="AC221">
    <cfRule type="expression" priority="39" aboveAverage="0" equalAverage="0" bottom="0" percent="0" rank="0" text="" dxfId="45">
      <formula>AND(COUNTIF($A$242:$A$65729, AC221)+COUNTIF($A$169:$A$172, AC221)+COUNTIF($A$2:$A$3, AC221)+COUNTIF($A$7:$A$166, AC221)+COUNTIF($B$6, AC221)+COUNTIF($A$5, AC221)+COUNTIF($A$195:$A$217, AC221)&gt;1,NOT(ISBLANK(AC221)))</formula>
    </cfRule>
  </conditionalFormatting>
  <conditionalFormatting sqref="AC221">
    <cfRule type="expression" priority="40" aboveAverage="0" equalAverage="0" bottom="0" percent="0" rank="0" text="" dxfId="46">
      <formula>AND(COUNTIF($A$242:$A$65729, AC221)+COUNTIF($A$169:$A$172, AC221)+COUNTIF($A$2:$A$3, AC221)+COUNTIF($A$7:$A$166, AC221)+COUNTIF($B$6, AC221)+COUNTIF($A$5, AC221)+COUNTIF($A$195:$A$217, AC221)&gt;1,NOT(ISBLANK(AC221)))</formula>
    </cfRule>
  </conditionalFormatting>
  <conditionalFormatting sqref="AC221">
    <cfRule type="expression" priority="41" aboveAverage="0" equalAverage="0" bottom="0" percent="0" rank="0" text="" dxfId="47">
      <formula>AND(COUNTIF($A$242:$A$65729, AC221)+COUNTIF($A$169:$A$172, AC221)+COUNTIF($A$2:$A$3, AC221)+COUNTIF($A$7:$A$166, AC221)+COUNTIF($B$6, AC221)+COUNTIF($A$5, AC221)+COUNTIF($A$195:$A$217, AC221)&gt;1,NOT(ISBLANK(AC221)))</formula>
    </cfRule>
  </conditionalFormatting>
  <conditionalFormatting sqref="AC226">
    <cfRule type="expression" priority="42" aboveAverage="0" equalAverage="0" bottom="0" percent="0" rank="0" text="" dxfId="48">
      <formula>AND(COUNTIF($A$242:$A$65729, AC226)+COUNTIF($A$169:$A$172, AC226)+COUNTIF($A$2:$A$3, AC226)+COUNTIF($A$7:$A$166, AC226)+COUNTIF($B$6, AC226)+COUNTIF($A$5, AC226)+COUNTIF($A$195:$A$217, AC226)&gt;1,NOT(ISBLANK(AC226)))</formula>
    </cfRule>
  </conditionalFormatting>
  <conditionalFormatting sqref="AC226">
    <cfRule type="expression" priority="43" aboveAverage="0" equalAverage="0" bottom="0" percent="0" rank="0" text="" dxfId="49">
      <formula>AND(COUNTIF($A$242:$A$65729, AC226)+COUNTIF($A$169:$A$172, AC226)+COUNTIF($A$2:$A$3, AC226)+COUNTIF($A$7:$A$166, AC226)+COUNTIF($B$6, AC226)+COUNTIF($A$5, AC226)+COUNTIF($A$195:$A$217, AC226)&gt;1,NOT(ISBLANK(AC226)))</formula>
    </cfRule>
  </conditionalFormatting>
  <conditionalFormatting sqref="AC226">
    <cfRule type="expression" priority="44" aboveAverage="0" equalAverage="0" bottom="0" percent="0" rank="0" text="" dxfId="50">
      <formula>AND(COUNTIF($A$242:$A$65729, AC226)+COUNTIF($A$169:$A$172, AC226)+COUNTIF($A$2:$A$3, AC226)+COUNTIF($A$7:$A$166, AC226)+COUNTIF($B$6, AC226)+COUNTIF($A$5, AC226)+COUNTIF($A$195:$A$217, AC226)&gt;1,NOT(ISBLANK(AC226)))</formula>
    </cfRule>
  </conditionalFormatting>
  <conditionalFormatting sqref="AC226">
    <cfRule type="expression" priority="45" aboveAverage="0" equalAverage="0" bottom="0" percent="0" rank="0" text="" dxfId="51">
      <formula>AND(COUNTIF($A$242:$A$65729, AC226)+COUNTIF($A$169:$A$172, AC226)+COUNTIF($A$2:$A$3, AC226)+COUNTIF($A$7:$A$166, AC226)+COUNTIF($B$6, AC226)+COUNTIF($A$5, AC226)+COUNTIF($A$195:$A$217, AC226)&gt;1,NOT(ISBLANK(AC226)))</formula>
    </cfRule>
  </conditionalFormatting>
  <conditionalFormatting sqref="AC226">
    <cfRule type="expression" priority="46" aboveAverage="0" equalAverage="0" bottom="0" percent="0" rank="0" text="" dxfId="52">
      <formula>AND(COUNTIF($A$242:$A$65729, AC226)+COUNTIF($A$169:$A$172, AC226)+COUNTIF($A$2:$A$3, AC226)+COUNTIF($A$7:$A$166, AC226)+COUNTIF($B$6, AC226)+COUNTIF($A$5, AC226)+COUNTIF($A$195:$A$217, AC226)&gt;1,NOT(ISBLANK(AC226)))</formula>
    </cfRule>
  </conditionalFormatting>
  <conditionalFormatting sqref="AC223">
    <cfRule type="expression" priority="47" aboveAverage="0" equalAverage="0" bottom="0" percent="0" rank="0" text="" dxfId="53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223">
    <cfRule type="expression" priority="48" aboveAverage="0" equalAverage="0" bottom="0" percent="0" rank="0" text="" dxfId="54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223">
    <cfRule type="expression" priority="49" aboveAverage="0" equalAverage="0" bottom="0" percent="0" rank="0" text="" dxfId="55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223">
    <cfRule type="expression" priority="50" aboveAverage="0" equalAverage="0" bottom="0" percent="0" rank="0" text="" dxfId="56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223">
    <cfRule type="expression" priority="51" aboveAverage="0" equalAverage="0" bottom="0" percent="0" rank="0" text="" dxfId="57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223">
    <cfRule type="expression" priority="52" aboveAverage="0" equalAverage="0" bottom="0" percent="0" rank="0" text="" dxfId="58">
      <formula>AND(COUNTIF($A$242:$A$65729, AC223)+COUNTIF($A$169:$A$172, AC223)+COUNTIF($A$2:$A$3, AC223)+COUNTIF($A$7:$A$166, AC223)+COUNTIF($B$6, AC223)+COUNTIF($A$5, AC223)+COUNTIF($A$195:$A$217, AC223)&gt;1,NOT(ISBLANK(AC223)))</formula>
    </cfRule>
  </conditionalFormatting>
  <conditionalFormatting sqref="AC325">
    <cfRule type="expression" priority="53" aboveAverage="0" equalAverage="0" bottom="0" percent="0" rank="0" text="" dxfId="59">
      <formula>AND(COUNTIF($A$240:$A$65717, AC325)+COUNTIF($A$169:$A$172, AC325)+COUNTIF($A$2:$A$3, AC325)+COUNTIF($A$7:$A$166, AC325)+COUNTIF($B$6, AC325)+COUNTIF($A$5, AC325)+COUNTIF($A$195:$A$217, AC325)&gt;1,NOT(ISBLANK(AC325)))</formula>
    </cfRule>
  </conditionalFormatting>
  <conditionalFormatting sqref="AC325">
    <cfRule type="expression" priority="54" aboveAverage="0" equalAverage="0" bottom="0" percent="0" rank="0" text="" dxfId="60">
      <formula>AND(COUNTIF($A$240:$A$65717, AC325)+COUNTIF($A$169:$A$172, AC325)+COUNTIF($A$2:$A$3, AC325)+COUNTIF($A$7:$A$166, AC325)+COUNTIF($B$6, AC325)+COUNTIF($A$5, AC325)+COUNTIF($A$195:$A$217, AC325)&gt;1,NOT(ISBLANK(AC325)))</formula>
    </cfRule>
  </conditionalFormatting>
  <conditionalFormatting sqref="AC325">
    <cfRule type="expression" priority="55" aboveAverage="0" equalAverage="0" bottom="0" percent="0" rank="0" text="" dxfId="61">
      <formula>AND(COUNTIF($A$254:$A$65730, AC325)+COUNTIF($A$169:$A$172, AC325)+COUNTIF($A$2:$A$3, AC325)+COUNTIF($A$7:$A$166, AC325)+COUNTIF($B$6, AC325)+COUNTIF($A$5, AC325)+COUNTIF($A$195:$A$230, AC325)&gt;1,NOT(ISBLANK(AC325)))</formula>
    </cfRule>
  </conditionalFormatting>
  <conditionalFormatting sqref="AC324">
    <cfRule type="expression" priority="56" aboveAverage="0" equalAverage="0" bottom="0" percent="0" rank="0" text="" dxfId="62">
      <formula>AND(COUNTIF($A$254:$A$65730, AC324)+COUNTIF($A$169:$A$172, AC324)+COUNTIF($A$2:$A$3, AC324)+COUNTIF($A$7:$A$166, AC324)+COUNTIF($B$6, AC324)+COUNTIF($A$5, AC324)+COUNTIF($A$195:$A$230, AC324)&gt;1,NOT(ISBLANK(AC324)))</formula>
    </cfRule>
  </conditionalFormatting>
  <conditionalFormatting sqref="AC387">
    <cfRule type="expression" priority="57" aboveAverage="0" equalAverage="0" bottom="0" percent="0" rank="0" text="" dxfId="63">
      <formula>AND(COUNTIF($A$240:$A$65708, AC387)+COUNTIF($A$169:$A$172, AC387)+COUNTIF($A$2:$A$3, AC387)+COUNTIF($A$7:$A$166, AC387)+COUNTIF($B$6, AC387)+COUNTIF($A$5, AC387)+COUNTIF($A$195:$A$217, AC387)&gt;1,NOT(ISBLANK(AC387)))</formula>
    </cfRule>
  </conditionalFormatting>
  <conditionalFormatting sqref="AC387">
    <cfRule type="expression" priority="58" aboveAverage="0" equalAverage="0" bottom="0" percent="0" rank="0" text="" dxfId="64">
      <formula>AND(COUNTIF($A$240:$A$65708, AC387)+COUNTIF($A$169:$A$172, AC387)+COUNTIF($A$2:$A$3, AC387)+COUNTIF($A$7:$A$166, AC387)+COUNTIF($B$6, AC387)+COUNTIF($A$5, AC387)+COUNTIF($A$195:$A$217, AC387)&gt;1,NOT(ISBLANK(AC387)))</formula>
    </cfRule>
  </conditionalFormatting>
  <conditionalFormatting sqref="AC32:AC41">
    <cfRule type="expression" priority="59" aboveAverage="0" equalAverage="0" bottom="0" percent="0" rank="0" text="" dxfId="65">
      <formula>AND(COUNTIF($A$240:$A$65698, AC32)+COUNTIF($A$169:$A$172, AC32)+COUNTIF($A$2:$A$3, AC32)+COUNTIF($A$7:$A$166, AC32)+COUNTIF($B$6, AC32)+COUNTIF($A$5, AC32)+COUNTIF($A$195:$A$217, AC32)&gt;1,NOT(ISBLANK(AC32)))</formula>
    </cfRule>
  </conditionalFormatting>
  <conditionalFormatting sqref="AC25">
    <cfRule type="expression" priority="60" aboveAverage="0" equalAverage="0" bottom="0" percent="0" rank="0" text="" dxfId="66">
      <formula>AND(COUNTIF($A$238:$A$65696, AC25)+COUNTIF($A$166:$A$170, AC25)+COUNTIF($A$2:$A$3, AC25)+COUNTIF($A$7:$A$163, AC25)+COUNTIF($B$6, AC25)+COUNTIF($A$5, AC25)+COUNTIF($A$193:$A$215, AC25)&gt;1,NOT(ISBLANK(AC25)))</formula>
    </cfRule>
  </conditionalFormatting>
  <conditionalFormatting sqref="AC26">
    <cfRule type="expression" priority="61" aboveAverage="0" equalAverage="0" bottom="0" percent="0" rank="0" text="" dxfId="67">
      <formula>AND(COUNTIF($A$238:$A$65696, AC26)+COUNTIF($A$166:$A$170, AC26)+COUNTIF($A$2:$A$3, AC26)+COUNTIF($A$7:$A$163, AC26)+COUNTIF($B$6, AC26)+COUNTIF($A$5, AC26)+COUNTIF($A$193:$A$215, AC26)&gt;1,NOT(ISBLANK(AC26)))</formula>
    </cfRule>
  </conditionalFormatting>
  <conditionalFormatting sqref="AC27:AC31">
    <cfRule type="expression" priority="62" aboveAverage="0" equalAverage="0" bottom="0" percent="0" rank="0" text="" dxfId="68">
      <formula>AND(COUNTIF($A$238:$A$65696, AC27)+COUNTIF($A$166:$A$170, AC27)+COUNTIF($A$2:$A$3, AC27)+COUNTIF($A$7:$A$163, AC27)+COUNTIF($B$6, AC27)+COUNTIF($A$5, AC27)+COUNTIF($A$193:$A$215, AC27)&gt;1,NOT(ISBLANK(AC27)))</formula>
    </cfRule>
  </conditionalFormatting>
  <conditionalFormatting sqref="AC24">
    <cfRule type="expression" priority="63" aboveAverage="0" equalAverage="0" bottom="0" percent="0" rank="0" text="" dxfId="69">
      <formula>AND(COUNTIF($A$238:$A$65696, AC24)+COUNTIF($A$166:$A$170, AC24)+COUNTIF($A$2:$A$3, AC24)+COUNTIF($A$7:$A$163, AC24)+COUNTIF($B$6, AC24)+COUNTIF($A$5, AC24)+COUNTIF($A$193:$A$215, AC24)&gt;1,NOT(ISBLANK(AC24)))</formula>
    </cfRule>
  </conditionalFormatting>
  <conditionalFormatting sqref="AC42">
    <cfRule type="expression" priority="64" aboveAverage="0" equalAverage="0" bottom="0" percent="0" rank="0" text="" dxfId="70">
      <formula>AND(COUNTIF($A$238:$A$65696, AC42)+COUNTIF($A$166:$A$170, AC42)+COUNTIF($A$2:$A$3, AC42)+COUNTIF($A$7:$A$163, AC42)+COUNTIF($B$6, AC42)+COUNTIF($A$5, AC42)+COUNTIF($A$193:$A$215, AC42)&gt;1,NOT(ISBLANK(AC42)))</formula>
    </cfRule>
  </conditionalFormatting>
  <conditionalFormatting sqref="AC33:AC41">
    <cfRule type="expression" priority="65" aboveAverage="0" equalAverage="0" bottom="0" percent="0" rank="0" text="" dxfId="71">
      <formula>AND(COUNTIF($A$238:$A$65696, AC33)+COUNTIF($A$166:$A$170, AC33)+COUNTIF($A$2:$A$3, AC33)+COUNTIF($A$7:$A$163, AC33)+COUNTIF($B$6, AC33)+COUNTIF($A$5, AC33)+COUNTIF($A$193:$A$215, AC33)&gt;1,NOT(ISBLANK(AC33)))</formula>
    </cfRule>
  </conditionalFormatting>
  <conditionalFormatting sqref="AC47">
    <cfRule type="expression" priority="66" aboveAverage="0" equalAverage="0" bottom="0" percent="0" rank="0" text="" dxfId="72">
      <formula>AND(COUNTIF($A$237:$A$65695, AC47)+COUNTIF($A$165:$A$169, AC47)+COUNTIF($A$2:$A$3, AC47)+COUNTIF($A$7:$A$162, AC47)+COUNTIF($B$6, AC47)+COUNTIF($A$5, AC47)+COUNTIF($A$192:$A$214, AC47)&gt;1,NOT(ISBLANK(AC47)))</formula>
    </cfRule>
  </conditionalFormatting>
  <conditionalFormatting sqref="AC51">
    <cfRule type="expression" priority="67" aboveAverage="0" equalAverage="0" bottom="0" percent="0" rank="0" text="" dxfId="73">
      <formula>AND(COUNTIF($A$237:$A$65695, AC51)+COUNTIF($A$165:$A$169, AC51)+COUNTIF($A$2:$A$3, AC51)+COUNTIF($A$7:$A$162, AC51)+COUNTIF($B$6, AC51)+COUNTIF($A$5, AC51)+COUNTIF($A$192:$A$214, AC51)&gt;1,NOT(ISBLANK(AC51)))</formula>
    </cfRule>
  </conditionalFormatting>
  <conditionalFormatting sqref="AC50">
    <cfRule type="expression" priority="68" aboveAverage="0" equalAverage="0" bottom="0" percent="0" rank="0" text="" dxfId="74">
      <formula>AND(COUNTIF($A$237:$A$65695, AC50)+COUNTIF($A$165:$A$169, AC50)+COUNTIF($A$2:$A$3, AC50)+COUNTIF($A$7:$A$162, AC50)+COUNTIF($B$6, AC50)+COUNTIF($A$5, AC50)+COUNTIF($A$192:$A$214, AC50)&gt;1,NOT(ISBLANK(AC50)))</formula>
    </cfRule>
  </conditionalFormatting>
  <conditionalFormatting sqref="AC48">
    <cfRule type="expression" priority="69" aboveAverage="0" equalAverage="0" bottom="0" percent="0" rank="0" text="" dxfId="75">
      <formula>AND(COUNTIF($A$237:$A$65695, AC48)+COUNTIF($A$165:$A$169, AC48)+COUNTIF($A$2:$A$3, AC48)+COUNTIF($A$7:$A$162, AC48)+COUNTIF($B$6, AC48)+COUNTIF($A$5, AC48)+COUNTIF($A$192:$A$214, AC48)&gt;1,NOT(ISBLANK(AC48)))</formula>
    </cfRule>
  </conditionalFormatting>
  <conditionalFormatting sqref="AC49">
    <cfRule type="expression" priority="70" aboveAverage="0" equalAverage="0" bottom="0" percent="0" rank="0" text="" dxfId="76">
      <formula>AND(COUNTIF($A$237:$A$65695, AC49)+COUNTIF($A$165:$A$169, AC49)+COUNTIF($A$2:$A$3, AC49)+COUNTIF($A$7:$A$162, AC49)+COUNTIF($B$6, AC49)+COUNTIF($A$5, AC49)+COUNTIF($A$192:$A$214, AC49)&gt;1,NOT(ISBLANK(AC49)))</formula>
    </cfRule>
  </conditionalFormatting>
  <conditionalFormatting sqref="AC52 AC147 AC149:AC151">
    <cfRule type="expression" priority="71" aboveAverage="0" equalAverage="0" bottom="0" percent="0" rank="0" text="" dxfId="77">
      <formula>AND(COUNTIF($A$231:$A$65690, AC52)+COUNTIF($A$156:$A$162, AC52)+COUNTIF($A$2:$A$3, AC52)+COUNTIF($A$7:$A$152, AC52)+COUNTIF($B$6, AC52)+COUNTIF($A$5, AC52)+COUNTIF($A$185:$A$207, AC52)&gt;1,NOT(ISBLANK(AC52)))</formula>
    </cfRule>
  </conditionalFormatting>
  <conditionalFormatting sqref="AC77">
    <cfRule type="expression" priority="72" aboveAverage="0" equalAverage="0" bottom="0" percent="0" rank="0" text="" dxfId="78">
      <formula>AND(COUNTIF($A$231:$A$65690, AC77)+COUNTIF($A$156:$A$162, AC77)+COUNTIF($A$2:$A$3, AC77)+COUNTIF($A$7:$A$152, AC77)+COUNTIF($B$6, AC77)+COUNTIF($A$5, AC77)+COUNTIF($A$185:$A$207, AC77)&gt;1,NOT(ISBLANK(AC77)))</formula>
    </cfRule>
  </conditionalFormatting>
  <conditionalFormatting sqref="AC53:AC56">
    <cfRule type="expression" priority="73" aboveAverage="0" equalAverage="0" bottom="0" percent="0" rank="0" text="" dxfId="79">
      <formula>AND(COUNTIF($A$231:$A$65690, AC53)+COUNTIF($A$156:$A$162, AC53)+COUNTIF($A$2:$A$3, AC53)+COUNTIF($A$7:$A$152, AC53)+COUNTIF($B$6, AC53)+COUNTIF($A$5, AC53)+COUNTIF($A$185:$A$207, AC53)&gt;1,NOT(ISBLANK(AC53)))</formula>
    </cfRule>
  </conditionalFormatting>
  <conditionalFormatting sqref="AC350:AC351">
    <cfRule type="expression" priority="74" aboveAverage="0" equalAverage="0" bottom="0" percent="0" rank="0" text="" dxfId="80">
      <formula>AND(COUNTIF($A$227:$A$65680, AC350)+COUNTIF($A$156:$A$162, AC350)+COUNTIF($A$2:$A$3, AC350)+COUNTIF($A$7:$A$152, AC350)+COUNTIF($B$6, AC350)+COUNTIF($A$5, AC350)+COUNTIF($A$182:$A$204, AC350)&gt;1,NOT(ISBLANK(AC350)))</formula>
    </cfRule>
  </conditionalFormatting>
  <conditionalFormatting sqref="AC349">
    <cfRule type="expression" priority="75" aboveAverage="0" equalAverage="0" bottom="0" percent="0" rank="0" text="" dxfId="81">
      <formula>AND(COUNTIF($A$227:$A$65680, AC349)+COUNTIF($A$156:$A$162, AC349)+COUNTIF($A$2:$A$3, AC349)+COUNTIF($A$7:$A$152, AC349)+COUNTIF($B$6, AC349)+COUNTIF($A$5, AC349)+COUNTIF($A$182:$A$204, AC349)&gt;1,NOT(ISBLANK(AC349)))</formula>
    </cfRule>
  </conditionalFormatting>
  <conditionalFormatting sqref="AC347:AC348">
    <cfRule type="expression" priority="76" aboveAverage="0" equalAverage="0" bottom="0" percent="0" rank="0" text="" dxfId="82">
      <formula>AND(COUNTIF($A$227:$A$65680, AC347)+COUNTIF($A$156:$A$162, AC347)+COUNTIF($A$2:$A$3, AC347)+COUNTIF($A$7:$A$152, AC347)+COUNTIF($B$6, AC347)+COUNTIF($A$5, AC347)+COUNTIF($A$182:$A$204, AC347)&gt;1,NOT(ISBLANK(AC347)))</formula>
    </cfRule>
  </conditionalFormatting>
  <conditionalFormatting sqref="AC352">
    <cfRule type="expression" priority="77" aboveAverage="0" equalAverage="0" bottom="0" percent="0" rank="0" text="" dxfId="83">
      <formula>AND(COUNTIF($A$227:$A$65680, AC352)+COUNTIF($A$156:$A$162, AC352)+COUNTIF($A$2:$A$3, AC352)+COUNTIF($A$7:$A$152, AC352)+COUNTIF($B$6, AC352)+COUNTIF($A$5, AC352)+COUNTIF($A$182:$A$204, AC352)&gt;1,NOT(ISBLANK(AC352)))</formula>
    </cfRule>
  </conditionalFormatting>
  <conditionalFormatting sqref="AC348">
    <cfRule type="expression" priority="78" aboveAverage="0" equalAverage="0" bottom="0" percent="0" rank="0" text="" dxfId="84">
      <formula>AND(COUNTIF($A$227:$A$65678, AC348)+COUNTIF($A$156:$A$162, AC348)+COUNTIF($A$2:$A$3, AC348)+COUNTIF($A$7:$A$152, AC348)+COUNTIF($B$6, AC348)+COUNTIF($A$5, AC348)+COUNTIF($A$182:$A$204, AC348)&gt;1,NOT(ISBLANK(AC348)))</formula>
    </cfRule>
  </conditionalFormatting>
  <conditionalFormatting sqref="AC351">
    <cfRule type="expression" priority="79" aboveAverage="0" equalAverage="0" bottom="0" percent="0" rank="0" text="" dxfId="85">
      <formula>AND(COUNTIF($A$227:$A$65678, AC351)+COUNTIF($A$156:$A$162, AC351)+COUNTIF($A$2:$A$3, AC351)+COUNTIF($A$7:$A$152, AC351)+COUNTIF($B$6, AC351)+COUNTIF($A$5, AC351)+COUNTIF($A$182:$A$204, AC351)&gt;1,NOT(ISBLANK(AC351)))</formula>
    </cfRule>
  </conditionalFormatting>
  <conditionalFormatting sqref="AC386">
    <cfRule type="expression" priority="80" aboveAverage="0" equalAverage="0" bottom="0" percent="0" rank="0" text="" dxfId="86">
      <formula>AND(COUNTIF($A$227:$A$65678, AC386)+COUNTIF($A$156:$A$162, AC386)+COUNTIF($A$2:$A$3, AC386)+COUNTIF($A$7:$A$152, AC386)+COUNTIF($B$6, AC386)+COUNTIF($A$5, AC386)+COUNTIF($A$182:$A$204, AC386)&gt;1,NOT(ISBLANK(AC386)))</formula>
    </cfRule>
  </conditionalFormatting>
  <conditionalFormatting sqref="AC389">
    <cfRule type="expression" priority="81" aboveAverage="0" equalAverage="0" bottom="0" percent="0" rank="0" text="" dxfId="87">
      <formula>AND(COUNTIF($A$227:$A$65678, AC389)+COUNTIF($A$156:$A$162, AC389)+COUNTIF($A$2:$A$3, AC389)+COUNTIF($A$7:$A$152, AC389)+COUNTIF($B$6, AC389)+COUNTIF($A$5, AC389)+COUNTIF($A$182:$A$204, AC389)&gt;1,NOT(ISBLANK(AC389)))</formula>
    </cfRule>
  </conditionalFormatting>
  <conditionalFormatting sqref="AC388">
    <cfRule type="expression" priority="82" aboveAverage="0" equalAverage="0" bottom="0" percent="0" rank="0" text="" dxfId="88">
      <formula>AND(COUNTIF($A$227:$A$65678, AC388)+COUNTIF($A$156:$A$162, AC388)+COUNTIF($A$2:$A$3, AC388)+COUNTIF($A$7:$A$152, AC388)+COUNTIF($B$6, AC388)+COUNTIF($A$5, AC388)+COUNTIF($A$182:$A$204, AC388)&gt;1,NOT(ISBLANK(AC388)))</formula>
    </cfRule>
  </conditionalFormatting>
  <conditionalFormatting sqref="AC390">
    <cfRule type="expression" priority="83" aboveAverage="0" equalAverage="0" bottom="0" percent="0" rank="0" text="" dxfId="89">
      <formula>AND(COUNTIF($A$227:$A$65678, AC390)+COUNTIF($A$156:$A$162, AC390)+COUNTIF($A$2:$A$3, AC390)+COUNTIF($A$7:$A$152, AC390)+COUNTIF($B$6, AC390)+COUNTIF($A$5, AC390)+COUNTIF($A$182:$A$204, AC390)&gt;1,NOT(ISBLANK(AC390)))</formula>
    </cfRule>
  </conditionalFormatting>
  <conditionalFormatting sqref="AC28">
    <cfRule type="expression" priority="84" aboveAverage="0" equalAverage="0" bottom="0" percent="0" rank="0" text="" dxfId="90">
      <formula>AND(COUNTIF($A$221:$A$65672, AC28)+COUNTIF($A$147:$A$150, AC28)+COUNTIF($A$2:$A$3, AC28)+COUNTIF($A$7:$A$145, AC28)+COUNTIF($B$6, AC28)+COUNTIF($A$5, AC28)+COUNTIF($A$176:$A$198, AC28)&gt;1,NOT(ISBLANK(AC28)))</formula>
    </cfRule>
  </conditionalFormatting>
  <conditionalFormatting sqref="AC29">
    <cfRule type="expression" priority="85" aboveAverage="0" equalAverage="0" bottom="0" percent="0" rank="0" text="" dxfId="91">
      <formula>AND(COUNTIF($A$221:$A$65672, AC29)+COUNTIF($A$147:$A$150, AC29)+COUNTIF($A$2:$A$3, AC29)+COUNTIF($A$7:$A$145, AC29)+COUNTIF($B$6, AC29)+COUNTIF($A$5, AC29)+COUNTIF($A$176:$A$198, AC29)&gt;1,NOT(ISBLANK(AC29)))</formula>
    </cfRule>
  </conditionalFormatting>
  <conditionalFormatting sqref="AC29">
    <cfRule type="expression" priority="86" aboveAverage="0" equalAverage="0" bottom="0" percent="0" rank="0" text="" dxfId="92">
      <formula>AND(COUNTIF($A$221:$A$65672, AC29)+COUNTIF($A$147:$A$150, AC29)+COUNTIF($A$2:$A$3, AC29)+COUNTIF($A$7:$A$145, AC29)+COUNTIF($B$6, AC29)+COUNTIF($A$5, AC29)+COUNTIF($A$176:$A$198, AC29)&gt;1,NOT(ISBLANK(AC29)))</formula>
    </cfRule>
  </conditionalFormatting>
  <conditionalFormatting sqref="AC30">
    <cfRule type="expression" priority="87" aboveAverage="0" equalAverage="0" bottom="0" percent="0" rank="0" text="" dxfId="93">
      <formula>AND(COUNTIF($A$221:$A$65672, AC30)+COUNTIF($A$147:$A$150, AC30)+COUNTIF($A$2:$A$3, AC30)+COUNTIF($A$7:$A$145, AC30)+COUNTIF($B$6, AC30)+COUNTIF($A$5, AC30)+COUNTIF($A$176:$A$198, AC30)&gt;1,NOT(ISBLANK(AC30)))</formula>
    </cfRule>
  </conditionalFormatting>
  <conditionalFormatting sqref="AC35">
    <cfRule type="expression" priority="88" aboveAverage="0" equalAverage="0" bottom="0" percent="0" rank="0" text="" dxfId="94">
      <formula>AND(COUNTIF($A$214:$A$65665, AC35)+COUNTIF($A$89:$A$143, AC35)+COUNTIF($A$2:$A$3, AC35)+COUNTIF($A$7:$A$87, AC35)+COUNTIF($B$6, AC35)+COUNTIF($A$5, AC35)+COUNTIF($A$169:$A$191, AC35)&gt;1,NOT(ISBLANK(AC35)))</formula>
    </cfRule>
  </conditionalFormatting>
  <conditionalFormatting sqref="AC36">
    <cfRule type="expression" priority="89" aboveAverage="0" equalAverage="0" bottom="0" percent="0" rank="0" text="" dxfId="95">
      <formula>AND(COUNTIF($A$227:$A$65678, AC36)+COUNTIF($A$89:$A$143, AC36)+COUNTIF($A$2:$A$3, AC36)+COUNTIF($A$7:$A$87, AC36)+COUNTIF($B$6, AC36)+COUNTIF($A$5, AC36)+COUNTIF($A$169:$A$204, AC36)&gt;1,NOT(ISBLANK(AC36)))</formula>
    </cfRule>
  </conditionalFormatting>
  <conditionalFormatting sqref="AC36">
    <cfRule type="expression" priority="90" aboveAverage="0" equalAverage="0" bottom="0" percent="0" rank="0" text="" dxfId="96">
      <formula>AND(COUNTIF($A$214:$A$65665, AC36)+COUNTIF($A$89:$A$143, AC36)+COUNTIF($A$2:$A$3, AC36)+COUNTIF($A$7:$A$87, AC36)+COUNTIF($B$6, AC36)+COUNTIF($A$5, AC36)+COUNTIF($A$169:$A$191, AC36)&gt;1,NOT(ISBLANK(AC36)))</formula>
    </cfRule>
  </conditionalFormatting>
  <conditionalFormatting sqref="AC36">
    <cfRule type="expression" priority="91" aboveAverage="0" equalAverage="0" bottom="0" percent="0" rank="0" text="" dxfId="97">
      <formula>AND(COUNTIF($A$214:$A$65665, AC36)+COUNTIF($A$89:$A$143, AC36)+COUNTIF($A$2:$A$3, AC36)+COUNTIF($A$7:$A$87, AC36)+COUNTIF($B$6, AC36)+COUNTIF($A$5, AC36)+COUNTIF($A$169:$A$191, AC36)&gt;1,NOT(ISBLANK(AC36)))</formula>
    </cfRule>
  </conditionalFormatting>
  <conditionalFormatting sqref="AC37">
    <cfRule type="expression" priority="92" aboveAverage="0" equalAverage="0" bottom="0" percent="0" rank="0" text="" dxfId="98">
      <formula>AND(COUNTIF($A$214:$A$65665, AC37)+COUNTIF($A$89:$A$143, AC37)+COUNTIF($A$2:$A$3, AC37)+COUNTIF($A$7:$A$87, AC37)+COUNTIF($B$6, AC37)+COUNTIF($A$5, AC37)+COUNTIF($A$169:$A$191, AC37)&gt;1,NOT(ISBLANK(AC37)))</formula>
    </cfRule>
  </conditionalFormatting>
  <conditionalFormatting sqref="AC38">
    <cfRule type="expression" priority="93" aboveAverage="0" equalAverage="0" bottom="0" percent="0" rank="0" text="" dxfId="99">
      <formula>AND(COUNTIF($A$214:$A$65665, AC38)+COUNTIF($A$89:$A$143, AC38)+COUNTIF($A$2:$A$3, AC38)+COUNTIF($A$7:$A$87, AC38)+COUNTIF($B$6, AC38)+COUNTIF($A$5, AC38)+COUNTIF($A$169:$A$191, AC38)&gt;1,NOT(ISBLANK(AC38)))</formula>
    </cfRule>
  </conditionalFormatting>
  <conditionalFormatting sqref="AC39">
    <cfRule type="expression" priority="94" aboveAverage="0" equalAverage="0" bottom="0" percent="0" rank="0" text="" dxfId="100">
      <formula>AND(COUNTIF($A$214:$A$65665, AC39)+COUNTIF($A$89:$A$143, AC39)+COUNTIF($A$2:$A$3, AC39)+COUNTIF($A$7:$A$87, AC39)+COUNTIF($B$6, AC39)+COUNTIF($A$5, AC39)+COUNTIF($A$169:$A$191, AC39)&gt;1,NOT(ISBLANK(AC39)))</formula>
    </cfRule>
  </conditionalFormatting>
  <conditionalFormatting sqref="AC40">
    <cfRule type="expression" priority="95" aboveAverage="0" equalAverage="0" bottom="0" percent="0" rank="0" text="" dxfId="101">
      <formula>AND(COUNTIF($A$214:$A$65665, AC40)+COUNTIF($A$89:$A$143, AC40)+COUNTIF($A$2:$A$3, AC40)+COUNTIF($A$7:$A$87, AC40)+COUNTIF($B$6, AC40)+COUNTIF($A$5, AC40)+COUNTIF($A$169:$A$191, AC40)&gt;1,NOT(ISBLANK(AC40)))</formula>
    </cfRule>
  </conditionalFormatting>
  <conditionalFormatting sqref="AC41">
    <cfRule type="expression" priority="96" aboveAverage="0" equalAverage="0" bottom="0" percent="0" rank="0" text="" dxfId="102">
      <formula>AND(COUNTIF($A$214:$A$65665, AC41)+COUNTIF($A$89:$A$143, AC41)+COUNTIF($A$2:$A$3, AC41)+COUNTIF($A$7:$A$87, AC41)+COUNTIF($B$6, AC41)+COUNTIF($A$5, AC41)+COUNTIF($A$169:$A$191, AC41)&gt;1,NOT(ISBLANK(AC41)))</formula>
    </cfRule>
  </conditionalFormatting>
  <conditionalFormatting sqref="AC31">
    <cfRule type="expression" priority="97" aboveAverage="0" equalAverage="0" bottom="0" percent="0" rank="0" text="" dxfId="103">
      <formula>AND(COUNTIF($A$214:$A$65665, AC31)+COUNTIF($A$89:$A$143, AC31)+COUNTIF($A$2:$A$3, AC31)+COUNTIF($A$7:$A$87, AC31)+COUNTIF($B$6, AC31)+COUNTIF($A$5, AC31)+COUNTIF($A$169:$A$191, AC31)&gt;1,NOT(ISBLANK(AC31)))</formula>
    </cfRule>
  </conditionalFormatting>
  <conditionalFormatting sqref="AC58">
    <cfRule type="expression" priority="98" aboveAverage="0" equalAverage="0" bottom="0" percent="0" rank="0" text="" dxfId="104">
      <formula>AND(COUNTIF($A$191:$A$65642, AC58)+COUNTIF($A$67:$A$70, AC58)+COUNTIF($A$2:$A$3, AC58)+COUNTIF($A$7:$A$65, AC58)+COUNTIF($B$6, AC58)+COUNTIF($A$5, AC58)+COUNTIF($A$118:$A$167, AC58)&gt;1,NOT(ISBLANK(AC58)))</formula>
    </cfRule>
  </conditionalFormatting>
  <conditionalFormatting sqref="AC59">
    <cfRule type="expression" priority="99" aboveAverage="0" equalAverage="0" bottom="0" percent="0" rank="0" text="" dxfId="105">
      <formula>AND(COUNTIF($A$191:$A$65642, AC59)+COUNTIF($A$67:$A$70, AC59)+COUNTIF($A$2:$A$3, AC59)+COUNTIF($A$7:$A$65, AC59)+COUNTIF($B$6, AC59)+COUNTIF($A$5, AC59)+COUNTIF($A$118:$A$167, AC59)&gt;1,NOT(ISBLANK(AC59)))</formula>
    </cfRule>
  </conditionalFormatting>
  <conditionalFormatting sqref="AC60">
    <cfRule type="expression" priority="100" aboveAverage="0" equalAverage="0" bottom="0" percent="0" rank="0" text="" dxfId="106">
      <formula>AND(COUNTIF($A$191:$A$65642, AC60)+COUNTIF($A$67:$A$70, AC60)+COUNTIF($A$2:$A$3, AC60)+COUNTIF($A$7:$A$65, AC60)+COUNTIF($B$6, AC60)+COUNTIF($A$5, AC60)+COUNTIF($A$118:$A$167, AC60)&gt;1,NOT(ISBLANK(AC60)))</formula>
    </cfRule>
  </conditionalFormatting>
  <conditionalFormatting sqref="AC61">
    <cfRule type="expression" priority="101" aboveAverage="0" equalAverage="0" bottom="0" percent="0" rank="0" text="" dxfId="107">
      <formula>AND(COUNTIF($A$191:$A$65642, AC61)+COUNTIF($A$67:$A$70, AC61)+COUNTIF($A$2:$A$3, AC61)+COUNTIF($A$7:$A$65, AC61)+COUNTIF($B$6, AC61)+COUNTIF($A$5, AC61)+COUNTIF($A$118:$A$167, AC61)&gt;1,NOT(ISBLANK(AC61)))</formula>
    </cfRule>
  </conditionalFormatting>
  <conditionalFormatting sqref="AC69">
    <cfRule type="expression" priority="102" aboveAverage="0" equalAverage="0" bottom="0" percent="0" rank="0" text="" dxfId="108">
      <formula>AND(COUNTIF($A$191:$A$65642, AC69)+COUNTIF($A$67:$A$70, AC69)+COUNTIF($A$2:$A$3, AC69)+COUNTIF($A$7:$A$65, AC69)+COUNTIF($B$6, AC69)+COUNTIF($A$5, AC69)+COUNTIF($A$118:$A$167, AC69)&gt;1,NOT(ISBLANK(AC69)))</formula>
    </cfRule>
  </conditionalFormatting>
  <conditionalFormatting sqref="AC69">
    <cfRule type="expression" priority="103" aboveAverage="0" equalAverage="0" bottom="0" percent="0" rank="0" text="" dxfId="109">
      <formula>AND(COUNTIF($A$191:$A$65642, AC69)+COUNTIF($A$67:$A$70, AC69)+COUNTIF($A$2:$A$3, AC69)+COUNTIF($A$7:$A$65, AC69)+COUNTIF($B$6, AC69)+COUNTIF($A$5, AC69)+COUNTIF($A$118:$A$167, AC69)&gt;1,NOT(ISBLANK(AC69)))</formula>
    </cfRule>
  </conditionalFormatting>
  <conditionalFormatting sqref="AC70">
    <cfRule type="expression" priority="104" aboveAverage="0" equalAverage="0" bottom="0" percent="0" rank="0" text="" dxfId="110">
      <formula>AND(COUNTIF($A$191:$A$65642, AC70)+COUNTIF($A$67:$A$70, AC70)+COUNTIF($A$2:$A$3, AC70)+COUNTIF($A$7:$A$65, AC70)+COUNTIF($B$6, AC70)+COUNTIF($A$5, AC70)+COUNTIF($A$118:$A$167, AC70)&gt;1,NOT(ISBLANK(AC70)))</formula>
    </cfRule>
  </conditionalFormatting>
  <conditionalFormatting sqref="AC71">
    <cfRule type="expression" priority="105" aboveAverage="0" equalAverage="0" bottom="0" percent="0" rank="0" text="" dxfId="111">
      <formula>AND(COUNTIF($A$191:$A$65642, AC71)+COUNTIF($A$67:$A$70, AC71)+COUNTIF($A$2:$A$3, AC71)+COUNTIF($A$7:$A$65, AC71)+COUNTIF($B$6, AC71)+COUNTIF($A$5, AC71)+COUNTIF($A$118:$A$167, AC71)&gt;1,NOT(ISBLANK(AC71)))</formula>
    </cfRule>
  </conditionalFormatting>
  <conditionalFormatting sqref="AC72">
    <cfRule type="expression" priority="106" aboveAverage="0" equalAverage="0" bottom="0" percent="0" rank="0" text="" dxfId="112">
      <formula>AND(COUNTIF($A$191:$A$65642, AC72)+COUNTIF($A$67:$A$70, AC72)+COUNTIF($A$2:$A$3, AC72)+COUNTIF($A$7:$A$65, AC72)+COUNTIF($B$6, AC72)+COUNTIF($A$5, AC72)+COUNTIF($A$118:$A$167, AC72)&gt;1,NOT(ISBLANK(AC72)))</formula>
    </cfRule>
  </conditionalFormatting>
  <conditionalFormatting sqref="AC73">
    <cfRule type="expression" priority="107" aboveAverage="0" equalAverage="0" bottom="0" percent="0" rank="0" text="" dxfId="113">
      <formula>AND(COUNTIF($A$191:$A$65642, AC73)+COUNTIF($A$67:$A$70, AC73)+COUNTIF($A$2:$A$3, AC73)+COUNTIF($A$7:$A$65, AC73)+COUNTIF($B$6, AC73)+COUNTIF($A$5, AC73)+COUNTIF($A$118:$A$167, AC73)&gt;1,NOT(ISBLANK(AC73)))</formula>
    </cfRule>
  </conditionalFormatting>
  <conditionalFormatting sqref="AC74">
    <cfRule type="expression" priority="108" aboveAverage="0" equalAverage="0" bottom="0" percent="0" rank="0" text="" dxfId="114">
      <formula>AND(COUNTIF($A$191:$A$65642, AC74)+COUNTIF($A$67:$A$70, AC74)+COUNTIF($A$2:$A$3, AC74)+COUNTIF($A$7:$A$65, AC74)+COUNTIF($B$6, AC74)+COUNTIF($A$5, AC74)+COUNTIF($A$118:$A$167, AC74)&gt;1,NOT(ISBLANK(AC74)))</formula>
    </cfRule>
  </conditionalFormatting>
  <conditionalFormatting sqref="AC75">
    <cfRule type="expression" priority="109" aboveAverage="0" equalAverage="0" bottom="0" percent="0" rank="0" text="" dxfId="115">
      <formula>AND(COUNTIF($A$191:$A$65642, AC75)+COUNTIF($A$67:$A$70, AC75)+COUNTIF($A$2:$A$3, AC75)+COUNTIF($A$7:$A$65, AC75)+COUNTIF($B$6, AC75)+COUNTIF($A$5, AC75)+COUNTIF($A$118:$A$167, AC75)&gt;1,NOT(ISBLANK(AC75)))</formula>
    </cfRule>
  </conditionalFormatting>
  <conditionalFormatting sqref="AC76">
    <cfRule type="expression" priority="110" aboveAverage="0" equalAverage="0" bottom="0" percent="0" rank="0" text="" dxfId="116">
      <formula>AND(COUNTIF($A$191:$A$65642, AC76)+COUNTIF($A$67:$A$70, AC76)+COUNTIF($A$2:$A$3, AC76)+COUNTIF($A$7:$A$65, AC76)+COUNTIF($B$6, AC76)+COUNTIF($A$5, AC76)+COUNTIF($A$118:$A$167, AC76)&gt;1,NOT(ISBLANK(AC76)))</formula>
    </cfRule>
  </conditionalFormatting>
  <conditionalFormatting sqref="AC91:AC119">
    <cfRule type="expression" priority="111" aboveAverage="0" equalAverage="0" bottom="0" percent="0" rank="0" text="" dxfId="117">
      <formula>AND(COUNTIF($A$191:$A$65642, AC91)+COUNTIF($A$67:$A$70, AC91)+COUNTIF($A$2:$A$3, AC91)+COUNTIF($A$7:$A$65, AC91)+COUNTIF($B$6, AC91)+COUNTIF($A$5, AC91)+COUNTIF($A$118:$A$167, AC91)&gt;1,NOT(ISBLANK(AC91)))</formula>
    </cfRule>
  </conditionalFormatting>
  <conditionalFormatting sqref="AC145">
    <cfRule type="expression" priority="112" aboveAverage="0" equalAverage="0" bottom="0" percent="0" rank="0" text="" dxfId="118">
      <formula>AND(COUNTIF($A$191:$A$65642, AC145)+COUNTIF($A$67:$A$70, AC145)+COUNTIF($A$2:$A$3, AC145)+COUNTIF($A$7:$A$65, AC145)+COUNTIF($B$6, AC145)+COUNTIF($A$5, AC145)+COUNTIF($A$118:$A$167, AC145)&gt;1,NOT(ISBLANK(AC145)))</formula>
    </cfRule>
  </conditionalFormatting>
  <conditionalFormatting sqref="AC137:AC144">
    <cfRule type="expression" priority="113" aboveAverage="0" equalAverage="0" bottom="0" percent="0" rank="0" text="" dxfId="119">
      <formula>AND(COUNTIF($A$191:$A$65642, AC137)+COUNTIF($A$67:$A$70, AC137)+COUNTIF($A$2:$A$3, AC137)+COUNTIF($A$7:$A$65, AC137)+COUNTIF($B$6, AC137)+COUNTIF($A$5, AC137)+COUNTIF($A$118:$A$167, AC137)&gt;1,NOT(ISBLANK(AC137)))</formula>
    </cfRule>
  </conditionalFormatting>
  <conditionalFormatting sqref="AC120:AC136">
    <cfRule type="expression" priority="114" aboveAverage="0" equalAverage="0" bottom="0" percent="0" rank="0" text="" dxfId="120">
      <formula>AND(COUNTIF($A$191:$A$65642, AC120)+COUNTIF($A$67:$A$70, AC120)+COUNTIF($A$2:$A$3, AC120)+COUNTIF($A$7:$A$65, AC120)+COUNTIF($B$6, AC120)+COUNTIF($A$5, AC120)+COUNTIF($A$118:$A$167, AC120)&gt;1,NOT(ISBLANK(AC120)))</formula>
    </cfRule>
  </conditionalFormatting>
  <conditionalFormatting sqref="AC138">
    <cfRule type="expression" priority="115" aboveAverage="0" equalAverage="0" bottom="0" percent="0" rank="0" text="" dxfId="121">
      <formula>AND(COUNTIF($A$186:$A$65639, AC138)+COUNTIF($A$67:$A$70, AC138)+COUNTIF($A$2:$A$3, AC138)+COUNTIF($A$7:$A$65, AC138)+COUNTIF($B$6, AC138)+COUNTIF($A$5, AC138)+COUNTIF($A$118:$A$164, AC138)&gt;1,NOT(ISBLANK(AC138)))</formula>
    </cfRule>
  </conditionalFormatting>
  <conditionalFormatting sqref="AC139">
    <cfRule type="expression" priority="116" aboveAverage="0" equalAverage="0" bottom="0" percent="0" rank="0" text="" dxfId="122">
      <formula>AND(COUNTIF($A$186:$A$65639, AC139)+COUNTIF($A$67:$A$70, AC139)+COUNTIF($A$2:$A$3, AC139)+COUNTIF($A$7:$A$65, AC139)+COUNTIF($B$6, AC139)+COUNTIF($A$5, AC139)+COUNTIF($A$118:$A$164, AC139)&gt;1,NOT(ISBLANK(AC139)))</formula>
    </cfRule>
  </conditionalFormatting>
  <conditionalFormatting sqref="AC140:AC144">
    <cfRule type="expression" priority="117" aboveAverage="0" equalAverage="0" bottom="0" percent="0" rank="0" text="" dxfId="123">
      <formula>AND(COUNTIF($A$186:$A$65639, AC140)+COUNTIF($A$67:$A$70, AC140)+COUNTIF($A$2:$A$3, AC140)+COUNTIF($A$7:$A$65, AC140)+COUNTIF($B$6, AC140)+COUNTIF($A$5, AC140)+COUNTIF($A$118:$A$164, AC140)&gt;1,NOT(ISBLANK(AC140)))</formula>
    </cfRule>
  </conditionalFormatting>
  <conditionalFormatting sqref="AC121">
    <cfRule type="expression" priority="118" aboveAverage="0" equalAverage="0" bottom="0" percent="0" rank="0" text="" dxfId="124">
      <formula>AND(COUNTIF($A$176:$A$65629, AC121)+COUNTIF($A$67:$A$70, AC121)+COUNTIF($A$2:$A$3, AC121)+COUNTIF($A$7:$A$65, AC121)+COUNTIF($B$6, AC121)+COUNTIF($A$5, AC121)+COUNTIF($A$118:$A$148, AC121)&gt;1,NOT(ISBLANK(AC121)))</formula>
    </cfRule>
  </conditionalFormatting>
  <conditionalFormatting sqref="AC122">
    <cfRule type="expression" priority="119" aboveAverage="0" equalAverage="0" bottom="0" percent="0" rank="0" text="" dxfId="125">
      <formula>AND(COUNTIF($A$176:$A$65629, AC122)+COUNTIF($A$67:$A$70, AC122)+COUNTIF($A$2:$A$3, AC122)+COUNTIF($A$7:$A$65, AC122)+COUNTIF($B$6, AC122)+COUNTIF($A$5, AC122)+COUNTIF($A$118:$A$148, AC122)&gt;1,NOT(ISBLANK(AC122)))</formula>
    </cfRule>
  </conditionalFormatting>
  <conditionalFormatting sqref="AC123">
    <cfRule type="expression" priority="120" aboveAverage="0" equalAverage="0" bottom="0" percent="0" rank="0" text="" dxfId="126">
      <formula>AND(COUNTIF($A$176:$A$65629, AC123)+COUNTIF($A$67:$A$70, AC123)+COUNTIF($A$2:$A$3, AC123)+COUNTIF($A$7:$A$65, AC123)+COUNTIF($B$6, AC123)+COUNTIF($A$5, AC123)+COUNTIF($A$118:$A$148, AC123)&gt;1,NOT(ISBLANK(AC123)))</formula>
    </cfRule>
  </conditionalFormatting>
  <conditionalFormatting sqref="AC124">
    <cfRule type="expression" priority="121" aboveAverage="0" equalAverage="0" bottom="0" percent="0" rank="0" text="" dxfId="127">
      <formula>AND(COUNTIF($A$176:$A$65629, AC124)+COUNTIF($A$67:$A$70, AC124)+COUNTIF($A$2:$A$3, AC124)+COUNTIF($A$7:$A$65, AC124)+COUNTIF($B$6, AC124)+COUNTIF($A$5, AC124)+COUNTIF($A$118:$A$148, AC124)&gt;1,NOT(ISBLANK(AC124)))</formula>
    </cfRule>
  </conditionalFormatting>
  <conditionalFormatting sqref="AC125:AC129">
    <cfRule type="expression" priority="122" aboveAverage="0" equalAverage="0" bottom="0" percent="0" rank="0" text="" dxfId="128">
      <formula>AND(COUNTIF($A$176:$A$65629, AC125)+COUNTIF($A$67:$A$70, AC125)+COUNTIF($A$2:$A$3, AC125)+COUNTIF($A$7:$A$65, AC125)+COUNTIF($B$6, AC125)+COUNTIF($A$5, AC125)+COUNTIF($A$118:$A$148, AC125)&gt;1,NOT(ISBLANK(AC125)))</formula>
    </cfRule>
  </conditionalFormatting>
  <conditionalFormatting sqref="AC130:AC136">
    <cfRule type="expression" priority="123" aboveAverage="0" equalAverage="0" bottom="0" percent="0" rank="0" text="" dxfId="129">
      <formula>AND(COUNTIF($A$176:$A$65629, AC130)+COUNTIF($A$67:$A$70, AC130)+COUNTIF($A$2:$A$3, AC130)+COUNTIF($A$7:$A$65, AC130)+COUNTIF($B$6, AC130)+COUNTIF($A$5, AC130)+COUNTIF($A$118:$A$148, AC130)&gt;1,NOT(ISBLANK(AC130)))</formula>
    </cfRule>
  </conditionalFormatting>
  <conditionalFormatting sqref="AC103:AC104">
    <cfRule type="expression" priority="124" aboveAverage="0" equalAverage="0" bottom="0" percent="0" rank="0" text="" dxfId="130">
      <formula>AND(COUNTIF($A$162:$A$65615, AC103)+COUNTIF($A$67:$A$70, AC103)+COUNTIF($A$2:$A$3, AC103)+COUNTIF($A$7:$A$65, AC103)+COUNTIF($B$6, AC103)+COUNTIF($A$5, AC103)+COUNTIF($A$90:$A$124, AC103)&gt;1,NOT(ISBLANK(AC103)))</formula>
    </cfRule>
  </conditionalFormatting>
  <conditionalFormatting sqref="AC92">
    <cfRule type="expression" priority="125" aboveAverage="0" equalAverage="0" bottom="0" percent="0" rank="0" text="" dxfId="131">
      <formula>AND(COUNTIF($A$143:$A$65602, AC92)+COUNTIF($A$67:$A$70, AC92)+COUNTIF($A$2:$A$3, AC92)+COUNTIF($A$7:$A$65, AC92)+COUNTIF($B$6, AC92)+COUNTIF($A$5, AC92)+COUNTIF($A$90:$A$110, AC92)&gt;1,NOT(ISBLANK(AC92)))</formula>
    </cfRule>
  </conditionalFormatting>
  <conditionalFormatting sqref="AC93:AC94">
    <cfRule type="expression" priority="126" aboveAverage="0" equalAverage="0" bottom="0" percent="0" rank="0" text="" dxfId="132">
      <formula>AND(COUNTIF($A$143:$A$65602, AC93)+COUNTIF($A$67:$A$70, AC93)+COUNTIF($A$2:$A$3, AC93)+COUNTIF($A$7:$A$65, AC93)+COUNTIF($B$6, AC93)+COUNTIF($A$5, AC93)+COUNTIF($A$90:$A$110, AC93)&gt;1,NOT(ISBLANK(AC93)))</formula>
    </cfRule>
  </conditionalFormatting>
  <conditionalFormatting sqref="AC95">
    <cfRule type="expression" priority="127" aboveAverage="0" equalAverage="0" bottom="0" percent="0" rank="0" text="" dxfId="133">
      <formula>AND(COUNTIF($A$143:$A$65602, AC95)+COUNTIF($A$67:$A$70, AC95)+COUNTIF($A$2:$A$3, AC95)+COUNTIF($A$7:$A$65, AC95)+COUNTIF($B$6, AC95)+COUNTIF($A$5, AC95)+COUNTIF($A$90:$A$110, AC95)&gt;1,NOT(ISBLANK(AC95)))</formula>
    </cfRule>
  </conditionalFormatting>
  <conditionalFormatting sqref="AC96">
    <cfRule type="expression" priority="128" aboveAverage="0" equalAverage="0" bottom="0" percent="0" rank="0" text="" dxfId="134">
      <formula>AND(COUNTIF($A$143:$A$65602, AC96)+COUNTIF($A$67:$A$70, AC96)+COUNTIF($A$2:$A$3, AC96)+COUNTIF($A$7:$A$65, AC96)+COUNTIF($B$6, AC96)+COUNTIF($A$5, AC96)+COUNTIF($A$90:$A$110, AC96)&gt;1,NOT(ISBLANK(AC96)))</formula>
    </cfRule>
  </conditionalFormatting>
  <conditionalFormatting sqref="AC97">
    <cfRule type="expression" priority="129" aboveAverage="0" equalAverage="0" bottom="0" percent="0" rank="0" text="" dxfId="135">
      <formula>AND(COUNTIF($A$143:$A$65602, AC97)+COUNTIF($A$67:$A$70, AC97)+COUNTIF($A$2:$A$3, AC97)+COUNTIF($A$7:$A$65, AC97)+COUNTIF($B$6, AC97)+COUNTIF($A$5, AC97)+COUNTIF($A$90:$A$110, AC97)&gt;1,NOT(ISBLANK(AC97)))</formula>
    </cfRule>
  </conditionalFormatting>
  <conditionalFormatting sqref="AC98">
    <cfRule type="expression" priority="130" aboveAverage="0" equalAverage="0" bottom="0" percent="0" rank="0" text="" dxfId="136">
      <formula>AND(COUNTIF($A$143:$A$65602, AC98)+COUNTIF($A$67:$A$70, AC98)+COUNTIF($A$2:$A$3, AC98)+COUNTIF($A$7:$A$65, AC98)+COUNTIF($B$6, AC98)+COUNTIF($A$5, AC98)+COUNTIF($A$90:$A$110, AC98)&gt;1,NOT(ISBLANK(AC98)))</formula>
    </cfRule>
  </conditionalFormatting>
  <conditionalFormatting sqref="AC99">
    <cfRule type="expression" priority="131" aboveAverage="0" equalAverage="0" bottom="0" percent="0" rank="0" text="" dxfId="137">
      <formula>AND(COUNTIF($A$143:$A$65602, AC99)+COUNTIF($A$67:$A$70, AC99)+COUNTIF($A$2:$A$3, AC99)+COUNTIF($A$7:$A$65, AC99)+COUNTIF($B$6, AC99)+COUNTIF($A$5, AC99)+COUNTIF($A$90:$A$110, AC99)&gt;1,NOT(ISBLANK(AC99)))</formula>
    </cfRule>
  </conditionalFormatting>
  <conditionalFormatting sqref="AC100">
    <cfRule type="expression" priority="132" aboveAverage="0" equalAverage="0" bottom="0" percent="0" rank="0" text="" dxfId="138">
      <formula>AND(COUNTIF($A$143:$A$65602, AC100)+COUNTIF($A$67:$A$70, AC100)+COUNTIF($A$2:$A$3, AC100)+COUNTIF($A$7:$A$65, AC100)+COUNTIF($B$6, AC100)+COUNTIF($A$5, AC100)+COUNTIF($A$90:$A$110, AC100)&gt;1,NOT(ISBLANK(AC100)))</formula>
    </cfRule>
  </conditionalFormatting>
  <conditionalFormatting sqref="AC101">
    <cfRule type="expression" priority="133" aboveAverage="0" equalAverage="0" bottom="0" percent="0" rank="0" text="" dxfId="139">
      <formula>AND(COUNTIF($A$143:$A$65602, AC101)+COUNTIF($A$67:$A$70, AC101)+COUNTIF($A$2:$A$3, AC101)+COUNTIF($A$7:$A$65, AC101)+COUNTIF($B$6, AC101)+COUNTIF($A$5, AC101)+COUNTIF($A$90:$A$110, AC101)&gt;1,NOT(ISBLANK(AC101)))</formula>
    </cfRule>
  </conditionalFormatting>
  <conditionalFormatting sqref="AC102">
    <cfRule type="expression" priority="134" aboveAverage="0" equalAverage="0" bottom="0" percent="0" rank="0" text="" dxfId="140">
      <formula>AND(COUNTIF($A$143:$A$65602, AC102)+COUNTIF($A$67:$A$70, AC102)+COUNTIF($A$2:$A$3, AC102)+COUNTIF($A$7:$A$65, AC102)+COUNTIF($B$6, AC102)+COUNTIF($A$5, AC102)+COUNTIF($A$90:$A$110, AC102)&gt;1,NOT(ISBLANK(AC102)))</formula>
    </cfRule>
  </conditionalFormatting>
  <conditionalFormatting sqref="AC103">
    <cfRule type="expression" priority="135" aboveAverage="0" equalAverage="0" bottom="0" percent="0" rank="0" text="" dxfId="141">
      <formula>AND(COUNTIF($A$143:$A$65602, AC103)+COUNTIF($A$67:$A$70, AC103)+COUNTIF($A$2:$A$3, AC103)+COUNTIF($A$7:$A$65, AC103)+COUNTIF($B$6, AC103)+COUNTIF($A$5, AC103)+COUNTIF($A$90:$A$110, AC103)&gt;1,NOT(ISBLANK(AC103)))</formula>
    </cfRule>
  </conditionalFormatting>
  <conditionalFormatting sqref="AC104">
    <cfRule type="expression" priority="136" aboveAverage="0" equalAverage="0" bottom="0" percent="0" rank="0" text="" dxfId="142">
      <formula>AND(COUNTIF($A$143:$A$65602, AC104)+COUNTIF($A$67:$A$70, AC104)+COUNTIF($A$2:$A$3, AC104)+COUNTIF($A$7:$A$65, AC104)+COUNTIF($B$6, AC104)+COUNTIF($A$5, AC104)+COUNTIF($A$90:$A$110, AC104)&gt;1,NOT(ISBLANK(AC104)))</formula>
    </cfRule>
  </conditionalFormatting>
  <conditionalFormatting sqref="AC105">
    <cfRule type="expression" priority="137" aboveAverage="0" equalAverage="0" bottom="0" percent="0" rank="0" text="" dxfId="143">
      <formula>AND(COUNTIF($A$162:$A$65615, AC105)+COUNTIF($A$67:$A$70, AC105)+COUNTIF($A$2:$A$3, AC105)+COUNTIF($A$7:$A$65, AC105)+COUNTIF($B$6, AC105)+COUNTIF($A$5, AC105)+COUNTIF($A$90:$A$124, AC105)&gt;1,NOT(ISBLANK(AC105)))</formula>
    </cfRule>
  </conditionalFormatting>
  <conditionalFormatting sqref="AC105">
    <cfRule type="expression" priority="138" aboveAverage="0" equalAverage="0" bottom="0" percent="0" rank="0" text="" dxfId="144">
      <formula>AND(COUNTIF($A$143:$A$65602, AC105)+COUNTIF($A$67:$A$70, AC105)+COUNTIF($A$2:$A$3, AC105)+COUNTIF($A$7:$A$65, AC105)+COUNTIF($B$6, AC105)+COUNTIF($A$5, AC105)+COUNTIF($A$90:$A$110, AC105)&gt;1,NOT(ISBLANK(AC105)))</formula>
    </cfRule>
  </conditionalFormatting>
  <conditionalFormatting sqref="AC106">
    <cfRule type="expression" priority="139" aboveAverage="0" equalAverage="0" bottom="0" percent="0" rank="0" text="" dxfId="145">
      <formula>AND(COUNTIF($A$162:$A$65615, AC106)+COUNTIF($A$67:$A$70, AC106)+COUNTIF($A$2:$A$3, AC106)+COUNTIF($A$7:$A$65, AC106)+COUNTIF($B$6, AC106)+COUNTIF($A$5, AC106)+COUNTIF($A$90:$A$124, AC106)&gt;1,NOT(ISBLANK(AC106)))</formula>
    </cfRule>
  </conditionalFormatting>
  <conditionalFormatting sqref="AC106">
    <cfRule type="expression" priority="140" aboveAverage="0" equalAverage="0" bottom="0" percent="0" rank="0" text="" dxfId="146">
      <formula>AND(COUNTIF($A$143:$A$65602, AC106)+COUNTIF($A$67:$A$70, AC106)+COUNTIF($A$2:$A$3, AC106)+COUNTIF($A$7:$A$65, AC106)+COUNTIF($B$6, AC106)+COUNTIF($A$5, AC106)+COUNTIF($A$90:$A$110, AC106)&gt;1,NOT(ISBLANK(AC106)))</formula>
    </cfRule>
  </conditionalFormatting>
  <conditionalFormatting sqref="AC107">
    <cfRule type="expression" priority="141" aboveAverage="0" equalAverage="0" bottom="0" percent="0" rank="0" text="" dxfId="147">
      <formula>AND(COUNTIF($A$162:$A$65615, AC107)+COUNTIF($A$67:$A$70, AC107)+COUNTIF($A$2:$A$3, AC107)+COUNTIF($A$7:$A$65, AC107)+COUNTIF($B$6, AC107)+COUNTIF($A$5, AC107)+COUNTIF($A$90:$A$124, AC107)&gt;1,NOT(ISBLANK(AC107)))</formula>
    </cfRule>
  </conditionalFormatting>
  <conditionalFormatting sqref="AC107">
    <cfRule type="expression" priority="142" aboveAverage="0" equalAverage="0" bottom="0" percent="0" rank="0" text="" dxfId="148">
      <formula>AND(COUNTIF($A$143:$A$65602, AC107)+COUNTIF($A$67:$A$70, AC107)+COUNTIF($A$2:$A$3, AC107)+COUNTIF($A$7:$A$65, AC107)+COUNTIF($B$6, AC107)+COUNTIF($A$5, AC107)+COUNTIF($A$90:$A$110, AC107)&gt;1,NOT(ISBLANK(AC107)))</formula>
    </cfRule>
  </conditionalFormatting>
  <conditionalFormatting sqref="AC108">
    <cfRule type="expression" priority="143" aboveAverage="0" equalAverage="0" bottom="0" percent="0" rank="0" text="" dxfId="149">
      <formula>AND(COUNTIF($A$162:$A$65615, AC108)+COUNTIF($A$67:$A$70, AC108)+COUNTIF($A$2:$A$3, AC108)+COUNTIF($A$7:$A$65, AC108)+COUNTIF($B$6, AC108)+COUNTIF($A$5, AC108)+COUNTIF($A$90:$A$124, AC108)&gt;1,NOT(ISBLANK(AC108)))</formula>
    </cfRule>
  </conditionalFormatting>
  <conditionalFormatting sqref="AC108">
    <cfRule type="expression" priority="144" aboveAverage="0" equalAverage="0" bottom="0" percent="0" rank="0" text="" dxfId="150">
      <formula>AND(COUNTIF($A$143:$A$65602, AC108)+COUNTIF($A$67:$A$70, AC108)+COUNTIF($A$2:$A$3, AC108)+COUNTIF($A$7:$A$65, AC108)+COUNTIF($B$6, AC108)+COUNTIF($A$5, AC108)+COUNTIF($A$90:$A$110, AC108)&gt;1,NOT(ISBLANK(AC108)))</formula>
    </cfRule>
  </conditionalFormatting>
  <conditionalFormatting sqref="AC109">
    <cfRule type="expression" priority="145" aboveAverage="0" equalAverage="0" bottom="0" percent="0" rank="0" text="" dxfId="151">
      <formula>AND(COUNTIF($A$162:$A$65615, AC109)+COUNTIF($A$67:$A$70, AC109)+COUNTIF($A$2:$A$3, AC109)+COUNTIF($A$7:$A$65, AC109)+COUNTIF($B$6, AC109)+COUNTIF($A$5, AC109)+COUNTIF($A$90:$A$124, AC109)&gt;1,NOT(ISBLANK(AC109)))</formula>
    </cfRule>
  </conditionalFormatting>
  <conditionalFormatting sqref="AC109">
    <cfRule type="expression" priority="146" aboveAverage="0" equalAverage="0" bottom="0" percent="0" rank="0" text="" dxfId="152">
      <formula>AND(COUNTIF($A$143:$A$65602, AC109)+COUNTIF($A$67:$A$70, AC109)+COUNTIF($A$2:$A$3, AC109)+COUNTIF($A$7:$A$65, AC109)+COUNTIF($B$6, AC109)+COUNTIF($A$5, AC109)+COUNTIF($A$90:$A$110, AC109)&gt;1,NOT(ISBLANK(AC109)))</formula>
    </cfRule>
  </conditionalFormatting>
  <conditionalFormatting sqref="AC110">
    <cfRule type="expression" priority="147" aboveAverage="0" equalAverage="0" bottom="0" percent="0" rank="0" text="" dxfId="153">
      <formula>AND(COUNTIF($A$162:$A$65615, AC110)+COUNTIF($A$67:$A$70, AC110)+COUNTIF($A$2:$A$3, AC110)+COUNTIF($A$7:$A$65, AC110)+COUNTIF($B$6, AC110)+COUNTIF($A$5, AC110)+COUNTIF($A$90:$A$124, AC110)&gt;1,NOT(ISBLANK(AC110)))</formula>
    </cfRule>
  </conditionalFormatting>
  <conditionalFormatting sqref="AC110">
    <cfRule type="expression" priority="148" aboveAverage="0" equalAverage="0" bottom="0" percent="0" rank="0" text="" dxfId="154">
      <formula>AND(COUNTIF($A$143:$A$65602, AC110)+COUNTIF($A$67:$A$70, AC110)+COUNTIF($A$2:$A$3, AC110)+COUNTIF($A$7:$A$65, AC110)+COUNTIF($B$6, AC110)+COUNTIF($A$5, AC110)+COUNTIF($A$90:$A$110, AC110)&gt;1,NOT(ISBLANK(AC110)))</formula>
    </cfRule>
  </conditionalFormatting>
  <conditionalFormatting sqref="AC111">
    <cfRule type="expression" priority="149" aboveAverage="0" equalAverage="0" bottom="0" percent="0" rank="0" text="" dxfId="155">
      <formula>AND(COUNTIF($A$162:$A$65615, AC111)+COUNTIF($A$67:$A$70, AC111)+COUNTIF($A$2:$A$3, AC111)+COUNTIF($A$7:$A$65, AC111)+COUNTIF($B$6, AC111)+COUNTIF($A$5, AC111)+COUNTIF($A$90:$A$124, AC111)&gt;1,NOT(ISBLANK(AC111)))</formula>
    </cfRule>
  </conditionalFormatting>
  <conditionalFormatting sqref="AC111">
    <cfRule type="expression" priority="150" aboveAverage="0" equalAverage="0" bottom="0" percent="0" rank="0" text="" dxfId="156">
      <formula>AND(COUNTIF($A$143:$A$65602, AC111)+COUNTIF($A$67:$A$70, AC111)+COUNTIF($A$2:$A$3, AC111)+COUNTIF($A$7:$A$65, AC111)+COUNTIF($B$6, AC111)+COUNTIF($A$5, AC111)+COUNTIF($A$90:$A$110, AC111)&gt;1,NOT(ISBLANK(AC111)))</formula>
    </cfRule>
  </conditionalFormatting>
  <conditionalFormatting sqref="AC112">
    <cfRule type="expression" priority="151" aboveAverage="0" equalAverage="0" bottom="0" percent="0" rank="0" text="" dxfId="157">
      <formula>AND(COUNTIF($A$162:$A$65615, AC112)+COUNTIF($A$67:$A$70, AC112)+COUNTIF($A$2:$A$3, AC112)+COUNTIF($A$7:$A$65, AC112)+COUNTIF($B$6, AC112)+COUNTIF($A$5, AC112)+COUNTIF($A$90:$A$124, AC112)&gt;1,NOT(ISBLANK(AC112)))</formula>
    </cfRule>
  </conditionalFormatting>
  <conditionalFormatting sqref="AC112">
    <cfRule type="expression" priority="152" aboveAverage="0" equalAverage="0" bottom="0" percent="0" rank="0" text="" dxfId="158">
      <formula>AND(COUNTIF($A$143:$A$65602, AC112)+COUNTIF($A$67:$A$70, AC112)+COUNTIF($A$2:$A$3, AC112)+COUNTIF($A$7:$A$65, AC112)+COUNTIF($B$6, AC112)+COUNTIF($A$5, AC112)+COUNTIF($A$90:$A$110, AC112)&gt;1,NOT(ISBLANK(AC112)))</formula>
    </cfRule>
  </conditionalFormatting>
  <conditionalFormatting sqref="AC113">
    <cfRule type="expression" priority="153" aboveAverage="0" equalAverage="0" bottom="0" percent="0" rank="0" text="" dxfId="159">
      <formula>AND(COUNTIF($A$162:$A$65615, AC113)+COUNTIF($A$67:$A$70, AC113)+COUNTIF($A$2:$A$3, AC113)+COUNTIF($A$7:$A$65, AC113)+COUNTIF($B$6, AC113)+COUNTIF($A$5, AC113)+COUNTIF($A$90:$A$124, AC113)&gt;1,NOT(ISBLANK(AC113)))</formula>
    </cfRule>
  </conditionalFormatting>
  <conditionalFormatting sqref="AC113">
    <cfRule type="expression" priority="154" aboveAverage="0" equalAverage="0" bottom="0" percent="0" rank="0" text="" dxfId="160">
      <formula>AND(COUNTIF($A$143:$A$65602, AC113)+COUNTIF($A$67:$A$70, AC113)+COUNTIF($A$2:$A$3, AC113)+COUNTIF($A$7:$A$65, AC113)+COUNTIF($B$6, AC113)+COUNTIF($A$5, AC113)+COUNTIF($A$90:$A$110, AC113)&gt;1,NOT(ISBLANK(AC113)))</formula>
    </cfRule>
  </conditionalFormatting>
  <conditionalFormatting sqref="AC114">
    <cfRule type="expression" priority="155" aboveAverage="0" equalAverage="0" bottom="0" percent="0" rank="0" text="" dxfId="161">
      <formula>AND(COUNTIF($A$162:$A$65615, AC114)+COUNTIF($A$67:$A$70, AC114)+COUNTIF($A$2:$A$3, AC114)+COUNTIF($A$7:$A$65, AC114)+COUNTIF($B$6, AC114)+COUNTIF($A$5, AC114)+COUNTIF($A$90:$A$124, AC114)&gt;1,NOT(ISBLANK(AC114)))</formula>
    </cfRule>
  </conditionalFormatting>
  <conditionalFormatting sqref="AC114">
    <cfRule type="expression" priority="156" aboveAverage="0" equalAverage="0" bottom="0" percent="0" rank="0" text="" dxfId="162">
      <formula>AND(COUNTIF($A$143:$A$65602, AC114)+COUNTIF($A$67:$A$70, AC114)+COUNTIF($A$2:$A$3, AC114)+COUNTIF($A$7:$A$65, AC114)+COUNTIF($B$6, AC114)+COUNTIF($A$5, AC114)+COUNTIF($A$90:$A$110, AC114)&gt;1,NOT(ISBLANK(AC114)))</formula>
    </cfRule>
  </conditionalFormatting>
  <conditionalFormatting sqref="AC115">
    <cfRule type="expression" priority="157" aboveAverage="0" equalAverage="0" bottom="0" percent="0" rank="0" text="" dxfId="163">
      <formula>AND(COUNTIF($A$162:$A$65615, AC115)+COUNTIF($A$67:$A$70, AC115)+COUNTIF($A$2:$A$3, AC115)+COUNTIF($A$7:$A$65, AC115)+COUNTIF($B$6, AC115)+COUNTIF($A$5, AC115)+COUNTIF($A$90:$A$124, AC115)&gt;1,NOT(ISBLANK(AC115)))</formula>
    </cfRule>
  </conditionalFormatting>
  <conditionalFormatting sqref="AC115">
    <cfRule type="expression" priority="158" aboveAverage="0" equalAverage="0" bottom="0" percent="0" rank="0" text="" dxfId="164">
      <formula>AND(COUNTIF($A$143:$A$65602, AC115)+COUNTIF($A$67:$A$70, AC115)+COUNTIF($A$2:$A$3, AC115)+COUNTIF($A$7:$A$65, AC115)+COUNTIF($B$6, AC115)+COUNTIF($A$5, AC115)+COUNTIF($A$90:$A$110, AC115)&gt;1,NOT(ISBLANK(AC115)))</formula>
    </cfRule>
  </conditionalFormatting>
  <conditionalFormatting sqref="AC116">
    <cfRule type="expression" priority="159" aboveAverage="0" equalAverage="0" bottom="0" percent="0" rank="0" text="" dxfId="165">
      <formula>AND(COUNTIF($A$162:$A$65615, AC116)+COUNTIF($A$67:$A$70, AC116)+COUNTIF($A$2:$A$3, AC116)+COUNTIF($A$7:$A$65, AC116)+COUNTIF($B$6, AC116)+COUNTIF($A$5, AC116)+COUNTIF($A$90:$A$124, AC116)&gt;1,NOT(ISBLANK(AC116)))</formula>
    </cfRule>
  </conditionalFormatting>
  <conditionalFormatting sqref="AC116">
    <cfRule type="expression" priority="160" aboveAverage="0" equalAverage="0" bottom="0" percent="0" rank="0" text="" dxfId="166">
      <formula>AND(COUNTIF($A$143:$A$65602, AC116)+COUNTIF($A$67:$A$70, AC116)+COUNTIF($A$2:$A$3, AC116)+COUNTIF($A$7:$A$65, AC116)+COUNTIF($B$6, AC116)+COUNTIF($A$5, AC116)+COUNTIF($A$90:$A$110, AC116)&gt;1,NOT(ISBLANK(AC116)))</formula>
    </cfRule>
  </conditionalFormatting>
  <conditionalFormatting sqref="AC117">
    <cfRule type="expression" priority="161" aboveAverage="0" equalAverage="0" bottom="0" percent="0" rank="0" text="" dxfId="167">
      <formula>AND(COUNTIF($A$162:$A$65615, AC117)+COUNTIF($A$67:$A$70, AC117)+COUNTIF($A$2:$A$3, AC117)+COUNTIF($A$7:$A$65, AC117)+COUNTIF($B$6, AC117)+COUNTIF($A$5, AC117)+COUNTIF($A$90:$A$124, AC117)&gt;1,NOT(ISBLANK(AC117)))</formula>
    </cfRule>
  </conditionalFormatting>
  <conditionalFormatting sqref="AC117">
    <cfRule type="expression" priority="162" aboveAverage="0" equalAverage="0" bottom="0" percent="0" rank="0" text="" dxfId="168">
      <formula>AND(COUNTIF($A$143:$A$65602, AC117)+COUNTIF($A$67:$A$70, AC117)+COUNTIF($A$2:$A$3, AC117)+COUNTIF($A$7:$A$65, AC117)+COUNTIF($B$6, AC117)+COUNTIF($A$5, AC117)+COUNTIF($A$90:$A$110, AC117)&gt;1,NOT(ISBLANK(AC117)))</formula>
    </cfRule>
  </conditionalFormatting>
  <conditionalFormatting sqref="AC118:AC119">
    <cfRule type="expression" priority="163" aboveAverage="0" equalAverage="0" bottom="0" percent="0" rank="0" text="" dxfId="169">
      <formula>AND(COUNTIF($A$162:$A$65615, AC118)+COUNTIF($A$67:$A$70, AC118)+COUNTIF($A$2:$A$3, AC118)+COUNTIF($A$7:$A$65, AC118)+COUNTIF($B$6, AC118)+COUNTIF($A$5, AC118)+COUNTIF($A$90:$A$124, AC118)&gt;1,NOT(ISBLANK(AC118)))</formula>
    </cfRule>
  </conditionalFormatting>
  <conditionalFormatting sqref="AC118:AC119">
    <cfRule type="expression" priority="164" aboveAverage="0" equalAverage="0" bottom="0" percent="0" rank="0" text="" dxfId="170">
      <formula>AND(COUNTIF($A$143:$A$65602, AC118)+COUNTIF($A$67:$A$70, AC118)+COUNTIF($A$2:$A$3, AC118)+COUNTIF($A$7:$A$65, AC118)+COUNTIF($B$6, AC118)+COUNTIF($A$5, AC118)+COUNTIF($A$90:$A$110, AC118)&gt;1,NOT(ISBLANK(AC118)))</formula>
    </cfRule>
  </conditionalFormatting>
  <conditionalFormatting sqref="AC131">
    <cfRule type="expression" priority="165" aboveAverage="0" equalAverage="0" bottom="0" percent="0" rank="0" text="" dxfId="171">
      <formula>AND(COUNTIF($A$137:$A$65600, AC131)+COUNTIF($A$67:$A$70, AC131)+COUNTIF($A$2:$A$3, AC131)+COUNTIF($A$7:$A$65, AC131)+COUNTIF($B$6, AC131)+COUNTIF($A$5, AC131)+COUNTIF($A$90:$A$110, AC131)&gt;1,NOT(ISBLANK(AC131)))</formula>
    </cfRule>
  </conditionalFormatting>
  <conditionalFormatting sqref="AC132:AC136">
    <cfRule type="expression" priority="166" aboveAverage="0" equalAverage="0" bottom="0" percent="0" rank="0" text="" dxfId="172">
      <formula>AND(COUNTIF($A$137:$A$65600, AC132)+COUNTIF($A$67:$A$70, AC132)+COUNTIF($A$2:$A$3, AC132)+COUNTIF($A$7:$A$65, AC132)+COUNTIF($B$6, AC132)+COUNTIF($A$5, AC132)+COUNTIF($A$90:$A$110, AC132)&gt;1,NOT(ISBLANK(AC132)))</formula>
    </cfRule>
  </conditionalFormatting>
  <conditionalFormatting sqref="AC119">
    <cfRule type="expression" priority="167" aboveAverage="0" equalAverage="0" bottom="0" percent="0" rank="0" text="" dxfId="173">
      <formula>AND(COUNTIF($A$156:$A$65612, AC119)+COUNTIF($A$67:$A$70, AC119)+COUNTIF($A$2:$A$3, AC119)+COUNTIF($A$7:$A$65, AC119)+COUNTIF($B$6, AC119)+COUNTIF($A$5, AC119)+COUNTIF($A$90:$A$123, AC119)&gt;1,NOT(ISBLANK(AC119)))</formula>
    </cfRule>
  </conditionalFormatting>
  <conditionalFormatting sqref="AC119">
    <cfRule type="expression" priority="168" aboveAverage="0" equalAverage="0" bottom="0" percent="0" rank="0" text="" dxfId="174">
      <formula>AND(COUNTIF($A$136:$A$65599, AC119)+COUNTIF($A$67:$A$70, AC119)+COUNTIF($A$2:$A$3, AC119)+COUNTIF($A$7:$A$65, AC119)+COUNTIF($B$6, AC119)+COUNTIF($A$5, AC119)+COUNTIF($A$90:$A$110, AC119)&gt;1,NOT(ISBLANK(AC119)))</formula>
    </cfRule>
  </conditionalFormatting>
  <conditionalFormatting sqref="AC141">
    <cfRule type="expression" priority="169" aboveAverage="0" equalAverage="0" bottom="0" percent="0" rank="0" text="" dxfId="175">
      <formula>AND(COUNTIF($A$136:$A$65596, AC141)+COUNTIF($A$67:$A$70, AC141)+COUNTIF($A$2:$A$3, AC141)+COUNTIF($A$7:$A$65, AC141)+COUNTIF($B$6, AC141)+COUNTIF($A$5, AC141)+COUNTIF($A$90:$A$110, AC141)&gt;1,NOT(ISBLANK(AC141)))</formula>
    </cfRule>
  </conditionalFormatting>
  <conditionalFormatting sqref="AC133">
    <cfRule type="expression" priority="170" aboveAverage="0" equalAverage="0" bottom="0" percent="0" rank="0" text="" dxfId="176">
      <formula>AND(COUNTIF($A$132:$A$65592, AC133)+COUNTIF($A$67:$A$70, AC133)+COUNTIF($A$2:$A$3, AC133)+COUNTIF($A$7:$A$65, AC133)+COUNTIF($B$6, AC133)+COUNTIF($A$5, AC133)+COUNTIF($A$90:$A$110, AC133)&gt;1,NOT(ISBLANK(AC133)))</formula>
    </cfRule>
  </conditionalFormatting>
  <conditionalFormatting sqref="AC134">
    <cfRule type="expression" priority="171" aboveAverage="0" equalAverage="0" bottom="0" percent="0" rank="0" text="" dxfId="177">
      <formula>AND(COUNTIF($A$132:$A$65592, AC134)+COUNTIF($A$67:$A$70, AC134)+COUNTIF($A$2:$A$3, AC134)+COUNTIF($A$7:$A$65, AC134)+COUNTIF($B$6, AC134)+COUNTIF($A$5, AC134)+COUNTIF($A$90:$A$110, AC134)&gt;1,NOT(ISBLANK(AC134)))</formula>
    </cfRule>
  </conditionalFormatting>
  <conditionalFormatting sqref="AC135">
    <cfRule type="expression" priority="172" aboveAverage="0" equalAverage="0" bottom="0" percent="0" rank="0" text="" dxfId="178">
      <formula>AND(COUNTIF($A$132:$A$65592, AC135)+COUNTIF($A$67:$A$70, AC135)+COUNTIF($A$2:$A$3, AC135)+COUNTIF($A$7:$A$65, AC135)+COUNTIF($B$6, AC135)+COUNTIF($A$5, AC135)+COUNTIF($A$90:$A$110, AC135)&gt;1,NOT(ISBLANK(AC135)))</formula>
    </cfRule>
  </conditionalFormatting>
  <conditionalFormatting sqref="AC136">
    <cfRule type="expression" priority="173" aboveAverage="0" equalAverage="0" bottom="0" percent="0" rank="0" text="" dxfId="179">
      <formula>AND(COUNTIF($A$132:$A$65592, AC136)+COUNTIF($A$67:$A$70, AC136)+COUNTIF($A$2:$A$3, AC136)+COUNTIF($A$7:$A$65, AC136)+COUNTIF($B$6, AC136)+COUNTIF($A$5, AC136)+COUNTIF($A$90:$A$110, AC136)&gt;1,NOT(ISBLANK(AC136)))</formula>
    </cfRule>
  </conditionalFormatting>
  <conditionalFormatting sqref="AC142">
    <cfRule type="expression" priority="174" aboveAverage="0" equalAverage="0" bottom="0" percent="0" rank="0" text="" dxfId="180">
      <formula>AND(COUNTIF($A$132:$A$65591, AC142)+COUNTIF($A$67:$A$70, AC142)+COUNTIF($A$2:$A$3, AC142)+COUNTIF($A$7:$A$65, AC142)+COUNTIF($B$6, AC142)+COUNTIF($A$5, AC142)+COUNTIF($A$90:$A$110, AC142)&gt;1,NOT(ISBLANK(AC142)))</formula>
    </cfRule>
  </conditionalFormatting>
  <conditionalFormatting sqref="AC143">
    <cfRule type="expression" priority="175" aboveAverage="0" equalAverage="0" bottom="0" percent="0" rank="0" text="" dxfId="181">
      <formula>AND(COUNTIF($A$132:$A$65591, AC143)+COUNTIF($A$67:$A$70, AC143)+COUNTIF($A$2:$A$3, AC143)+COUNTIF($A$7:$A$65, AC143)+COUNTIF($B$6, AC143)+COUNTIF($A$5, AC143)+COUNTIF($A$90:$A$110, AC143)&gt;1,NOT(ISBLANK(AC143)))</formula>
    </cfRule>
  </conditionalFormatting>
  <conditionalFormatting sqref="AC144">
    <cfRule type="expression" priority="176" aboveAverage="0" equalAverage="0" bottom="0" percent="0" rank="0" text="" dxfId="182">
      <formula>AND(COUNTIF($A$132:$A$65591, AC144)+COUNTIF($A$67:$A$70, AC144)+COUNTIF($A$2:$A$3, AC144)+COUNTIF($A$7:$A$65, AC144)+COUNTIF($B$6, AC144)+COUNTIF($A$5, AC144)+COUNTIF($A$90:$A$110, AC144)&gt;1,NOT(ISBLANK(AC144)))</formula>
    </cfRule>
  </conditionalFormatting>
  <conditionalFormatting sqref="AC285">
    <cfRule type="expression" priority="177" aboveAverage="0" equalAverage="0" bottom="0" percent="0" rank="0" text="" dxfId="183">
      <formula>AND(COUNTIF($A$132:$A$65573, AC285)+COUNTIF($A$67:$A$70, AC285)+COUNTIF($A$2:$A$3, AC285)+COUNTIF($A$7:$A$65, AC285)+COUNTIF($B$6, AC285)+COUNTIF($A$5, AC285)+COUNTIF($A$90:$A$110, AC285)&gt;1,NOT(ISBLANK(AC285)))</formula>
    </cfRule>
  </conditionalFormatting>
  <conditionalFormatting sqref="AC287">
    <cfRule type="expression" priority="178" aboveAverage="0" equalAverage="0" bottom="0" percent="0" rank="0" text="" dxfId="184">
      <formula>AND(COUNTIF($A$145:$A$65586, AC287)+COUNTIF($A$67:$A$70, AC287)+COUNTIF($A$2:$A$3, AC287)+COUNTIF($A$7:$A$65, AC287)+COUNTIF($B$6, AC287)+COUNTIF($A$5, AC287)+COUNTIF($A$90:$A$123, AC287)&gt;1,NOT(ISBLANK(AC287)))</formula>
    </cfRule>
  </conditionalFormatting>
  <conditionalFormatting sqref="AC290">
    <cfRule type="expression" priority="179" aboveAverage="0" equalAverage="0" bottom="0" percent="0" rank="0" text="" dxfId="185">
      <formula>AND(COUNTIF($A$145:$A$65586, AC290)+COUNTIF($A$67:$A$70, AC290)+COUNTIF($A$2:$A$3, AC290)+COUNTIF($A$7:$A$65, AC290)+COUNTIF($B$6, AC290)+COUNTIF($A$5, AC290)+COUNTIF($A$90:$A$123, AC290)&gt;1,NOT(ISBLANK(AC290)))</formula>
    </cfRule>
  </conditionalFormatting>
  <conditionalFormatting sqref="AC291">
    <cfRule type="expression" priority="180" aboveAverage="0" equalAverage="0" bottom="0" percent="0" rank="0" text="" dxfId="186">
      <formula>AND(COUNTIF($A$145:$A$65586, AC291)+COUNTIF($A$67:$A$70, AC291)+COUNTIF($A$2:$A$3, AC291)+COUNTIF($A$7:$A$65, AC291)+COUNTIF($B$6, AC291)+COUNTIF($A$5, AC291)+COUNTIF($A$90:$A$123, AC291)&gt;1,NOT(ISBLANK(AC291)))</formula>
    </cfRule>
  </conditionalFormatting>
  <conditionalFormatting sqref="AC288">
    <cfRule type="expression" priority="181" aboveAverage="0" equalAverage="0" bottom="0" percent="0" rank="0" text="" dxfId="187">
      <formula>AND(COUNTIF($A$145:$A$65586, AC288)+COUNTIF($A$67:$A$70, AC288)+COUNTIF($A$2:$A$3, AC288)+COUNTIF($A$7:$A$65, AC288)+COUNTIF($B$6, AC288)+COUNTIF($A$5, AC288)+COUNTIF($A$90:$A$123, AC288)&gt;1,NOT(ISBLANK(AC288)))</formula>
    </cfRule>
  </conditionalFormatting>
  <conditionalFormatting sqref="AC289">
    <cfRule type="expression" priority="182" aboveAverage="0" equalAverage="0" bottom="0" percent="0" rank="0" text="" dxfId="188">
      <formula>AND(COUNTIF($A$145:$A$65586, AC289)+COUNTIF($A$67:$A$70, AC289)+COUNTIF($A$2:$A$3, AC289)+COUNTIF($A$7:$A$65, AC289)+COUNTIF($B$6, AC289)+COUNTIF($A$5, AC289)+COUNTIF($A$90:$A$123, AC289)&gt;1,NOT(ISBLANK(AC289)))</formula>
    </cfRule>
  </conditionalFormatting>
  <conditionalFormatting sqref="AC320">
    <cfRule type="expression" priority="183" aboveAverage="0" equalAverage="0" bottom="0" percent="0" rank="0" text="" dxfId="189">
      <formula>AND(COUNTIF($A$145:$A$65563, AC320)+COUNTIF($A$67:$A$70, AC320)+COUNTIF($A$2:$A$3, AC320)+COUNTIF($A$7:$A$65, AC320)+COUNTIF($B$6, AC320)+COUNTIF($A$5, AC320)+COUNTIF($A$90:$A$123, AC320)&gt;1,NOT(ISBLANK(AC320)))</formula>
    </cfRule>
  </conditionalFormatting>
  <conditionalFormatting sqref="AC321">
    <cfRule type="expression" priority="184" aboveAverage="0" equalAverage="0" bottom="0" percent="0" rank="0" text="" dxfId="190">
      <formula>AND(COUNTIF($A$145:$A$65563, AC321)+COUNTIF($A$67:$A$70, AC321)+COUNTIF($A$2:$A$3, AC321)+COUNTIF($A$7:$A$65, AC321)+COUNTIF($B$6, AC321)+COUNTIF($A$5, AC321)+COUNTIF($A$90:$A$123, AC321)&gt;1,NOT(ISBLANK(AC321)))</formula>
    </cfRule>
  </conditionalFormatting>
  <conditionalFormatting sqref="AC322">
    <cfRule type="expression" priority="185" aboveAverage="0" equalAverage="0" bottom="0" percent="0" rank="0" text="" dxfId="191">
      <formula>AND(COUNTIF($A$145:$A$65563, AC322)+COUNTIF($A$67:$A$70, AC322)+COUNTIF($A$2:$A$3, AC322)+COUNTIF($A$7:$A$65, AC322)+COUNTIF($B$6, AC322)+COUNTIF($A$5, AC322)+COUNTIF($A$90:$A$123, AC322)&gt;1,NOT(ISBLANK(AC322)))</formula>
    </cfRule>
  </conditionalFormatting>
  <conditionalFormatting sqref="AC326">
    <cfRule type="expression" priority="186" aboveAverage="0" equalAverage="0" bottom="0" percent="0" rank="0" text="" dxfId="192">
      <formula>AND(COUNTIF($A$145:$A$65563, AC326)+COUNTIF($A$67:$A$70, AC326)+COUNTIF($A$2:$A$3, AC326)+COUNTIF($A$7:$A$65, AC326)+COUNTIF($B$6, AC326)+COUNTIF($A$5, AC326)+COUNTIF($A$90:$A$123, AC326)&gt;1,NOT(ISBLANK(AC326)))</formula>
    </cfRule>
  </conditionalFormatting>
  <conditionalFormatting sqref="AC391:AC392">
    <cfRule type="expression" priority="187" aboveAverage="0" equalAverage="0" bottom="0" percent="0" rank="0" text="" dxfId="193">
      <formula>AND(COUNTIF($A$145:$A$65537, AC391)+COUNTIF($A$67:$A$70, AC391)+COUNTIF($A$2:$A$3, AC391)+COUNTIF($A$7:$A$65, AC391)+COUNTIF($B$6, AC391)+COUNTIF($A$5, AC391)+COUNTIF($A$90:$A$123, AC391)&gt;1,NOT(ISBLANK(AC391)))</formula>
    </cfRule>
  </conditionalFormatting>
  <conditionalFormatting sqref="AC398">
    <cfRule type="expression" priority="188" aboveAverage="0" equalAverage="0" bottom="0" percent="0" rank="0" text="" dxfId="194">
      <formula>AND(COUNTIF($A$145:$A$65537, AC398)+COUNTIF($A$67:$A$70, AC398)+COUNTIF($A$2:$A$3, AC398)+COUNTIF($A$7:$A$65, AC398)+COUNTIF($B$6, AC398)+COUNTIF($A$5, AC398)+COUNTIF($A$90:$A$123, AC398)&gt;1,NOT(ISBLANK(AC398)))</formula>
    </cfRule>
  </conditionalFormatting>
  <conditionalFormatting sqref="AC397">
    <cfRule type="expression" priority="189" aboveAverage="0" equalAverage="0" bottom="0" percent="0" rank="0" text="" dxfId="195">
      <formula>AND(COUNTIF($A$145:$A$65537, AC397)+COUNTIF($A$67:$A$70, AC397)+COUNTIF($A$2:$A$3, AC397)+COUNTIF($A$7:$A$65, AC397)+COUNTIF($B$6, AC397)+COUNTIF($A$5, AC397)+COUNTIF($A$90:$A$123, AC397)&gt;1,NOT(ISBLANK(AC397)))</formula>
    </cfRule>
  </conditionalFormatting>
  <conditionalFormatting sqref="AC396">
    <cfRule type="expression" priority="190" aboveAverage="0" equalAverage="0" bottom="0" percent="0" rank="0" text="" dxfId="196">
      <formula>AND(COUNTIF($A$145:$A$65537, AC396)+COUNTIF($A$67:$A$70, AC396)+COUNTIF($A$2:$A$3, AC396)+COUNTIF($A$7:$A$65, AC396)+COUNTIF($B$6, AC396)+COUNTIF($A$5, AC396)+COUNTIF($A$90:$A$123, AC396)&gt;1,NOT(ISBLANK(AC396)))</formula>
    </cfRule>
  </conditionalFormatting>
  <conditionalFormatting sqref="AC394">
    <cfRule type="expression" priority="191" aboveAverage="0" equalAverage="0" bottom="0" percent="0" rank="0" text="" dxfId="197">
      <formula>AND(COUNTIF($A$145:$A$65537, AC394)+COUNTIF($A$67:$A$70, AC394)+COUNTIF($A$2:$A$3, AC394)+COUNTIF($A$7:$A$65, AC394)+COUNTIF($B$6, AC394)+COUNTIF($A$5, AC394)+COUNTIF($A$90:$A$123, AC394)&gt;1,NOT(ISBLANK(AC394)))</formula>
    </cfRule>
  </conditionalFormatting>
  <conditionalFormatting sqref="AC392">
    <cfRule type="expression" priority="192" aboveAverage="0" equalAverage="0" bottom="0" percent="0" rank="0" text="" dxfId="198">
      <formula>AND(COUNTIF($A$145:$A$65536, AC392)+COUNTIF($A$67:$A$70, AC392)+COUNTIF($A$2:$A$3, AC392)+COUNTIF($A$7:$A$65, AC392)+COUNTIF($B$6, AC392)+COUNTIF($A$5, AC392)+COUNTIF($A$90:$A$123, AC392)&gt;1,NOT(ISBLANK(AC392)))</formula>
    </cfRule>
  </conditionalFormatting>
  <conditionalFormatting sqref="AC399">
    <cfRule type="expression" priority="193" aboveAverage="0" equalAverage="0" bottom="0" percent="0" rank="0" text="" dxfId="199">
      <formula>AND(COUNTIF($A$145:$A$65536, AC399)+COUNTIF($A$67:$A$70, AC399)+COUNTIF($A$2:$A$3, AC399)+COUNTIF($A$7:$A$65, AC399)+COUNTIF($B$6, AC399)+COUNTIF($A$5, AC399)+COUNTIF($A$90:$A$123, AC399)&gt;1,NOT(ISBLANK(AC399)))</formula>
    </cfRule>
  </conditionalFormatting>
  <conditionalFormatting sqref="AC403">
    <cfRule type="expression" priority="194" aboveAverage="0" equalAverage="0" bottom="0" percent="0" rank="0" text="" dxfId="200">
      <formula>AND(COUNTIF($A$132:$A$65523, AC403)+COUNTIF($A$67:$A$70, AC403)+COUNTIF($A$2:$A$3, AC403)+COUNTIF($A$7:$A$65, AC403)+COUNTIF($B$6, AC403)+COUNTIF($A$5, AC403)+COUNTIF($A$90:$A$110, AC403)&gt;1,NOT(ISBLANK(AC403)))</formula>
    </cfRule>
  </conditionalFormatting>
  <conditionalFormatting sqref="AC404">
    <cfRule type="expression" priority="195" aboveAverage="0" equalAverage="0" bottom="0" percent="0" rank="0" text="" dxfId="201">
      <formula>AND(COUNTIF($A$132:$A$65523, AC404)+COUNTIF($A$67:$A$70, AC404)+COUNTIF($A$2:$A$3, AC404)+COUNTIF($A$7:$A$65, AC404)+COUNTIF($B$6, AC404)+COUNTIF($A$5, AC404)+COUNTIF($A$90:$A$110, AC404)&gt;1,NOT(ISBLANK(AC404)))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41"/>
  <sheetViews>
    <sheetView showFormulas="false" showGridLines="true" showRowColHeaders="true" showZeros="true" rightToLeft="false" tabSelected="false" showOutlineSymbols="true" defaultGridColor="true" view="normal" topLeftCell="A184" colorId="64" zoomScale="100" zoomScaleNormal="100" zoomScalePageLayoutView="100" workbookViewId="0">
      <selection pane="topLeft" activeCell="M203" activeCellId="0" sqref="M20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8.57"/>
    <col collapsed="false" customWidth="true" hidden="false" outlineLevel="0" max="3" min="3" style="0" width="17"/>
    <col collapsed="false" customWidth="true" hidden="false" outlineLevel="0" max="4" min="4" style="0" width="16.28"/>
    <col collapsed="false" customWidth="true" hidden="false" outlineLevel="0" max="12" min="12" style="237" width="12.71"/>
    <col collapsed="false" customWidth="true" hidden="false" outlineLevel="0" max="14" min="14" style="237" width="11.57"/>
    <col collapsed="false" customWidth="true" hidden="false" outlineLevel="0" max="15" min="15" style="0" width="12.43"/>
    <col collapsed="false" customWidth="true" hidden="false" outlineLevel="0" max="17" min="17" style="0" width="10.14"/>
    <col collapsed="false" customWidth="true" hidden="false" outlineLevel="0" max="18" min="18" style="0" width="14.85"/>
    <col collapsed="false" customWidth="true" hidden="false" outlineLevel="0" max="19" min="19" style="0" width="13.57"/>
    <col collapsed="false" customWidth="true" hidden="false" outlineLevel="0" max="20" min="20" style="0" width="14.14"/>
    <col collapsed="false" customWidth="true" hidden="false" outlineLevel="0" max="21" min="21" style="0" width="10.71"/>
    <col collapsed="false" customWidth="true" hidden="false" outlineLevel="0" max="22" min="22" style="0" width="11.71"/>
    <col collapsed="false" customWidth="true" hidden="false" outlineLevel="0" max="23" min="23" style="0" width="10.85"/>
    <col collapsed="false" customWidth="true" hidden="false" outlineLevel="0" max="24" min="24" style="0" width="12"/>
    <col collapsed="false" customWidth="true" hidden="false" outlineLevel="0" max="25" min="25" style="0" width="10.85"/>
    <col collapsed="false" customWidth="true" hidden="false" outlineLevel="0" max="26" min="26" style="0" width="14.14"/>
    <col collapsed="false" customWidth="true" hidden="false" outlineLevel="0" max="27" min="27" style="0" width="15"/>
    <col collapsed="false" customWidth="true" hidden="false" outlineLevel="0" max="28" min="28" style="0" width="13.57"/>
    <col collapsed="false" customWidth="true" hidden="false" outlineLevel="0" max="29" min="29" style="0" width="27.85"/>
    <col collapsed="false" customWidth="true" hidden="false" outlineLevel="0" max="30" min="30" style="0" width="13.71"/>
    <col collapsed="false" customWidth="true" hidden="false" outlineLevel="0" max="31" min="31" style="0" width="10.28"/>
  </cols>
  <sheetData>
    <row r="1" s="68" customFormat="true" ht="18" hidden="false" customHeight="true" outlineLevel="0" collapsed="false">
      <c r="A1" s="64"/>
      <c r="B1" s="64"/>
      <c r="C1" s="64"/>
      <c r="D1" s="28"/>
      <c r="E1" s="64"/>
      <c r="F1" s="64"/>
      <c r="G1" s="64"/>
      <c r="H1" s="64"/>
      <c r="I1" s="64"/>
      <c r="J1" s="64"/>
      <c r="K1" s="64"/>
      <c r="L1" s="238"/>
      <c r="M1" s="64"/>
      <c r="N1" s="238"/>
      <c r="O1" s="64"/>
      <c r="P1" s="64"/>
      <c r="Q1" s="65" t="s">
        <v>0</v>
      </c>
      <c r="R1" s="65" t="s">
        <v>0</v>
      </c>
      <c r="S1" s="66" t="s">
        <v>0</v>
      </c>
      <c r="T1" s="66" t="s">
        <v>1</v>
      </c>
      <c r="U1" s="66" t="s">
        <v>1</v>
      </c>
      <c r="V1" s="66" t="s">
        <v>1</v>
      </c>
      <c r="W1" s="66" t="s">
        <v>1</v>
      </c>
      <c r="X1" s="66" t="s">
        <v>1</v>
      </c>
      <c r="Y1" s="66" t="s">
        <v>1</v>
      </c>
      <c r="Z1" s="64" t="s">
        <v>2</v>
      </c>
      <c r="AA1" s="64" t="s">
        <v>2</v>
      </c>
      <c r="AB1" s="64" t="s">
        <v>2</v>
      </c>
      <c r="AC1" s="64" t="s">
        <v>2</v>
      </c>
      <c r="AD1" s="64" t="s">
        <v>2</v>
      </c>
      <c r="AE1" s="64" t="s">
        <v>2</v>
      </c>
    </row>
    <row r="2" s="70" customFormat="true" ht="28.9" hidden="false" customHeight="true" outlineLevel="0" collapsed="false">
      <c r="A2" s="69" t="s">
        <v>3</v>
      </c>
      <c r="B2" s="69" t="s">
        <v>4</v>
      </c>
      <c r="C2" s="69" t="s">
        <v>5</v>
      </c>
      <c r="D2" s="33" t="s">
        <v>6</v>
      </c>
      <c r="E2" s="69" t="s">
        <v>7</v>
      </c>
      <c r="F2" s="69" t="s">
        <v>8</v>
      </c>
      <c r="G2" s="69" t="s">
        <v>9</v>
      </c>
      <c r="H2" s="69" t="s">
        <v>10</v>
      </c>
      <c r="I2" s="69" t="s">
        <v>11</v>
      </c>
      <c r="J2" s="69" t="s">
        <v>12</v>
      </c>
      <c r="K2" s="6" t="s">
        <v>13</v>
      </c>
      <c r="L2" s="6"/>
      <c r="M2" s="6" t="s">
        <v>14</v>
      </c>
      <c r="N2" s="6"/>
      <c r="O2" s="69" t="s">
        <v>15</v>
      </c>
      <c r="P2" s="69" t="s">
        <v>16</v>
      </c>
      <c r="Q2" s="6" t="s">
        <v>17</v>
      </c>
      <c r="R2" s="6" t="s">
        <v>18</v>
      </c>
      <c r="S2" s="69" t="s">
        <v>19</v>
      </c>
      <c r="T2" s="159" t="s">
        <v>20</v>
      </c>
      <c r="U2" s="69" t="s">
        <v>21</v>
      </c>
      <c r="V2" s="159" t="s">
        <v>22</v>
      </c>
      <c r="W2" s="69" t="s">
        <v>23</v>
      </c>
      <c r="X2" s="69" t="s">
        <v>24</v>
      </c>
      <c r="Y2" s="159" t="s">
        <v>25</v>
      </c>
      <c r="Z2" s="159" t="s">
        <v>26</v>
      </c>
      <c r="AA2" s="159" t="s">
        <v>27</v>
      </c>
      <c r="AB2" s="159" t="s">
        <v>28</v>
      </c>
      <c r="AC2" s="159" t="s">
        <v>29</v>
      </c>
      <c r="AD2" s="8" t="s">
        <v>30</v>
      </c>
      <c r="AE2" s="8"/>
    </row>
    <row r="3" s="70" customFormat="true" ht="28.9" hidden="false" customHeight="true" outlineLevel="0" collapsed="false">
      <c r="A3" s="7"/>
      <c r="B3" s="7"/>
      <c r="C3" s="7"/>
      <c r="D3" s="7"/>
      <c r="E3" s="7"/>
      <c r="F3" s="7" t="s">
        <v>31</v>
      </c>
      <c r="G3" s="7" t="s">
        <v>32</v>
      </c>
      <c r="H3" s="7" t="s">
        <v>32</v>
      </c>
      <c r="I3" s="7" t="s">
        <v>32</v>
      </c>
      <c r="J3" s="7" t="s">
        <v>32</v>
      </c>
      <c r="K3" s="7" t="s">
        <v>32</v>
      </c>
      <c r="L3" s="239" t="s">
        <v>33</v>
      </c>
      <c r="M3" s="7"/>
      <c r="N3" s="239" t="s">
        <v>33</v>
      </c>
      <c r="O3" s="7" t="s">
        <v>31</v>
      </c>
      <c r="P3" s="7" t="s">
        <v>31</v>
      </c>
      <c r="Q3" s="7" t="s">
        <v>34</v>
      </c>
      <c r="R3" s="7" t="s">
        <v>35</v>
      </c>
      <c r="S3" s="7" t="s">
        <v>31</v>
      </c>
      <c r="T3" s="35" t="s">
        <v>31</v>
      </c>
      <c r="U3" s="7" t="s">
        <v>34</v>
      </c>
      <c r="V3" s="7" t="s">
        <v>34</v>
      </c>
      <c r="W3" s="35" t="s">
        <v>34</v>
      </c>
      <c r="X3" s="35" t="s">
        <v>34</v>
      </c>
      <c r="Y3" s="35" t="s">
        <v>31</v>
      </c>
      <c r="Z3" s="35" t="s">
        <v>34</v>
      </c>
      <c r="AA3" s="35" t="s">
        <v>34</v>
      </c>
      <c r="AB3" s="35" t="s">
        <v>31</v>
      </c>
      <c r="AC3" s="7" t="s">
        <v>36</v>
      </c>
      <c r="AD3" s="35" t="s">
        <v>37</v>
      </c>
      <c r="AE3" s="35" t="s">
        <v>38</v>
      </c>
    </row>
    <row r="4" s="9" customFormat="true" ht="15" hidden="false" customHeight="false" outlineLevel="0" collapsed="false">
      <c r="A4" s="10" t="s">
        <v>39</v>
      </c>
      <c r="B4" s="10" t="s">
        <v>2349</v>
      </c>
      <c r="C4" s="240" t="s">
        <v>2350</v>
      </c>
      <c r="D4" s="10" t="s">
        <v>2351</v>
      </c>
      <c r="E4" s="10" t="n">
        <v>104868</v>
      </c>
      <c r="F4" s="10" t="n">
        <v>559.24</v>
      </c>
      <c r="G4" s="10" t="n">
        <v>170</v>
      </c>
      <c r="H4" s="10" t="n">
        <v>953</v>
      </c>
      <c r="I4" s="10" t="n">
        <v>502</v>
      </c>
      <c r="J4" s="10" t="n">
        <v>451</v>
      </c>
      <c r="K4" s="10" t="n">
        <v>98</v>
      </c>
      <c r="L4" s="241" t="n">
        <f aca="false">K4/H4*100</f>
        <v>10.2833158447009</v>
      </c>
      <c r="M4" s="10" t="n">
        <v>232</v>
      </c>
      <c r="N4" s="241" t="n">
        <f aca="false">M4/H4*100</f>
        <v>24.3441762854145</v>
      </c>
      <c r="O4" s="10" t="n">
        <v>30.85</v>
      </c>
      <c r="P4" s="10" t="n">
        <v>0</v>
      </c>
      <c r="Q4" s="12" t="s">
        <v>45</v>
      </c>
      <c r="R4" s="12" t="s">
        <v>2352</v>
      </c>
      <c r="S4" s="6"/>
      <c r="T4" s="242" t="n">
        <v>3</v>
      </c>
      <c r="U4" s="112"/>
      <c r="V4" s="112"/>
      <c r="W4" s="112"/>
      <c r="X4" s="112"/>
      <c r="Y4" s="112"/>
      <c r="Z4" s="112"/>
      <c r="AA4" s="242" t="s">
        <v>45</v>
      </c>
      <c r="AB4" s="242" t="n">
        <v>5</v>
      </c>
      <c r="AC4" s="24" t="s">
        <v>2353</v>
      </c>
      <c r="AD4" s="24" t="n">
        <v>24.4531</v>
      </c>
      <c r="AE4" s="24" t="n">
        <v>75.987185</v>
      </c>
    </row>
    <row r="5" customFormat="false" ht="15" hidden="false" customHeight="false" outlineLevel="0" collapsed="false">
      <c r="A5" s="10" t="s">
        <v>39</v>
      </c>
      <c r="B5" s="10" t="s">
        <v>2349</v>
      </c>
      <c r="C5" s="240" t="s">
        <v>2350</v>
      </c>
      <c r="D5" s="10" t="s">
        <v>2351</v>
      </c>
      <c r="E5" s="10"/>
      <c r="F5" s="10"/>
      <c r="G5" s="10"/>
      <c r="H5" s="10"/>
      <c r="I5" s="10"/>
      <c r="J5" s="10"/>
      <c r="K5" s="10"/>
      <c r="L5" s="241"/>
      <c r="M5" s="10"/>
      <c r="N5" s="241"/>
      <c r="O5" s="10"/>
      <c r="P5" s="10"/>
      <c r="Q5" s="23" t="s">
        <v>45</v>
      </c>
      <c r="R5" s="23" t="s">
        <v>2352</v>
      </c>
      <c r="S5" s="112"/>
      <c r="T5" s="230"/>
      <c r="U5" s="112"/>
      <c r="V5" s="112"/>
      <c r="W5" s="112"/>
      <c r="X5" s="112"/>
      <c r="Y5" s="112"/>
      <c r="Z5" s="112"/>
      <c r="AA5" s="230" t="s">
        <v>45</v>
      </c>
      <c r="AB5" s="230" t="n">
        <v>15</v>
      </c>
      <c r="AC5" s="12" t="s">
        <v>859</v>
      </c>
      <c r="AD5" s="23" t="n">
        <v>24.4531</v>
      </c>
      <c r="AE5" s="23" t="n">
        <v>75.987185</v>
      </c>
    </row>
    <row r="6" customFormat="false" ht="15" hidden="false" customHeight="false" outlineLevel="0" collapsed="false">
      <c r="A6" s="10" t="s">
        <v>39</v>
      </c>
      <c r="B6" s="10" t="s">
        <v>2349</v>
      </c>
      <c r="C6" s="240" t="s">
        <v>2350</v>
      </c>
      <c r="D6" s="10" t="s">
        <v>2354</v>
      </c>
      <c r="E6" s="10" t="n">
        <v>104869</v>
      </c>
      <c r="F6" s="10" t="n">
        <v>850.42</v>
      </c>
      <c r="G6" s="10" t="n">
        <v>180</v>
      </c>
      <c r="H6" s="10" t="n">
        <v>992</v>
      </c>
      <c r="I6" s="10" t="n">
        <v>517</v>
      </c>
      <c r="J6" s="10" t="n">
        <v>475</v>
      </c>
      <c r="K6" s="10" t="n">
        <v>260</v>
      </c>
      <c r="L6" s="241" t="n">
        <f aca="false">K6/H6*100</f>
        <v>26.2096774193548</v>
      </c>
      <c r="M6" s="10" t="n">
        <v>56</v>
      </c>
      <c r="N6" s="241" t="n">
        <f aca="false">M6/H6*100</f>
        <v>5.64516129032258</v>
      </c>
      <c r="O6" s="10" t="n">
        <v>35.83</v>
      </c>
      <c r="P6" s="10" t="n">
        <v>0</v>
      </c>
      <c r="Q6" s="15" t="s">
        <v>45</v>
      </c>
      <c r="R6" s="15" t="s">
        <v>2352</v>
      </c>
      <c r="S6" s="112"/>
      <c r="T6" s="16" t="n">
        <v>2.5</v>
      </c>
      <c r="U6" s="112"/>
      <c r="V6" s="112"/>
      <c r="W6" s="112"/>
      <c r="X6" s="112"/>
      <c r="Y6" s="112"/>
      <c r="Z6" s="112"/>
      <c r="AA6" s="16" t="s">
        <v>45</v>
      </c>
      <c r="AB6" s="16" t="n">
        <v>5</v>
      </c>
      <c r="AC6" s="17" t="s">
        <v>2355</v>
      </c>
      <c r="AD6" s="17" t="n">
        <v>24.406338</v>
      </c>
      <c r="AE6" s="17" t="n">
        <v>75.9595</v>
      </c>
    </row>
    <row r="7" customFormat="false" ht="15" hidden="false" customHeight="false" outlineLevel="0" collapsed="false">
      <c r="A7" s="10" t="s">
        <v>39</v>
      </c>
      <c r="B7" s="10" t="s">
        <v>2349</v>
      </c>
      <c r="C7" s="240" t="s">
        <v>2350</v>
      </c>
      <c r="D7" s="10" t="s">
        <v>2356</v>
      </c>
      <c r="E7" s="10" t="n">
        <v>104870</v>
      </c>
      <c r="F7" s="10" t="n">
        <v>297.13</v>
      </c>
      <c r="G7" s="10" t="n">
        <v>126</v>
      </c>
      <c r="H7" s="10" t="n">
        <v>695</v>
      </c>
      <c r="I7" s="10" t="n">
        <v>341</v>
      </c>
      <c r="J7" s="10" t="n">
        <v>354</v>
      </c>
      <c r="K7" s="10" t="n">
        <v>177</v>
      </c>
      <c r="L7" s="241" t="n">
        <f aca="false">K7/H7*100</f>
        <v>25.4676258992806</v>
      </c>
      <c r="M7" s="10" t="n">
        <v>0</v>
      </c>
      <c r="N7" s="241" t="n">
        <f aca="false">M7/H7*100</f>
        <v>0</v>
      </c>
      <c r="O7" s="10" t="n">
        <v>16.14</v>
      </c>
      <c r="P7" s="10" t="n">
        <v>0</v>
      </c>
      <c r="Q7" s="15" t="s">
        <v>45</v>
      </c>
      <c r="R7" s="15" t="s">
        <v>2352</v>
      </c>
      <c r="S7" s="112"/>
      <c r="T7" s="16" t="n">
        <v>1</v>
      </c>
      <c r="U7" s="112"/>
      <c r="V7" s="112"/>
      <c r="W7" s="112"/>
      <c r="X7" s="112"/>
      <c r="Y7" s="112"/>
      <c r="Z7" s="112"/>
      <c r="AA7" s="16" t="s">
        <v>45</v>
      </c>
      <c r="AB7" s="16" t="n">
        <v>2</v>
      </c>
      <c r="AC7" s="17" t="s">
        <v>2357</v>
      </c>
      <c r="AD7" s="17" t="n">
        <v>24.40766</v>
      </c>
      <c r="AE7" s="17" t="n">
        <v>75.927057</v>
      </c>
    </row>
    <row r="8" customFormat="false" ht="15" hidden="false" customHeight="false" outlineLevel="0" collapsed="false">
      <c r="A8" s="10" t="s">
        <v>39</v>
      </c>
      <c r="B8" s="10" t="s">
        <v>2349</v>
      </c>
      <c r="C8" s="240" t="s">
        <v>2350</v>
      </c>
      <c r="D8" s="10" t="s">
        <v>2358</v>
      </c>
      <c r="E8" s="10" t="n">
        <v>104871</v>
      </c>
      <c r="F8" s="10" t="n">
        <v>240.72</v>
      </c>
      <c r="G8" s="10" t="n">
        <v>82</v>
      </c>
      <c r="H8" s="10" t="n">
        <v>498</v>
      </c>
      <c r="I8" s="10" t="n">
        <v>253</v>
      </c>
      <c r="J8" s="10" t="n">
        <v>245</v>
      </c>
      <c r="K8" s="10" t="n">
        <v>168</v>
      </c>
      <c r="L8" s="241" t="n">
        <f aca="false">K8/H8*100</f>
        <v>33.7349397590361</v>
      </c>
      <c r="M8" s="10" t="n">
        <v>0</v>
      </c>
      <c r="N8" s="241" t="n">
        <f aca="false">M8/H8*100</f>
        <v>0</v>
      </c>
      <c r="O8" s="10" t="n">
        <v>28.85</v>
      </c>
      <c r="P8" s="10" t="n">
        <v>0</v>
      </c>
      <c r="Q8" s="15" t="s">
        <v>45</v>
      </c>
      <c r="R8" s="15" t="s">
        <v>2352</v>
      </c>
      <c r="S8" s="112"/>
      <c r="T8" s="16" t="n">
        <v>12</v>
      </c>
      <c r="U8" s="112"/>
      <c r="V8" s="112"/>
      <c r="W8" s="112"/>
      <c r="X8" s="112"/>
      <c r="Y8" s="112"/>
      <c r="Z8" s="112"/>
      <c r="AA8" s="16" t="s">
        <v>45</v>
      </c>
      <c r="AB8" s="16" t="n">
        <v>15</v>
      </c>
      <c r="AC8" s="17" t="s">
        <v>2359</v>
      </c>
      <c r="AD8" s="17" t="n">
        <v>24.45532</v>
      </c>
      <c r="AE8" s="17" t="n">
        <v>75.44325</v>
      </c>
    </row>
    <row r="9" customFormat="false" ht="15" hidden="false" customHeight="false" outlineLevel="0" collapsed="false">
      <c r="A9" s="10" t="s">
        <v>39</v>
      </c>
      <c r="B9" s="10" t="s">
        <v>2349</v>
      </c>
      <c r="C9" s="240" t="s">
        <v>2350</v>
      </c>
      <c r="D9" s="10" t="s">
        <v>71</v>
      </c>
      <c r="E9" s="10" t="n">
        <v>104877</v>
      </c>
      <c r="F9" s="10" t="n">
        <v>229.84</v>
      </c>
      <c r="G9" s="10" t="n">
        <v>98</v>
      </c>
      <c r="H9" s="10" t="n">
        <v>468</v>
      </c>
      <c r="I9" s="10" t="n">
        <v>234</v>
      </c>
      <c r="J9" s="10" t="n">
        <v>234</v>
      </c>
      <c r="K9" s="10" t="n">
        <v>43</v>
      </c>
      <c r="L9" s="241" t="n">
        <f aca="false">K9/H9*100</f>
        <v>9.18803418803419</v>
      </c>
      <c r="M9" s="10" t="n">
        <v>1</v>
      </c>
      <c r="N9" s="241" t="n">
        <f aca="false">M9/H9*100</f>
        <v>0.213675213675214</v>
      </c>
      <c r="O9" s="10" t="n">
        <v>60.58</v>
      </c>
      <c r="P9" s="10" t="n">
        <v>0</v>
      </c>
      <c r="Q9" s="15" t="s">
        <v>45</v>
      </c>
      <c r="R9" s="15" t="s">
        <v>2352</v>
      </c>
      <c r="S9" s="112"/>
      <c r="T9" s="16" t="n">
        <v>0.5</v>
      </c>
      <c r="U9" s="112"/>
      <c r="V9" s="112"/>
      <c r="W9" s="112"/>
      <c r="X9" s="112"/>
      <c r="Y9" s="112"/>
      <c r="Z9" s="112"/>
      <c r="AA9" s="16" t="s">
        <v>45</v>
      </c>
      <c r="AB9" s="16" t="n">
        <v>1</v>
      </c>
      <c r="AC9" s="17" t="s">
        <v>2360</v>
      </c>
      <c r="AD9" s="17" t="n">
        <v>24.3979</v>
      </c>
      <c r="AE9" s="17" t="n">
        <v>75.4822</v>
      </c>
    </row>
    <row r="10" customFormat="false" ht="15" hidden="false" customHeight="false" outlineLevel="0" collapsed="false">
      <c r="A10" s="10" t="s">
        <v>39</v>
      </c>
      <c r="B10" s="10" t="s">
        <v>2349</v>
      </c>
      <c r="C10" s="240" t="s">
        <v>2361</v>
      </c>
      <c r="D10" s="10" t="s">
        <v>343</v>
      </c>
      <c r="E10" s="10" t="n">
        <v>104928</v>
      </c>
      <c r="F10" s="10" t="n">
        <v>230.65</v>
      </c>
      <c r="G10" s="10" t="n">
        <v>88</v>
      </c>
      <c r="H10" s="10" t="n">
        <v>384</v>
      </c>
      <c r="I10" s="10" t="n">
        <v>204</v>
      </c>
      <c r="J10" s="10" t="n">
        <v>180</v>
      </c>
      <c r="K10" s="10" t="n">
        <v>6</v>
      </c>
      <c r="L10" s="241" t="n">
        <f aca="false">K10/H10*100</f>
        <v>1.5625</v>
      </c>
      <c r="M10" s="10" t="n">
        <v>0</v>
      </c>
      <c r="N10" s="241" t="n">
        <f aca="false">M10/H10*100</f>
        <v>0</v>
      </c>
      <c r="O10" s="10" t="n">
        <v>0</v>
      </c>
      <c r="P10" s="10" t="n">
        <v>43.03</v>
      </c>
      <c r="Q10" s="10" t="s">
        <v>45</v>
      </c>
      <c r="R10" s="10" t="s">
        <v>1547</v>
      </c>
      <c r="S10" s="112"/>
      <c r="T10" s="10" t="n">
        <v>20</v>
      </c>
      <c r="U10" s="112"/>
      <c r="V10" s="112"/>
      <c r="W10" s="112"/>
      <c r="X10" s="112"/>
      <c r="Y10" s="112"/>
      <c r="Z10" s="112"/>
      <c r="AA10" s="16" t="s">
        <v>45</v>
      </c>
      <c r="AB10" s="10" t="n">
        <v>12</v>
      </c>
      <c r="AC10" s="10" t="s">
        <v>2362</v>
      </c>
      <c r="AD10" s="10" t="n">
        <v>24.41921</v>
      </c>
      <c r="AE10" s="10" t="n">
        <v>75.865122</v>
      </c>
    </row>
    <row r="11" customFormat="false" ht="15" hidden="false" customHeight="false" outlineLevel="0" collapsed="false">
      <c r="A11" s="10" t="s">
        <v>39</v>
      </c>
      <c r="B11" s="10" t="s">
        <v>2349</v>
      </c>
      <c r="C11" s="240" t="s">
        <v>2361</v>
      </c>
      <c r="D11" s="10" t="s">
        <v>2057</v>
      </c>
      <c r="E11" s="10" t="n">
        <v>104912</v>
      </c>
      <c r="F11" s="10" t="n">
        <v>310.29</v>
      </c>
      <c r="G11" s="10" t="n">
        <v>113</v>
      </c>
      <c r="H11" s="10" t="n">
        <v>493</v>
      </c>
      <c r="I11" s="10" t="n">
        <v>243</v>
      </c>
      <c r="J11" s="10" t="n">
        <v>250</v>
      </c>
      <c r="K11" s="10" t="n">
        <v>0</v>
      </c>
      <c r="L11" s="241" t="n">
        <f aca="false">K11/H11*100</f>
        <v>0</v>
      </c>
      <c r="M11" s="10" t="n">
        <v>0</v>
      </c>
      <c r="N11" s="241" t="n">
        <f aca="false">M11/H11*100</f>
        <v>0</v>
      </c>
      <c r="O11" s="10" t="n">
        <v>75.8</v>
      </c>
      <c r="P11" s="10" t="n">
        <v>0</v>
      </c>
      <c r="Q11" s="10" t="s">
        <v>150</v>
      </c>
      <c r="R11" s="10" t="s">
        <v>1547</v>
      </c>
      <c r="S11" s="112"/>
      <c r="T11" s="10" t="n">
        <v>55</v>
      </c>
      <c r="U11" s="112"/>
      <c r="V11" s="112"/>
      <c r="W11" s="112"/>
      <c r="X11" s="112"/>
      <c r="Y11" s="112"/>
      <c r="Z11" s="112"/>
      <c r="AA11" s="16" t="s">
        <v>45</v>
      </c>
      <c r="AB11" s="10" t="n">
        <v>20</v>
      </c>
      <c r="AC11" s="10" t="s">
        <v>2363</v>
      </c>
      <c r="AD11" s="10" t="n">
        <v>24.333271</v>
      </c>
      <c r="AE11" s="10" t="n">
        <v>75.892931</v>
      </c>
    </row>
    <row r="12" customFormat="false" ht="15" hidden="false" customHeight="false" outlineLevel="0" collapsed="false">
      <c r="A12" s="10" t="s">
        <v>39</v>
      </c>
      <c r="B12" s="10" t="s">
        <v>2349</v>
      </c>
      <c r="C12" s="240" t="s">
        <v>2361</v>
      </c>
      <c r="D12" s="10" t="s">
        <v>2364</v>
      </c>
      <c r="E12" s="10" t="n">
        <v>104913</v>
      </c>
      <c r="F12" s="10" t="n">
        <v>364.37</v>
      </c>
      <c r="G12" s="10" t="n">
        <v>167</v>
      </c>
      <c r="H12" s="10" t="n">
        <v>860</v>
      </c>
      <c r="I12" s="10" t="n">
        <v>445</v>
      </c>
      <c r="J12" s="10" t="n">
        <v>415</v>
      </c>
      <c r="K12" s="10" t="n">
        <v>78</v>
      </c>
      <c r="L12" s="241" t="n">
        <f aca="false">K12/H12*100</f>
        <v>9.06976744186047</v>
      </c>
      <c r="M12" s="10" t="n">
        <v>62</v>
      </c>
      <c r="N12" s="241" t="n">
        <f aca="false">M12/H12*100</f>
        <v>7.2093023255814</v>
      </c>
      <c r="O12" s="10" t="n">
        <v>35.68</v>
      </c>
      <c r="P12" s="10" t="n">
        <v>0</v>
      </c>
      <c r="Q12" s="10" t="s">
        <v>45</v>
      </c>
      <c r="R12" s="10" t="s">
        <v>1547</v>
      </c>
      <c r="S12" s="112"/>
      <c r="T12" s="10" t="n">
        <v>25</v>
      </c>
      <c r="U12" s="112"/>
      <c r="V12" s="112"/>
      <c r="W12" s="112"/>
      <c r="X12" s="112"/>
      <c r="Y12" s="112"/>
      <c r="Z12" s="112"/>
      <c r="AA12" s="16" t="s">
        <v>45</v>
      </c>
      <c r="AB12" s="10" t="n">
        <v>10</v>
      </c>
      <c r="AC12" s="10" t="s">
        <v>2245</v>
      </c>
      <c r="AD12" s="10" t="n">
        <v>24.31781</v>
      </c>
      <c r="AE12" s="10" t="n">
        <v>75.89726</v>
      </c>
    </row>
    <row r="13" customFormat="false" ht="15" hidden="false" customHeight="false" outlineLevel="0" collapsed="false">
      <c r="A13" s="10" t="s">
        <v>39</v>
      </c>
      <c r="B13" s="10" t="s">
        <v>2349</v>
      </c>
      <c r="C13" s="240" t="s">
        <v>2361</v>
      </c>
      <c r="D13" s="10" t="s">
        <v>586</v>
      </c>
      <c r="E13" s="10" t="n">
        <v>104914</v>
      </c>
      <c r="F13" s="10" t="n">
        <v>843.42</v>
      </c>
      <c r="G13" s="10" t="n">
        <v>208</v>
      </c>
      <c r="H13" s="10" t="n">
        <v>1126</v>
      </c>
      <c r="I13" s="10" t="n">
        <v>603</v>
      </c>
      <c r="J13" s="10" t="n">
        <v>523</v>
      </c>
      <c r="K13" s="10" t="n">
        <v>128</v>
      </c>
      <c r="L13" s="241" t="n">
        <f aca="false">K13/H13*100</f>
        <v>11.3676731793961</v>
      </c>
      <c r="M13" s="10" t="n">
        <v>0</v>
      </c>
      <c r="N13" s="241" t="n">
        <f aca="false">M13/H13*100</f>
        <v>0</v>
      </c>
      <c r="O13" s="10" t="n">
        <v>82.16</v>
      </c>
      <c r="P13" s="10" t="n">
        <v>0</v>
      </c>
      <c r="Q13" s="10" t="s">
        <v>150</v>
      </c>
      <c r="R13" s="10" t="s">
        <v>1547</v>
      </c>
      <c r="S13" s="112"/>
      <c r="T13" s="10" t="n">
        <v>66</v>
      </c>
      <c r="U13" s="112"/>
      <c r="V13" s="112"/>
      <c r="W13" s="112"/>
      <c r="X13" s="112"/>
      <c r="Y13" s="112"/>
      <c r="Z13" s="112"/>
      <c r="AA13" s="16" t="s">
        <v>45</v>
      </c>
      <c r="AB13" s="10" t="n">
        <v>34.4</v>
      </c>
      <c r="AC13" s="10" t="s">
        <v>2365</v>
      </c>
      <c r="AD13" s="10" t="n">
        <v>24.12688</v>
      </c>
      <c r="AE13" s="10" t="n">
        <v>75.890169</v>
      </c>
    </row>
    <row r="14" customFormat="false" ht="15" hidden="false" customHeight="false" outlineLevel="0" collapsed="false">
      <c r="A14" s="10" t="s">
        <v>39</v>
      </c>
      <c r="B14" s="10" t="s">
        <v>2349</v>
      </c>
      <c r="C14" s="240" t="s">
        <v>2361</v>
      </c>
      <c r="D14" s="10" t="s">
        <v>2366</v>
      </c>
      <c r="E14" s="10" t="n">
        <v>104915</v>
      </c>
      <c r="F14" s="10" t="n">
        <v>468.99</v>
      </c>
      <c r="G14" s="10" t="n">
        <v>193</v>
      </c>
      <c r="H14" s="10" t="n">
        <v>1086</v>
      </c>
      <c r="I14" s="10" t="n">
        <v>539</v>
      </c>
      <c r="J14" s="10" t="n">
        <v>547</v>
      </c>
      <c r="K14" s="10" t="n">
        <v>294</v>
      </c>
      <c r="L14" s="241" t="n">
        <f aca="false">K14/H14*100</f>
        <v>27.0718232044199</v>
      </c>
      <c r="M14" s="10" t="n">
        <v>2</v>
      </c>
      <c r="N14" s="241" t="n">
        <f aca="false">M14/H14*100</f>
        <v>0.184162062615101</v>
      </c>
      <c r="O14" s="10" t="n">
        <v>47.68</v>
      </c>
      <c r="P14" s="10" t="n">
        <v>0</v>
      </c>
      <c r="Q14" s="10" t="s">
        <v>150</v>
      </c>
      <c r="R14" s="10" t="s">
        <v>1547</v>
      </c>
      <c r="S14" s="112"/>
      <c r="T14" s="10" t="n">
        <v>34</v>
      </c>
      <c r="U14" s="112"/>
      <c r="V14" s="112"/>
      <c r="W14" s="112"/>
      <c r="X14" s="112"/>
      <c r="Y14" s="112"/>
      <c r="Z14" s="112"/>
      <c r="AA14" s="16" t="s">
        <v>45</v>
      </c>
      <c r="AB14" s="10" t="n">
        <v>12</v>
      </c>
      <c r="AC14" s="10" t="s">
        <v>2367</v>
      </c>
      <c r="AD14" s="10" t="n">
        <v>24.345852</v>
      </c>
      <c r="AE14" s="10" t="n">
        <v>75.88121</v>
      </c>
    </row>
    <row r="15" customFormat="false" ht="15" hidden="false" customHeight="false" outlineLevel="0" collapsed="false">
      <c r="A15" s="10" t="s">
        <v>39</v>
      </c>
      <c r="B15" s="10" t="s">
        <v>2349</v>
      </c>
      <c r="C15" s="240" t="s">
        <v>2361</v>
      </c>
      <c r="D15" s="10" t="s">
        <v>2368</v>
      </c>
      <c r="E15" s="10" t="n">
        <v>104927</v>
      </c>
      <c r="F15" s="10" t="n">
        <v>217.7</v>
      </c>
      <c r="G15" s="10" t="n">
        <v>96</v>
      </c>
      <c r="H15" s="10" t="n">
        <v>537</v>
      </c>
      <c r="I15" s="10" t="n">
        <v>275</v>
      </c>
      <c r="J15" s="10" t="n">
        <v>262</v>
      </c>
      <c r="K15" s="10" t="n">
        <v>29</v>
      </c>
      <c r="L15" s="241" t="n">
        <f aca="false">K15/H15*100</f>
        <v>5.40037243947858</v>
      </c>
      <c r="M15" s="10" t="n">
        <v>0</v>
      </c>
      <c r="N15" s="241" t="n">
        <f aca="false">M15/H15*100</f>
        <v>0</v>
      </c>
      <c r="O15" s="10" t="n">
        <v>64.03</v>
      </c>
      <c r="P15" s="10" t="n">
        <v>0</v>
      </c>
      <c r="Q15" s="10" t="s">
        <v>45</v>
      </c>
      <c r="R15" s="10" t="s">
        <v>1547</v>
      </c>
      <c r="S15" s="112"/>
      <c r="T15" s="10" t="n">
        <v>53</v>
      </c>
      <c r="U15" s="112"/>
      <c r="V15" s="112"/>
      <c r="W15" s="112"/>
      <c r="X15" s="112"/>
      <c r="Y15" s="112"/>
      <c r="Z15" s="112"/>
      <c r="AA15" s="16" t="s">
        <v>45</v>
      </c>
      <c r="AB15" s="10" t="n">
        <v>10</v>
      </c>
      <c r="AC15" s="10" t="s">
        <v>2369</v>
      </c>
      <c r="AD15" s="10" t="n">
        <v>24.3092</v>
      </c>
      <c r="AE15" s="10" t="n">
        <v>75.866552</v>
      </c>
    </row>
    <row r="16" customFormat="false" ht="15" hidden="false" customHeight="false" outlineLevel="0" collapsed="false">
      <c r="A16" s="10" t="s">
        <v>39</v>
      </c>
      <c r="B16" s="10" t="s">
        <v>2349</v>
      </c>
      <c r="C16" s="240" t="s">
        <v>2370</v>
      </c>
      <c r="D16" s="10" t="s">
        <v>2371</v>
      </c>
      <c r="E16" s="10" t="n">
        <v>104864</v>
      </c>
      <c r="F16" s="10" t="n">
        <v>355.92</v>
      </c>
      <c r="G16" s="10" t="n">
        <v>93</v>
      </c>
      <c r="H16" s="10" t="n">
        <v>453</v>
      </c>
      <c r="I16" s="10" t="n">
        <v>229</v>
      </c>
      <c r="J16" s="10" t="n">
        <v>224</v>
      </c>
      <c r="K16" s="10" t="n">
        <v>219</v>
      </c>
      <c r="L16" s="241" t="n">
        <f aca="false">K16/H16*100</f>
        <v>48.3443708609272</v>
      </c>
      <c r="M16" s="10" t="n">
        <v>44</v>
      </c>
      <c r="N16" s="241" t="n">
        <f aca="false">M16/H16*100</f>
        <v>9.71302428256071</v>
      </c>
      <c r="O16" s="10" t="n">
        <v>19.01</v>
      </c>
      <c r="P16" s="10" t="n">
        <v>0</v>
      </c>
      <c r="Q16" s="15" t="s">
        <v>45</v>
      </c>
      <c r="R16" s="15" t="s">
        <v>2372</v>
      </c>
      <c r="S16" s="112"/>
      <c r="T16" s="16" t="n">
        <v>9</v>
      </c>
      <c r="U16" s="112"/>
      <c r="V16" s="112"/>
      <c r="W16" s="112"/>
      <c r="X16" s="112"/>
      <c r="Y16" s="112"/>
      <c r="Z16" s="112"/>
      <c r="AA16" s="16" t="s">
        <v>45</v>
      </c>
      <c r="AB16" s="16" t="n">
        <v>10</v>
      </c>
      <c r="AC16" s="17" t="s">
        <v>2373</v>
      </c>
      <c r="AD16" s="17" t="n">
        <v>24.448613</v>
      </c>
      <c r="AE16" s="17" t="n">
        <v>75.925751</v>
      </c>
    </row>
    <row r="17" customFormat="false" ht="15" hidden="false" customHeight="false" outlineLevel="0" collapsed="false">
      <c r="A17" s="10" t="s">
        <v>39</v>
      </c>
      <c r="B17" s="10" t="s">
        <v>2349</v>
      </c>
      <c r="C17" s="240" t="s">
        <v>2370</v>
      </c>
      <c r="D17" s="10" t="s">
        <v>2374</v>
      </c>
      <c r="E17" s="10" t="n">
        <v>104865</v>
      </c>
      <c r="F17" s="10" t="n">
        <v>597.56</v>
      </c>
      <c r="G17" s="10" t="n">
        <v>277</v>
      </c>
      <c r="H17" s="10" t="n">
        <v>1402</v>
      </c>
      <c r="I17" s="10" t="n">
        <v>706</v>
      </c>
      <c r="J17" s="10" t="n">
        <v>696</v>
      </c>
      <c r="K17" s="10" t="n">
        <v>402</v>
      </c>
      <c r="L17" s="241" t="n">
        <f aca="false">K17/H17*100</f>
        <v>28.6733238231098</v>
      </c>
      <c r="M17" s="10" t="n">
        <v>175</v>
      </c>
      <c r="N17" s="241" t="n">
        <f aca="false">M17/H17*100</f>
        <v>12.4821683309558</v>
      </c>
      <c r="O17" s="10" t="n">
        <v>25.64</v>
      </c>
      <c r="P17" s="10" t="n">
        <v>0</v>
      </c>
      <c r="Q17" s="15" t="s">
        <v>45</v>
      </c>
      <c r="R17" s="15" t="s">
        <v>2372</v>
      </c>
      <c r="S17" s="112"/>
      <c r="T17" s="16" t="n">
        <v>11</v>
      </c>
      <c r="U17" s="112"/>
      <c r="V17" s="112"/>
      <c r="W17" s="112"/>
      <c r="X17" s="112"/>
      <c r="Y17" s="112"/>
      <c r="Z17" s="112"/>
      <c r="AA17" s="16" t="s">
        <v>45</v>
      </c>
      <c r="AB17" s="16" t="n">
        <v>25</v>
      </c>
      <c r="AC17" s="17" t="s">
        <v>2375</v>
      </c>
      <c r="AD17" s="17" t="n">
        <v>24.42109</v>
      </c>
      <c r="AE17" s="17" t="n">
        <v>75.90317</v>
      </c>
    </row>
    <row r="18" customFormat="false" ht="15" hidden="false" customHeight="false" outlineLevel="0" collapsed="false">
      <c r="A18" s="10" t="s">
        <v>39</v>
      </c>
      <c r="B18" s="10" t="s">
        <v>2349</v>
      </c>
      <c r="C18" s="240" t="s">
        <v>2370</v>
      </c>
      <c r="D18" s="10" t="s">
        <v>2376</v>
      </c>
      <c r="E18" s="10" t="n">
        <v>104866</v>
      </c>
      <c r="F18" s="10" t="n">
        <v>426.9</v>
      </c>
      <c r="G18" s="10" t="n">
        <v>160</v>
      </c>
      <c r="H18" s="10" t="n">
        <v>866</v>
      </c>
      <c r="I18" s="10" t="n">
        <v>432</v>
      </c>
      <c r="J18" s="10" t="n">
        <v>434</v>
      </c>
      <c r="K18" s="10" t="n">
        <v>244</v>
      </c>
      <c r="L18" s="241" t="n">
        <f aca="false">K18/H18*100</f>
        <v>28.175519630485</v>
      </c>
      <c r="M18" s="10" t="n">
        <v>0</v>
      </c>
      <c r="N18" s="241" t="n">
        <f aca="false">M18/H18*100</f>
        <v>0</v>
      </c>
      <c r="O18" s="10" t="n">
        <v>32.73</v>
      </c>
      <c r="P18" s="10" t="n">
        <v>0</v>
      </c>
      <c r="Q18" s="15" t="s">
        <v>45</v>
      </c>
      <c r="R18" s="15" t="s">
        <v>2372</v>
      </c>
      <c r="S18" s="112"/>
      <c r="T18" s="16" t="n">
        <v>28</v>
      </c>
      <c r="U18" s="112"/>
      <c r="V18" s="112"/>
      <c r="W18" s="112"/>
      <c r="X18" s="112"/>
      <c r="Y18" s="112"/>
      <c r="Z18" s="112"/>
      <c r="AA18" s="16" t="s">
        <v>45</v>
      </c>
      <c r="AB18" s="16" t="n">
        <v>20</v>
      </c>
      <c r="AC18" s="17" t="s">
        <v>2377</v>
      </c>
      <c r="AD18" s="16" t="n">
        <v>24.423309</v>
      </c>
      <c r="AE18" s="17" t="n">
        <v>75.43897</v>
      </c>
    </row>
    <row r="19" customFormat="false" ht="15" hidden="false" customHeight="false" outlineLevel="0" collapsed="false">
      <c r="A19" s="95" t="s">
        <v>39</v>
      </c>
      <c r="B19" s="95" t="s">
        <v>2349</v>
      </c>
      <c r="C19" s="243" t="s">
        <v>2370</v>
      </c>
      <c r="D19" s="95" t="s">
        <v>2378</v>
      </c>
      <c r="E19" s="95" t="n">
        <v>104867</v>
      </c>
      <c r="F19" s="95" t="n">
        <v>421.99</v>
      </c>
      <c r="G19" s="95" t="n">
        <v>129</v>
      </c>
      <c r="H19" s="95" t="n">
        <v>698</v>
      </c>
      <c r="I19" s="95" t="n">
        <v>368</v>
      </c>
      <c r="J19" s="95" t="n">
        <v>330</v>
      </c>
      <c r="K19" s="95" t="n">
        <v>85</v>
      </c>
      <c r="L19" s="241" t="n">
        <f aca="false">K19/H19*100</f>
        <v>12.1776504297994</v>
      </c>
      <c r="M19" s="95" t="n">
        <v>178</v>
      </c>
      <c r="N19" s="241" t="n">
        <f aca="false">M19/H19*100</f>
        <v>25.5014326647564</v>
      </c>
      <c r="O19" s="95" t="n">
        <v>28.09</v>
      </c>
      <c r="P19" s="95" t="n">
        <v>0</v>
      </c>
      <c r="Q19" s="132" t="s">
        <v>45</v>
      </c>
      <c r="R19" s="132" t="s">
        <v>2372</v>
      </c>
      <c r="S19" s="112"/>
      <c r="T19" s="244" t="n">
        <v>22</v>
      </c>
      <c r="U19" s="112"/>
      <c r="V19" s="112"/>
      <c r="W19" s="112"/>
      <c r="X19" s="112"/>
      <c r="Y19" s="112"/>
      <c r="Z19" s="112"/>
      <c r="AA19" s="244" t="s">
        <v>45</v>
      </c>
      <c r="AB19" s="244" t="n">
        <v>5</v>
      </c>
      <c r="AC19" s="134" t="s">
        <v>2379</v>
      </c>
      <c r="AD19" s="134" t="n">
        <v>24.443289</v>
      </c>
      <c r="AE19" s="134" t="n">
        <v>75.343261</v>
      </c>
    </row>
    <row r="20" customFormat="false" ht="15" hidden="false" customHeight="false" outlineLevel="0" collapsed="false">
      <c r="A20" s="95" t="s">
        <v>39</v>
      </c>
      <c r="B20" s="95" t="s">
        <v>2349</v>
      </c>
      <c r="C20" s="243" t="s">
        <v>2380</v>
      </c>
      <c r="D20" s="95" t="s">
        <v>2381</v>
      </c>
      <c r="E20" s="95" t="n">
        <v>104962</v>
      </c>
      <c r="F20" s="95" t="n">
        <v>627.41</v>
      </c>
      <c r="G20" s="95" t="n">
        <v>64</v>
      </c>
      <c r="H20" s="95" t="n">
        <v>355</v>
      </c>
      <c r="I20" s="95" t="n">
        <v>183</v>
      </c>
      <c r="J20" s="95" t="n">
        <v>172</v>
      </c>
      <c r="K20" s="95" t="n">
        <v>14</v>
      </c>
      <c r="L20" s="241" t="n">
        <f aca="false">K20/H20*100</f>
        <v>3.94366197183099</v>
      </c>
      <c r="M20" s="95" t="n">
        <v>0</v>
      </c>
      <c r="N20" s="241" t="n">
        <f aca="false">M20/H20*100</f>
        <v>0</v>
      </c>
      <c r="O20" s="95" t="n">
        <v>22.54</v>
      </c>
      <c r="P20" s="95" t="n">
        <v>112.07</v>
      </c>
      <c r="Q20" s="153" t="s">
        <v>45</v>
      </c>
      <c r="R20" s="153" t="s">
        <v>2382</v>
      </c>
      <c r="S20" s="112"/>
      <c r="T20" s="153" t="n">
        <v>26.78</v>
      </c>
      <c r="U20" s="112"/>
      <c r="V20" s="112"/>
      <c r="W20" s="112"/>
      <c r="X20" s="112"/>
      <c r="Y20" s="112"/>
      <c r="Z20" s="112"/>
      <c r="AA20" s="153" t="s">
        <v>82</v>
      </c>
      <c r="AB20" s="153" t="n">
        <v>1</v>
      </c>
      <c r="AC20" s="153" t="s">
        <v>2383</v>
      </c>
      <c r="AD20" s="153" t="n">
        <v>24.158425</v>
      </c>
      <c r="AE20" s="153" t="n">
        <v>75.877385</v>
      </c>
    </row>
    <row r="21" customFormat="false" ht="15" hidden="false" customHeight="false" outlineLevel="0" collapsed="false">
      <c r="A21" s="95" t="s">
        <v>39</v>
      </c>
      <c r="B21" s="95" t="s">
        <v>2349</v>
      </c>
      <c r="C21" s="243" t="s">
        <v>2380</v>
      </c>
      <c r="D21" s="95" t="s">
        <v>2384</v>
      </c>
      <c r="E21" s="95" t="n">
        <v>104963</v>
      </c>
      <c r="F21" s="95" t="n">
        <v>161.4</v>
      </c>
      <c r="G21" s="95" t="n">
        <v>618</v>
      </c>
      <c r="H21" s="95" t="n">
        <v>3467</v>
      </c>
      <c r="I21" s="95" t="n">
        <v>1757</v>
      </c>
      <c r="J21" s="95" t="n">
        <v>1710</v>
      </c>
      <c r="K21" s="95" t="n">
        <v>513</v>
      </c>
      <c r="L21" s="241" t="n">
        <f aca="false">K21/H21*100</f>
        <v>14.7966541678685</v>
      </c>
      <c r="M21" s="95" t="n">
        <v>53</v>
      </c>
      <c r="N21" s="241" t="n">
        <f aca="false">M21/H21*100</f>
        <v>1.52869916354197</v>
      </c>
      <c r="O21" s="95" t="n">
        <v>74.68</v>
      </c>
      <c r="P21" s="95" t="n">
        <v>0</v>
      </c>
      <c r="Q21" s="153" t="s">
        <v>45</v>
      </c>
      <c r="R21" s="153" t="s">
        <v>2382</v>
      </c>
      <c r="S21" s="112"/>
      <c r="T21" s="153" t="n">
        <v>61.51</v>
      </c>
      <c r="U21" s="112"/>
      <c r="V21" s="112"/>
      <c r="W21" s="112"/>
      <c r="X21" s="112"/>
      <c r="Y21" s="112"/>
      <c r="Z21" s="112"/>
      <c r="AA21" s="153" t="s">
        <v>82</v>
      </c>
      <c r="AB21" s="153" t="n">
        <v>5</v>
      </c>
      <c r="AC21" s="153" t="s">
        <v>2385</v>
      </c>
      <c r="AD21" s="153" t="n">
        <v>24.137663</v>
      </c>
      <c r="AE21" s="153" t="n">
        <v>75.873547</v>
      </c>
    </row>
    <row r="22" customFormat="false" ht="15" hidden="false" customHeight="false" outlineLevel="0" collapsed="false">
      <c r="A22" s="95" t="s">
        <v>39</v>
      </c>
      <c r="B22" s="95" t="s">
        <v>2349</v>
      </c>
      <c r="C22" s="243" t="s">
        <v>2380</v>
      </c>
      <c r="D22" s="95" t="s">
        <v>1221</v>
      </c>
      <c r="E22" s="95" t="n">
        <v>104974</v>
      </c>
      <c r="F22" s="95" t="n">
        <v>331.63</v>
      </c>
      <c r="G22" s="95" t="n">
        <v>164</v>
      </c>
      <c r="H22" s="95" t="n">
        <v>687</v>
      </c>
      <c r="I22" s="95" t="n">
        <v>349</v>
      </c>
      <c r="J22" s="95" t="n">
        <v>338</v>
      </c>
      <c r="K22" s="95" t="n">
        <v>218</v>
      </c>
      <c r="L22" s="241" t="n">
        <f aca="false">K22/H22*100</f>
        <v>31.7321688500728</v>
      </c>
      <c r="M22" s="95" t="n">
        <v>0</v>
      </c>
      <c r="N22" s="241" t="n">
        <f aca="false">M22/H22*100</f>
        <v>0</v>
      </c>
      <c r="O22" s="95" t="n">
        <v>29.91</v>
      </c>
      <c r="P22" s="95" t="n">
        <v>56.25</v>
      </c>
      <c r="Q22" s="153" t="s">
        <v>45</v>
      </c>
      <c r="R22" s="153" t="s">
        <v>2382</v>
      </c>
      <c r="S22" s="112"/>
      <c r="T22" s="153" t="n">
        <v>18.73</v>
      </c>
      <c r="U22" s="112"/>
      <c r="V22" s="112"/>
      <c r="W22" s="112"/>
      <c r="X22" s="112"/>
      <c r="Y22" s="112"/>
      <c r="Z22" s="112"/>
      <c r="AA22" s="153" t="s">
        <v>82</v>
      </c>
      <c r="AB22" s="153" t="n">
        <v>5</v>
      </c>
      <c r="AC22" s="153" t="s">
        <v>2386</v>
      </c>
      <c r="AD22" s="153" t="n">
        <v>24.115361</v>
      </c>
      <c r="AE22" s="153" t="n">
        <v>75.005637</v>
      </c>
    </row>
    <row r="23" customFormat="false" ht="15" hidden="false" customHeight="false" outlineLevel="0" collapsed="false">
      <c r="A23" s="95" t="s">
        <v>39</v>
      </c>
      <c r="B23" s="95" t="s">
        <v>2349</v>
      </c>
      <c r="C23" s="243" t="s">
        <v>2380</v>
      </c>
      <c r="D23" s="95" t="s">
        <v>952</v>
      </c>
      <c r="E23" s="95" t="n">
        <v>104975</v>
      </c>
      <c r="F23" s="95" t="n">
        <v>116.83</v>
      </c>
      <c r="G23" s="95" t="n">
        <v>128</v>
      </c>
      <c r="H23" s="95" t="n">
        <v>636</v>
      </c>
      <c r="I23" s="95" t="n">
        <v>333</v>
      </c>
      <c r="J23" s="95" t="n">
        <v>303</v>
      </c>
      <c r="K23" s="95" t="n">
        <v>156</v>
      </c>
      <c r="L23" s="241" t="n">
        <f aca="false">K23/H23*100</f>
        <v>24.5283018867925</v>
      </c>
      <c r="M23" s="95" t="n">
        <v>0</v>
      </c>
      <c r="N23" s="241" t="n">
        <f aca="false">M23/H23*100</f>
        <v>0</v>
      </c>
      <c r="O23" s="95" t="n">
        <v>8.74</v>
      </c>
      <c r="P23" s="95" t="n">
        <v>0</v>
      </c>
      <c r="Q23" s="153" t="s">
        <v>45</v>
      </c>
      <c r="R23" s="153" t="s">
        <v>2382</v>
      </c>
      <c r="S23" s="112"/>
      <c r="T23" s="153" t="n">
        <v>3.31</v>
      </c>
      <c r="U23" s="112"/>
      <c r="V23" s="112"/>
      <c r="W23" s="112"/>
      <c r="X23" s="112"/>
      <c r="Y23" s="112"/>
      <c r="Z23" s="112"/>
      <c r="AA23" s="153" t="s">
        <v>82</v>
      </c>
      <c r="AB23" s="153" t="n">
        <v>2</v>
      </c>
      <c r="AC23" s="153" t="s">
        <v>2387</v>
      </c>
      <c r="AD23" s="153" t="n">
        <v>24.09132</v>
      </c>
      <c r="AE23" s="153" t="n">
        <v>75.9105</v>
      </c>
    </row>
    <row r="24" customFormat="false" ht="15" hidden="false" customHeight="false" outlineLevel="0" collapsed="false">
      <c r="A24" s="190" t="s">
        <v>39</v>
      </c>
      <c r="B24" s="190" t="s">
        <v>2349</v>
      </c>
      <c r="C24" s="243" t="s">
        <v>2380</v>
      </c>
      <c r="D24" s="190" t="s">
        <v>1478</v>
      </c>
      <c r="E24" s="190" t="n">
        <v>104973</v>
      </c>
      <c r="F24" s="190" t="n">
        <v>827.67</v>
      </c>
      <c r="G24" s="190" t="n">
        <v>361</v>
      </c>
      <c r="H24" s="190" t="n">
        <v>1893</v>
      </c>
      <c r="I24" s="190" t="n">
        <v>945</v>
      </c>
      <c r="J24" s="190" t="n">
        <v>948</v>
      </c>
      <c r="K24" s="190" t="n">
        <v>705</v>
      </c>
      <c r="L24" s="241" t="n">
        <f aca="false">K24/H24*100</f>
        <v>37.2424722662441</v>
      </c>
      <c r="M24" s="190" t="n">
        <v>1</v>
      </c>
      <c r="N24" s="241" t="n">
        <f aca="false">M24/H24*100</f>
        <v>0.0528262017960909</v>
      </c>
      <c r="O24" s="190" t="n">
        <v>68.63</v>
      </c>
      <c r="P24" s="190" t="n">
        <v>149.49</v>
      </c>
      <c r="Q24" s="153" t="s">
        <v>45</v>
      </c>
      <c r="R24" s="153" t="s">
        <v>2382</v>
      </c>
      <c r="S24" s="112"/>
      <c r="T24" s="153" t="n">
        <v>63.9</v>
      </c>
      <c r="U24" s="112"/>
      <c r="V24" s="112"/>
      <c r="W24" s="112"/>
      <c r="X24" s="112"/>
      <c r="Y24" s="112"/>
      <c r="Z24" s="112"/>
      <c r="AA24" s="153" t="s">
        <v>82</v>
      </c>
      <c r="AB24" s="153" t="n">
        <v>3</v>
      </c>
      <c r="AC24" s="153" t="s">
        <v>2387</v>
      </c>
      <c r="AD24" s="153" t="n">
        <v>24.1508</v>
      </c>
      <c r="AE24" s="153" t="n">
        <v>75.925</v>
      </c>
    </row>
    <row r="25" customFormat="false" ht="15" hidden="false" customHeight="false" outlineLevel="0" collapsed="false">
      <c r="A25" s="95" t="s">
        <v>39</v>
      </c>
      <c r="B25" s="95" t="s">
        <v>2349</v>
      </c>
      <c r="C25" s="243" t="s">
        <v>2388</v>
      </c>
      <c r="D25" s="95" t="s">
        <v>2389</v>
      </c>
      <c r="E25" s="95" t="n">
        <v>104922</v>
      </c>
      <c r="F25" s="95" t="n">
        <v>427.51</v>
      </c>
      <c r="G25" s="95" t="n">
        <v>72</v>
      </c>
      <c r="H25" s="95" t="n">
        <v>410</v>
      </c>
      <c r="I25" s="95" t="n">
        <v>215</v>
      </c>
      <c r="J25" s="95" t="n">
        <v>195</v>
      </c>
      <c r="K25" s="95" t="n">
        <v>65</v>
      </c>
      <c r="L25" s="241" t="n">
        <f aca="false">K25/H25*100</f>
        <v>15.8536585365854</v>
      </c>
      <c r="M25" s="95" t="n">
        <v>0</v>
      </c>
      <c r="N25" s="241" t="n">
        <f aca="false">M25/H25*100</f>
        <v>0</v>
      </c>
      <c r="O25" s="95" t="n">
        <v>47.87</v>
      </c>
      <c r="P25" s="95" t="n">
        <v>62.72</v>
      </c>
      <c r="Q25" s="10" t="s">
        <v>45</v>
      </c>
      <c r="R25" s="231" t="s">
        <v>2390</v>
      </c>
      <c r="S25" s="112"/>
      <c r="T25" s="245" t="n">
        <v>3</v>
      </c>
      <c r="U25" s="112"/>
      <c r="V25" s="112"/>
      <c r="W25" s="112"/>
      <c r="X25" s="112"/>
      <c r="Y25" s="112"/>
      <c r="Z25" s="112"/>
      <c r="AA25" s="244" t="s">
        <v>45</v>
      </c>
      <c r="AB25" s="245" t="n">
        <v>5</v>
      </c>
      <c r="AC25" s="231" t="s">
        <v>2391</v>
      </c>
      <c r="AD25" s="245" t="n">
        <v>24.315522</v>
      </c>
      <c r="AE25" s="245" t="n">
        <v>75.836439</v>
      </c>
    </row>
    <row r="26" customFormat="false" ht="15" hidden="false" customHeight="false" outlineLevel="0" collapsed="false">
      <c r="A26" s="95" t="s">
        <v>39</v>
      </c>
      <c r="B26" s="95" t="s">
        <v>2349</v>
      </c>
      <c r="C26" s="243" t="s">
        <v>2388</v>
      </c>
      <c r="D26" s="95" t="s">
        <v>2392</v>
      </c>
      <c r="E26" s="95" t="n">
        <v>104923</v>
      </c>
      <c r="F26" s="95" t="n">
        <v>169.97</v>
      </c>
      <c r="G26" s="95" t="n">
        <v>47</v>
      </c>
      <c r="H26" s="95" t="n">
        <v>214</v>
      </c>
      <c r="I26" s="95" t="n">
        <v>120</v>
      </c>
      <c r="J26" s="95" t="n">
        <v>94</v>
      </c>
      <c r="K26" s="95" t="n">
        <v>20</v>
      </c>
      <c r="L26" s="241" t="n">
        <f aca="false">K26/H26*100</f>
        <v>9.34579439252336</v>
      </c>
      <c r="M26" s="95" t="n">
        <v>0</v>
      </c>
      <c r="N26" s="241" t="n">
        <f aca="false">M26/H26*100</f>
        <v>0</v>
      </c>
      <c r="O26" s="95" t="n">
        <v>22.06</v>
      </c>
      <c r="P26" s="95" t="n">
        <v>18.32</v>
      </c>
      <c r="Q26" s="10" t="s">
        <v>45</v>
      </c>
      <c r="R26" s="231" t="s">
        <v>2390</v>
      </c>
      <c r="S26" s="112"/>
      <c r="T26" s="245" t="n">
        <v>13</v>
      </c>
      <c r="U26" s="112"/>
      <c r="V26" s="112"/>
      <c r="W26" s="112"/>
      <c r="X26" s="112"/>
      <c r="Y26" s="112"/>
      <c r="Z26" s="112"/>
      <c r="AA26" s="244" t="s">
        <v>45</v>
      </c>
      <c r="AB26" s="245" t="n">
        <v>10</v>
      </c>
      <c r="AC26" s="231" t="s">
        <v>2393</v>
      </c>
      <c r="AD26" s="245" t="n">
        <v>24.294725</v>
      </c>
      <c r="AE26" s="245" t="n">
        <v>75.828135</v>
      </c>
    </row>
    <row r="27" customFormat="false" ht="15" hidden="false" customHeight="false" outlineLevel="0" collapsed="false">
      <c r="A27" s="95" t="s">
        <v>39</v>
      </c>
      <c r="B27" s="95" t="s">
        <v>2349</v>
      </c>
      <c r="C27" s="243" t="s">
        <v>2388</v>
      </c>
      <c r="D27" s="95" t="s">
        <v>2394</v>
      </c>
      <c r="E27" s="95" t="n">
        <v>104925</v>
      </c>
      <c r="F27" s="95" t="n">
        <v>483.48</v>
      </c>
      <c r="G27" s="95" t="n">
        <v>126</v>
      </c>
      <c r="H27" s="95" t="n">
        <v>667</v>
      </c>
      <c r="I27" s="95" t="n">
        <v>343</v>
      </c>
      <c r="J27" s="95" t="n">
        <v>324</v>
      </c>
      <c r="K27" s="95" t="n">
        <v>305</v>
      </c>
      <c r="L27" s="241" t="n">
        <f aca="false">K27/H27*100</f>
        <v>45.7271364317841</v>
      </c>
      <c r="M27" s="95" t="n">
        <v>5</v>
      </c>
      <c r="N27" s="241" t="n">
        <f aca="false">M27/H27*100</f>
        <v>0.749625187406297</v>
      </c>
      <c r="O27" s="95" t="n">
        <v>24.85</v>
      </c>
      <c r="P27" s="95" t="n">
        <v>0</v>
      </c>
      <c r="Q27" s="10" t="s">
        <v>45</v>
      </c>
      <c r="R27" s="231" t="s">
        <v>2390</v>
      </c>
      <c r="S27" s="112"/>
      <c r="T27" s="245" t="n">
        <v>5</v>
      </c>
      <c r="U27" s="112"/>
      <c r="V27" s="112"/>
      <c r="W27" s="112"/>
      <c r="X27" s="112"/>
      <c r="Y27" s="112"/>
      <c r="Z27" s="112"/>
      <c r="AA27" s="244" t="s">
        <v>45</v>
      </c>
      <c r="AB27" s="245" t="n">
        <v>5</v>
      </c>
      <c r="AC27" s="231" t="s">
        <v>2395</v>
      </c>
      <c r="AD27" s="245" t="n">
        <v>24.33338</v>
      </c>
      <c r="AE27" s="245" t="n">
        <v>75.84348</v>
      </c>
    </row>
    <row r="28" customFormat="false" ht="15" hidden="false" customHeight="false" outlineLevel="0" collapsed="false">
      <c r="A28" s="95" t="s">
        <v>39</v>
      </c>
      <c r="B28" s="95" t="s">
        <v>2349</v>
      </c>
      <c r="C28" s="243" t="s">
        <v>2388</v>
      </c>
      <c r="D28" s="95" t="s">
        <v>2396</v>
      </c>
      <c r="E28" s="95" t="n">
        <v>104933</v>
      </c>
      <c r="F28" s="95" t="n">
        <v>256.43</v>
      </c>
      <c r="G28" s="95" t="n">
        <v>161</v>
      </c>
      <c r="H28" s="95" t="n">
        <v>783</v>
      </c>
      <c r="I28" s="95" t="n">
        <v>401</v>
      </c>
      <c r="J28" s="95" t="n">
        <v>382</v>
      </c>
      <c r="K28" s="95" t="n">
        <v>98</v>
      </c>
      <c r="L28" s="241" t="n">
        <f aca="false">K28/H28*100</f>
        <v>12.5159642401022</v>
      </c>
      <c r="M28" s="95" t="n">
        <v>0</v>
      </c>
      <c r="N28" s="241" t="n">
        <f aca="false">M28/H28*100</f>
        <v>0</v>
      </c>
      <c r="O28" s="95" t="n">
        <v>52.52</v>
      </c>
      <c r="P28" s="95" t="n">
        <v>0</v>
      </c>
      <c r="Q28" s="10" t="s">
        <v>45</v>
      </c>
      <c r="R28" s="231" t="s">
        <v>2390</v>
      </c>
      <c r="S28" s="112"/>
      <c r="T28" s="10" t="n">
        <v>38</v>
      </c>
      <c r="U28" s="112"/>
      <c r="V28" s="112"/>
      <c r="W28" s="112"/>
      <c r="X28" s="112"/>
      <c r="Y28" s="112"/>
      <c r="Z28" s="112"/>
      <c r="AA28" s="244" t="s">
        <v>45</v>
      </c>
      <c r="AB28" s="245" t="n">
        <v>19.272</v>
      </c>
      <c r="AC28" s="231" t="s">
        <v>2397</v>
      </c>
      <c r="AD28" s="10" t="n">
        <v>24.276927</v>
      </c>
      <c r="AE28" s="10" t="n">
        <v>75.819398</v>
      </c>
    </row>
    <row r="29" customFormat="false" ht="15" hidden="false" customHeight="false" outlineLevel="0" collapsed="false">
      <c r="A29" s="95" t="s">
        <v>39</v>
      </c>
      <c r="B29" s="95" t="s">
        <v>2349</v>
      </c>
      <c r="C29" s="243" t="s">
        <v>2388</v>
      </c>
      <c r="D29" s="95" t="s">
        <v>2254</v>
      </c>
      <c r="E29" s="95" t="n">
        <v>104934</v>
      </c>
      <c r="F29" s="95" t="n">
        <v>317.13</v>
      </c>
      <c r="G29" s="95" t="n">
        <v>103</v>
      </c>
      <c r="H29" s="95" t="n">
        <v>586</v>
      </c>
      <c r="I29" s="95" t="n">
        <v>270</v>
      </c>
      <c r="J29" s="95" t="n">
        <v>316</v>
      </c>
      <c r="K29" s="95" t="n">
        <v>151</v>
      </c>
      <c r="L29" s="241" t="n">
        <f aca="false">K29/H29*100</f>
        <v>25.7679180887372</v>
      </c>
      <c r="M29" s="95" t="n">
        <v>0</v>
      </c>
      <c r="N29" s="241" t="n">
        <f aca="false">M29/H29*100</f>
        <v>0</v>
      </c>
      <c r="O29" s="95" t="n">
        <v>86.02</v>
      </c>
      <c r="P29" s="95" t="n">
        <v>0</v>
      </c>
      <c r="Q29" s="10" t="s">
        <v>45</v>
      </c>
      <c r="R29" s="231" t="s">
        <v>2390</v>
      </c>
      <c r="S29" s="112"/>
      <c r="T29" s="245" t="n">
        <v>73</v>
      </c>
      <c r="U29" s="112"/>
      <c r="V29" s="112"/>
      <c r="W29" s="112"/>
      <c r="X29" s="112"/>
      <c r="Y29" s="112"/>
      <c r="Z29" s="112"/>
      <c r="AA29" s="244" t="s">
        <v>45</v>
      </c>
      <c r="AB29" s="245" t="n">
        <v>20</v>
      </c>
      <c r="AC29" s="231" t="s">
        <v>2398</v>
      </c>
      <c r="AD29" s="245" t="n">
        <v>24.281347</v>
      </c>
      <c r="AE29" s="245" t="n">
        <v>75.836146</v>
      </c>
    </row>
    <row r="30" customFormat="false" ht="15" hidden="false" customHeight="false" outlineLevel="0" collapsed="false">
      <c r="A30" s="95" t="s">
        <v>39</v>
      </c>
      <c r="B30" s="95" t="s">
        <v>2349</v>
      </c>
      <c r="C30" s="243" t="s">
        <v>2388</v>
      </c>
      <c r="D30" s="95" t="s">
        <v>1510</v>
      </c>
      <c r="E30" s="95" t="n">
        <v>104920</v>
      </c>
      <c r="F30" s="95" t="n">
        <v>316</v>
      </c>
      <c r="G30" s="95" t="n">
        <v>263</v>
      </c>
      <c r="H30" s="95" t="n">
        <v>1304</v>
      </c>
      <c r="I30" s="95" t="n">
        <v>687</v>
      </c>
      <c r="J30" s="95" t="n">
        <v>617</v>
      </c>
      <c r="K30" s="95" t="n">
        <v>202</v>
      </c>
      <c r="L30" s="241" t="n">
        <f aca="false">K30/H30*100</f>
        <v>15.4907975460123</v>
      </c>
      <c r="M30" s="95" t="n">
        <v>317</v>
      </c>
      <c r="N30" s="241" t="n">
        <f aca="false">M30/H30*100</f>
        <v>24.3098159509202</v>
      </c>
      <c r="O30" s="95" t="n">
        <v>23</v>
      </c>
      <c r="P30" s="95" t="n">
        <v>0</v>
      </c>
      <c r="Q30" s="10" t="s">
        <v>45</v>
      </c>
      <c r="R30" s="231" t="s">
        <v>2390</v>
      </c>
      <c r="S30" s="112"/>
      <c r="T30" s="245" t="n">
        <v>23</v>
      </c>
      <c r="U30" s="112"/>
      <c r="V30" s="112"/>
      <c r="W30" s="112"/>
      <c r="X30" s="112"/>
      <c r="Y30" s="112"/>
      <c r="Z30" s="112"/>
      <c r="AA30" s="244" t="s">
        <v>45</v>
      </c>
      <c r="AB30" s="245" t="n">
        <v>10</v>
      </c>
      <c r="AC30" s="231" t="s">
        <v>2399</v>
      </c>
      <c r="AD30" s="245" t="n">
        <v>24.293675</v>
      </c>
      <c r="AE30" s="245" t="n">
        <v>75.8116</v>
      </c>
    </row>
    <row r="31" customFormat="false" ht="15" hidden="false" customHeight="false" outlineLevel="0" collapsed="false">
      <c r="A31" s="95" t="s">
        <v>39</v>
      </c>
      <c r="B31" s="95" t="s">
        <v>2349</v>
      </c>
      <c r="C31" s="243" t="s">
        <v>2400</v>
      </c>
      <c r="D31" s="95" t="s">
        <v>2401</v>
      </c>
      <c r="E31" s="95" t="n">
        <v>104847</v>
      </c>
      <c r="F31" s="95" t="n">
        <v>529</v>
      </c>
      <c r="G31" s="95" t="n">
        <v>190</v>
      </c>
      <c r="H31" s="95" t="n">
        <v>968</v>
      </c>
      <c r="I31" s="95" t="n">
        <v>493</v>
      </c>
      <c r="J31" s="95" t="n">
        <v>475</v>
      </c>
      <c r="K31" s="95" t="n">
        <v>372</v>
      </c>
      <c r="L31" s="241" t="n">
        <f aca="false">K31/H31*100</f>
        <v>38.4297520661157</v>
      </c>
      <c r="M31" s="95" t="n">
        <v>99</v>
      </c>
      <c r="N31" s="241" t="n">
        <f aca="false">M31/H31*100</f>
        <v>10.2272727272727</v>
      </c>
      <c r="O31" s="95" t="n">
        <v>32</v>
      </c>
      <c r="P31" s="95" t="n">
        <v>0</v>
      </c>
      <c r="Q31" s="10" t="s">
        <v>45</v>
      </c>
      <c r="R31" s="246" t="n">
        <v>45047</v>
      </c>
      <c r="S31" s="112"/>
      <c r="T31" s="245" t="n">
        <v>23</v>
      </c>
      <c r="U31" s="112"/>
      <c r="V31" s="112"/>
      <c r="W31" s="112"/>
      <c r="X31" s="112"/>
      <c r="Y31" s="112"/>
      <c r="Z31" s="112"/>
      <c r="AA31" s="244" t="s">
        <v>45</v>
      </c>
      <c r="AB31" s="245" t="n">
        <v>30</v>
      </c>
      <c r="AC31" s="117" t="s">
        <v>2402</v>
      </c>
      <c r="AD31" s="10" t="n">
        <v>24.546053</v>
      </c>
      <c r="AE31" s="10" t="n">
        <v>76.012087</v>
      </c>
    </row>
    <row r="32" customFormat="false" ht="15" hidden="false" customHeight="false" outlineLevel="0" collapsed="false">
      <c r="A32" s="95" t="s">
        <v>39</v>
      </c>
      <c r="B32" s="95" t="s">
        <v>2349</v>
      </c>
      <c r="C32" s="243" t="s">
        <v>2400</v>
      </c>
      <c r="D32" s="95" t="s">
        <v>2403</v>
      </c>
      <c r="E32" s="95" t="n">
        <v>104848</v>
      </c>
      <c r="F32" s="95" t="n">
        <v>816.97</v>
      </c>
      <c r="G32" s="95" t="n">
        <v>378</v>
      </c>
      <c r="H32" s="95" t="n">
        <v>2058</v>
      </c>
      <c r="I32" s="95" t="n">
        <v>1075</v>
      </c>
      <c r="J32" s="95" t="n">
        <v>983</v>
      </c>
      <c r="K32" s="95" t="n">
        <v>415</v>
      </c>
      <c r="L32" s="241" t="n">
        <f aca="false">K32/H32*100</f>
        <v>20.1652089407191</v>
      </c>
      <c r="M32" s="95" t="n">
        <v>208</v>
      </c>
      <c r="N32" s="241" t="n">
        <f aca="false">M32/H32*100</f>
        <v>10.1068999028183</v>
      </c>
      <c r="O32" s="95" t="n">
        <v>43.05</v>
      </c>
      <c r="P32" s="95" t="n">
        <v>0</v>
      </c>
      <c r="Q32" s="10" t="s">
        <v>45</v>
      </c>
      <c r="R32" s="246" t="n">
        <v>45047</v>
      </c>
      <c r="S32" s="112"/>
      <c r="T32" s="245" t="n">
        <v>37</v>
      </c>
      <c r="U32" s="112"/>
      <c r="V32" s="112"/>
      <c r="W32" s="112"/>
      <c r="X32" s="112"/>
      <c r="Y32" s="112"/>
      <c r="Z32" s="112"/>
      <c r="AA32" s="244" t="s">
        <v>45</v>
      </c>
      <c r="AB32" s="245" t="n">
        <v>5</v>
      </c>
      <c r="AC32" s="117" t="s">
        <v>2404</v>
      </c>
      <c r="AD32" s="10" t="n">
        <v>24.546387</v>
      </c>
      <c r="AE32" s="10" t="n">
        <v>76.03664</v>
      </c>
    </row>
    <row r="33" customFormat="false" ht="15" hidden="false" customHeight="false" outlineLevel="0" collapsed="false">
      <c r="A33" s="95" t="s">
        <v>39</v>
      </c>
      <c r="B33" s="95" t="s">
        <v>2349</v>
      </c>
      <c r="C33" s="243" t="s">
        <v>2400</v>
      </c>
      <c r="D33" s="95" t="s">
        <v>2405</v>
      </c>
      <c r="E33" s="95" t="n">
        <v>104849</v>
      </c>
      <c r="F33" s="95" t="n">
        <v>566.31</v>
      </c>
      <c r="G33" s="95" t="n">
        <v>297</v>
      </c>
      <c r="H33" s="95" t="n">
        <v>1682</v>
      </c>
      <c r="I33" s="95" t="n">
        <v>858</v>
      </c>
      <c r="J33" s="95" t="n">
        <v>824</v>
      </c>
      <c r="K33" s="95" t="n">
        <v>138</v>
      </c>
      <c r="L33" s="241" t="n">
        <f aca="false">K33/H33*100</f>
        <v>8.20451843043995</v>
      </c>
      <c r="M33" s="95" t="n">
        <v>173</v>
      </c>
      <c r="N33" s="241" t="n">
        <f aca="false">M33/H33*100</f>
        <v>10.2853745541023</v>
      </c>
      <c r="O33" s="95" t="n">
        <v>38.9</v>
      </c>
      <c r="P33" s="95" t="n">
        <v>0</v>
      </c>
      <c r="Q33" s="10" t="s">
        <v>45</v>
      </c>
      <c r="R33" s="246" t="n">
        <v>45047</v>
      </c>
      <c r="S33" s="112"/>
      <c r="T33" s="245" t="n">
        <v>40</v>
      </c>
      <c r="U33" s="112"/>
      <c r="V33" s="112" t="s">
        <v>49</v>
      </c>
      <c r="W33" s="112"/>
      <c r="X33" s="112"/>
      <c r="Y33" s="112"/>
      <c r="Z33" s="112"/>
      <c r="AA33" s="244" t="s">
        <v>45</v>
      </c>
      <c r="AB33" s="245" t="n">
        <v>8</v>
      </c>
      <c r="AC33" s="117" t="s">
        <v>2406</v>
      </c>
      <c r="AD33" s="10" t="n">
        <v>24.522346</v>
      </c>
      <c r="AE33" s="10" t="n">
        <v>76.018876</v>
      </c>
    </row>
    <row r="34" customFormat="false" ht="15" hidden="false" customHeight="false" outlineLevel="0" collapsed="false">
      <c r="A34" s="95" t="s">
        <v>39</v>
      </c>
      <c r="B34" s="95" t="s">
        <v>2349</v>
      </c>
      <c r="C34" s="243" t="s">
        <v>2400</v>
      </c>
      <c r="D34" s="95" t="s">
        <v>2407</v>
      </c>
      <c r="E34" s="95" t="n">
        <v>104857</v>
      </c>
      <c r="F34" s="95" t="n">
        <v>525.48</v>
      </c>
      <c r="G34" s="95" t="n">
        <v>189</v>
      </c>
      <c r="H34" s="95" t="n">
        <v>1156</v>
      </c>
      <c r="I34" s="95" t="n">
        <v>588</v>
      </c>
      <c r="J34" s="95" t="n">
        <v>568</v>
      </c>
      <c r="K34" s="95" t="n">
        <v>107</v>
      </c>
      <c r="L34" s="241" t="n">
        <f aca="false">K34/H34*100</f>
        <v>9.2560553633218</v>
      </c>
      <c r="M34" s="95" t="n">
        <v>35</v>
      </c>
      <c r="N34" s="241" t="n">
        <f aca="false">M34/H34*100</f>
        <v>3.02768166089965</v>
      </c>
      <c r="O34" s="95" t="n">
        <v>63</v>
      </c>
      <c r="P34" s="95" t="n">
        <v>0</v>
      </c>
      <c r="Q34" s="10" t="s">
        <v>45</v>
      </c>
      <c r="R34" s="246" t="n">
        <v>45047</v>
      </c>
      <c r="S34" s="112"/>
      <c r="T34" s="245" t="n">
        <v>50</v>
      </c>
      <c r="U34" s="112"/>
      <c r="V34" s="112"/>
      <c r="W34" s="112"/>
      <c r="X34" s="112"/>
      <c r="Y34" s="112"/>
      <c r="Z34" s="112"/>
      <c r="AA34" s="244" t="s">
        <v>45</v>
      </c>
      <c r="AB34" s="245" t="n">
        <v>14</v>
      </c>
      <c r="AC34" s="117" t="s">
        <v>2408</v>
      </c>
      <c r="AD34" s="10" t="n">
        <v>24.485233</v>
      </c>
      <c r="AE34" s="10" t="n">
        <v>76.02267</v>
      </c>
    </row>
    <row r="35" customFormat="false" ht="15" hidden="false" customHeight="false" outlineLevel="0" collapsed="false">
      <c r="A35" s="95" t="s">
        <v>39</v>
      </c>
      <c r="B35" s="95" t="s">
        <v>2349</v>
      </c>
      <c r="C35" s="243" t="s">
        <v>2409</v>
      </c>
      <c r="D35" s="95" t="s">
        <v>266</v>
      </c>
      <c r="E35" s="95" t="n">
        <v>104856</v>
      </c>
      <c r="F35" s="95" t="n">
        <v>108.46</v>
      </c>
      <c r="G35" s="95" t="n">
        <v>139</v>
      </c>
      <c r="H35" s="95" t="n">
        <v>627</v>
      </c>
      <c r="I35" s="95" t="n">
        <v>318</v>
      </c>
      <c r="J35" s="95" t="n">
        <v>309</v>
      </c>
      <c r="K35" s="95" t="n">
        <v>74</v>
      </c>
      <c r="L35" s="241" t="n">
        <f aca="false">K35/H35*100</f>
        <v>11.8022328548644</v>
      </c>
      <c r="M35" s="95" t="n">
        <v>4</v>
      </c>
      <c r="N35" s="241" t="n">
        <f aca="false">M35/H35*100</f>
        <v>0.637958532695375</v>
      </c>
      <c r="O35" s="95" t="n">
        <v>18</v>
      </c>
      <c r="P35" s="95" t="n">
        <v>0</v>
      </c>
      <c r="Q35" s="10" t="s">
        <v>45</v>
      </c>
      <c r="R35" s="117" t="s">
        <v>2410</v>
      </c>
      <c r="S35" s="112"/>
      <c r="T35" s="245" t="n">
        <v>20</v>
      </c>
      <c r="U35" s="112"/>
      <c r="V35" s="112"/>
      <c r="W35" s="112"/>
      <c r="X35" s="112"/>
      <c r="Y35" s="112"/>
      <c r="Z35" s="112"/>
      <c r="AA35" s="244" t="s">
        <v>45</v>
      </c>
      <c r="AB35" s="245" t="n">
        <v>4</v>
      </c>
      <c r="AC35" s="117" t="s">
        <v>2411</v>
      </c>
      <c r="AD35" s="10" t="n">
        <v>24.498825</v>
      </c>
      <c r="AE35" s="10" t="n">
        <v>75.978886</v>
      </c>
    </row>
    <row r="36" customFormat="false" ht="15" hidden="false" customHeight="false" outlineLevel="0" collapsed="false">
      <c r="A36" s="95" t="s">
        <v>39</v>
      </c>
      <c r="B36" s="95" t="s">
        <v>2349</v>
      </c>
      <c r="C36" s="243" t="s">
        <v>2409</v>
      </c>
      <c r="D36" s="95" t="s">
        <v>74</v>
      </c>
      <c r="E36" s="95"/>
      <c r="F36" s="95"/>
      <c r="G36" s="95"/>
      <c r="H36" s="95"/>
      <c r="I36" s="95"/>
      <c r="J36" s="95"/>
      <c r="K36" s="95"/>
      <c r="L36" s="241"/>
      <c r="M36" s="95"/>
      <c r="N36" s="241"/>
      <c r="O36" s="95"/>
      <c r="P36" s="95"/>
      <c r="Q36" s="153" t="s">
        <v>45</v>
      </c>
      <c r="R36" s="153" t="s">
        <v>2410</v>
      </c>
      <c r="S36" s="112"/>
      <c r="T36" s="245" t="n">
        <v>40</v>
      </c>
      <c r="U36" s="112"/>
      <c r="V36" s="112"/>
      <c r="W36" s="112"/>
      <c r="X36" s="112"/>
      <c r="Y36" s="112"/>
      <c r="Z36" s="112"/>
      <c r="AA36" s="153" t="s">
        <v>82</v>
      </c>
      <c r="AB36" s="153" t="n">
        <v>47</v>
      </c>
      <c r="AC36" s="153" t="s">
        <v>2412</v>
      </c>
      <c r="AD36" s="153" t="n">
        <v>24.478913</v>
      </c>
      <c r="AE36" s="153" t="n">
        <v>75.959845</v>
      </c>
    </row>
    <row r="37" customFormat="false" ht="15" hidden="false" customHeight="false" outlineLevel="0" collapsed="false">
      <c r="A37" s="95" t="s">
        <v>39</v>
      </c>
      <c r="B37" s="95" t="s">
        <v>2349</v>
      </c>
      <c r="C37" s="243" t="s">
        <v>2409</v>
      </c>
      <c r="D37" s="95" t="s">
        <v>2413</v>
      </c>
      <c r="E37" s="95" t="n">
        <v>104858</v>
      </c>
      <c r="F37" s="95" t="n">
        <v>1115.84</v>
      </c>
      <c r="G37" s="95" t="n">
        <v>204</v>
      </c>
      <c r="H37" s="95" t="n">
        <v>1012</v>
      </c>
      <c r="I37" s="95" t="n">
        <v>514</v>
      </c>
      <c r="J37" s="95" t="n">
        <v>498</v>
      </c>
      <c r="K37" s="95" t="n">
        <v>379</v>
      </c>
      <c r="L37" s="241" t="n">
        <f aca="false">K37/H37*100</f>
        <v>37.4505928853755</v>
      </c>
      <c r="M37" s="95" t="n">
        <v>16</v>
      </c>
      <c r="N37" s="241" t="n">
        <f aca="false">M37/H37*100</f>
        <v>1.58102766798419</v>
      </c>
      <c r="O37" s="95" t="n">
        <v>46.96</v>
      </c>
      <c r="P37" s="95" t="n">
        <v>0</v>
      </c>
      <c r="Q37" s="10" t="s">
        <v>45</v>
      </c>
      <c r="R37" s="117" t="s">
        <v>2410</v>
      </c>
      <c r="S37" s="112"/>
      <c r="T37" s="245" t="n">
        <v>32</v>
      </c>
      <c r="U37" s="112"/>
      <c r="V37" s="112"/>
      <c r="W37" s="112"/>
      <c r="X37" s="112"/>
      <c r="Y37" s="112"/>
      <c r="Z37" s="112"/>
      <c r="AA37" s="244" t="s">
        <v>45</v>
      </c>
      <c r="AB37" s="245" t="n">
        <v>20</v>
      </c>
      <c r="AC37" s="117" t="s">
        <v>2408</v>
      </c>
      <c r="AD37" s="10" t="n">
        <v>24.480922</v>
      </c>
      <c r="AE37" s="10" t="n">
        <v>75.983926</v>
      </c>
    </row>
    <row r="38" customFormat="false" ht="15" hidden="false" customHeight="false" outlineLevel="0" collapsed="false">
      <c r="A38" s="95" t="s">
        <v>39</v>
      </c>
      <c r="B38" s="95" t="s">
        <v>2349</v>
      </c>
      <c r="C38" s="243" t="s">
        <v>2409</v>
      </c>
      <c r="D38" s="95" t="s">
        <v>2087</v>
      </c>
      <c r="E38" s="95" t="n">
        <v>104859</v>
      </c>
      <c r="F38" s="95" t="n">
        <v>392.01</v>
      </c>
      <c r="G38" s="95" t="n">
        <v>250</v>
      </c>
      <c r="H38" s="95" t="n">
        <v>1362</v>
      </c>
      <c r="I38" s="95" t="n">
        <v>682</v>
      </c>
      <c r="J38" s="95" t="n">
        <v>680</v>
      </c>
      <c r="K38" s="95" t="n">
        <v>197</v>
      </c>
      <c r="L38" s="241" t="n">
        <f aca="false">K38/H38*100</f>
        <v>14.4640234948605</v>
      </c>
      <c r="M38" s="95" t="n">
        <v>0</v>
      </c>
      <c r="N38" s="241" t="n">
        <f aca="false">M38/H38*100</f>
        <v>0</v>
      </c>
      <c r="O38" s="95" t="n">
        <v>37.31</v>
      </c>
      <c r="P38" s="95" t="n">
        <v>0</v>
      </c>
      <c r="Q38" s="10" t="s">
        <v>45</v>
      </c>
      <c r="R38" s="117" t="s">
        <v>2410</v>
      </c>
      <c r="S38" s="112"/>
      <c r="T38" s="245" t="n">
        <v>32</v>
      </c>
      <c r="U38" s="112"/>
      <c r="V38" s="112"/>
      <c r="W38" s="112"/>
      <c r="X38" s="112"/>
      <c r="Y38" s="112"/>
      <c r="Z38" s="112"/>
      <c r="AA38" s="244" t="s">
        <v>45</v>
      </c>
      <c r="AB38" s="245" t="n">
        <v>5</v>
      </c>
      <c r="AC38" s="117" t="s">
        <v>2391</v>
      </c>
      <c r="AD38" s="10" t="n">
        <v>24.45983</v>
      </c>
      <c r="AE38" s="10" t="n">
        <v>75.997073</v>
      </c>
    </row>
    <row r="39" customFormat="false" ht="15" hidden="false" customHeight="false" outlineLevel="0" collapsed="false">
      <c r="A39" s="95" t="s">
        <v>39</v>
      </c>
      <c r="B39" s="95" t="s">
        <v>2349</v>
      </c>
      <c r="C39" s="243" t="s">
        <v>2409</v>
      </c>
      <c r="D39" s="95" t="s">
        <v>2414</v>
      </c>
      <c r="E39" s="95" t="n">
        <v>104860</v>
      </c>
      <c r="F39" s="95" t="n">
        <v>315.66</v>
      </c>
      <c r="G39" s="95" t="n">
        <v>145</v>
      </c>
      <c r="H39" s="95" t="n">
        <v>746</v>
      </c>
      <c r="I39" s="95" t="n">
        <v>388</v>
      </c>
      <c r="J39" s="95" t="n">
        <v>358</v>
      </c>
      <c r="K39" s="95" t="n">
        <v>24</v>
      </c>
      <c r="L39" s="241" t="n">
        <f aca="false">K39/H39*100</f>
        <v>3.2171581769437</v>
      </c>
      <c r="M39" s="95" t="n">
        <v>36</v>
      </c>
      <c r="N39" s="241" t="n">
        <f aca="false">M39/H39*100</f>
        <v>4.82573726541555</v>
      </c>
      <c r="O39" s="95" t="n">
        <v>27.19</v>
      </c>
      <c r="P39" s="95" t="n">
        <v>0</v>
      </c>
      <c r="Q39" s="10" t="s">
        <v>45</v>
      </c>
      <c r="R39" s="117" t="s">
        <v>2410</v>
      </c>
      <c r="S39" s="112"/>
      <c r="T39" s="245" t="n">
        <v>24</v>
      </c>
      <c r="U39" s="112"/>
      <c r="V39" s="112"/>
      <c r="W39" s="112"/>
      <c r="X39" s="112"/>
      <c r="Y39" s="112"/>
      <c r="Z39" s="112"/>
      <c r="AA39" s="244" t="s">
        <v>45</v>
      </c>
      <c r="AB39" s="245" t="n">
        <v>5</v>
      </c>
      <c r="AC39" s="117" t="s">
        <v>2415</v>
      </c>
      <c r="AD39" s="10" t="n">
        <v>24.460961</v>
      </c>
      <c r="AE39" s="10" t="n">
        <v>75.97109</v>
      </c>
    </row>
    <row r="40" customFormat="false" ht="15" hidden="false" customHeight="false" outlineLevel="0" collapsed="false">
      <c r="A40" s="95" t="s">
        <v>39</v>
      </c>
      <c r="B40" s="95" t="s">
        <v>2349</v>
      </c>
      <c r="C40" s="243" t="s">
        <v>2409</v>
      </c>
      <c r="D40" s="95" t="s">
        <v>1338</v>
      </c>
      <c r="E40" s="95" t="n">
        <v>104862</v>
      </c>
      <c r="F40" s="95" t="n">
        <v>324.58</v>
      </c>
      <c r="G40" s="95" t="n">
        <v>75</v>
      </c>
      <c r="H40" s="95" t="n">
        <v>386</v>
      </c>
      <c r="I40" s="95" t="n">
        <v>195</v>
      </c>
      <c r="J40" s="95" t="n">
        <v>191</v>
      </c>
      <c r="K40" s="95" t="n">
        <v>88</v>
      </c>
      <c r="L40" s="241" t="n">
        <f aca="false">K40/H40*100</f>
        <v>22.7979274611399</v>
      </c>
      <c r="M40" s="95" t="n">
        <v>0</v>
      </c>
      <c r="N40" s="241" t="n">
        <f aca="false">M40/H40*100</f>
        <v>0</v>
      </c>
      <c r="O40" s="95" t="n">
        <v>16.44</v>
      </c>
      <c r="P40" s="95" t="n">
        <v>0</v>
      </c>
      <c r="Q40" s="10" t="s">
        <v>45</v>
      </c>
      <c r="R40" s="117" t="s">
        <v>2410</v>
      </c>
      <c r="S40" s="112"/>
      <c r="T40" s="245" t="n">
        <v>17</v>
      </c>
      <c r="U40" s="112"/>
      <c r="V40" s="112"/>
      <c r="W40" s="112"/>
      <c r="X40" s="112"/>
      <c r="Y40" s="112"/>
      <c r="Z40" s="112"/>
      <c r="AA40" s="244" t="s">
        <v>45</v>
      </c>
      <c r="AB40" s="245" t="n">
        <v>3</v>
      </c>
      <c r="AC40" s="117" t="s">
        <v>2416</v>
      </c>
      <c r="AD40" s="10" t="n">
        <v>24.462832</v>
      </c>
      <c r="AE40" s="10" t="n">
        <v>75.962425</v>
      </c>
    </row>
    <row r="41" customFormat="false" ht="15" hidden="false" customHeight="false" outlineLevel="0" collapsed="false">
      <c r="A41" s="95" t="s">
        <v>39</v>
      </c>
      <c r="B41" s="95" t="s">
        <v>2349</v>
      </c>
      <c r="C41" s="243" t="s">
        <v>2417</v>
      </c>
      <c r="D41" s="95" t="s">
        <v>2418</v>
      </c>
      <c r="E41" s="95" t="n">
        <v>104839</v>
      </c>
      <c r="F41" s="95" t="n">
        <v>575.87</v>
      </c>
      <c r="G41" s="95" t="n">
        <v>302</v>
      </c>
      <c r="H41" s="95" t="n">
        <v>1490</v>
      </c>
      <c r="I41" s="95" t="n">
        <v>760</v>
      </c>
      <c r="J41" s="95" t="n">
        <v>730</v>
      </c>
      <c r="K41" s="95" t="n">
        <v>806</v>
      </c>
      <c r="L41" s="241" t="n">
        <f aca="false">K41/H41*100</f>
        <v>54.0939597315436</v>
      </c>
      <c r="M41" s="95" t="n">
        <v>73</v>
      </c>
      <c r="N41" s="241" t="n">
        <f aca="false">M41/H41*100</f>
        <v>4.8993288590604</v>
      </c>
      <c r="O41" s="95" t="n">
        <v>50.33</v>
      </c>
      <c r="P41" s="95" t="n">
        <v>0</v>
      </c>
      <c r="Q41" s="153" t="s">
        <v>45</v>
      </c>
      <c r="R41" s="153" t="s">
        <v>2419</v>
      </c>
      <c r="S41" s="112"/>
      <c r="T41" s="153" t="n">
        <v>8.6997</v>
      </c>
      <c r="U41" s="112"/>
      <c r="V41" s="112"/>
      <c r="W41" s="112"/>
      <c r="X41" s="112"/>
      <c r="Y41" s="112"/>
      <c r="Z41" s="112"/>
      <c r="AA41" s="153" t="s">
        <v>150</v>
      </c>
      <c r="AB41" s="153" t="n">
        <v>23</v>
      </c>
      <c r="AC41" s="153" t="s">
        <v>859</v>
      </c>
      <c r="AD41" s="153" t="n">
        <v>24.215271</v>
      </c>
      <c r="AE41" s="153" t="n">
        <v>75.722514</v>
      </c>
    </row>
    <row r="42" customFormat="false" ht="15" hidden="false" customHeight="false" outlineLevel="0" collapsed="false">
      <c r="A42" s="95" t="s">
        <v>39</v>
      </c>
      <c r="B42" s="95" t="s">
        <v>2349</v>
      </c>
      <c r="C42" s="243" t="s">
        <v>2417</v>
      </c>
      <c r="D42" s="95" t="s">
        <v>2420</v>
      </c>
      <c r="E42" s="95"/>
      <c r="F42" s="95"/>
      <c r="G42" s="95"/>
      <c r="H42" s="95"/>
      <c r="I42" s="95"/>
      <c r="J42" s="95"/>
      <c r="K42" s="95"/>
      <c r="L42" s="241"/>
      <c r="M42" s="95"/>
      <c r="N42" s="241"/>
      <c r="O42" s="95"/>
      <c r="P42" s="95"/>
      <c r="Q42" s="153" t="s">
        <v>45</v>
      </c>
      <c r="R42" s="153" t="s">
        <v>2419</v>
      </c>
      <c r="S42" s="112"/>
      <c r="T42" s="153"/>
      <c r="U42" s="112"/>
      <c r="V42" s="112"/>
      <c r="W42" s="112"/>
      <c r="X42" s="112"/>
      <c r="Y42" s="112"/>
      <c r="Z42" s="112"/>
      <c r="AA42" s="153" t="s">
        <v>45</v>
      </c>
      <c r="AB42" s="153" t="n">
        <v>60</v>
      </c>
      <c r="AC42" s="153" t="s">
        <v>859</v>
      </c>
      <c r="AD42" s="153" t="n">
        <v>24.488113</v>
      </c>
      <c r="AE42" s="153" t="n">
        <v>75.920876</v>
      </c>
    </row>
    <row r="43" customFormat="false" ht="15" hidden="false" customHeight="false" outlineLevel="0" collapsed="false">
      <c r="A43" s="95" t="s">
        <v>39</v>
      </c>
      <c r="B43" s="95" t="s">
        <v>2349</v>
      </c>
      <c r="C43" s="243" t="s">
        <v>2417</v>
      </c>
      <c r="D43" s="95" t="s">
        <v>2421</v>
      </c>
      <c r="E43" s="95" t="n">
        <v>104861</v>
      </c>
      <c r="F43" s="95" t="n">
        <v>173.35</v>
      </c>
      <c r="G43" s="95" t="n">
        <v>38</v>
      </c>
      <c r="H43" s="95" t="n">
        <v>251</v>
      </c>
      <c r="I43" s="95" t="n">
        <v>131</v>
      </c>
      <c r="J43" s="95" t="n">
        <v>120</v>
      </c>
      <c r="K43" s="95" t="n">
        <v>15</v>
      </c>
      <c r="L43" s="241" t="n">
        <f aca="false">K43/H43*100</f>
        <v>5.97609561752988</v>
      </c>
      <c r="M43" s="95" t="n">
        <v>12</v>
      </c>
      <c r="N43" s="241" t="n">
        <f aca="false">M43/H43*100</f>
        <v>4.7808764940239</v>
      </c>
      <c r="O43" s="95" t="n">
        <v>11.02</v>
      </c>
      <c r="P43" s="95" t="n">
        <v>0</v>
      </c>
      <c r="Q43" s="153" t="s">
        <v>45</v>
      </c>
      <c r="R43" s="153" t="s">
        <v>2419</v>
      </c>
      <c r="S43" s="112"/>
      <c r="T43" s="117"/>
      <c r="U43" s="112"/>
      <c r="V43" s="112"/>
      <c r="W43" s="112"/>
      <c r="X43" s="112"/>
      <c r="Y43" s="112"/>
      <c r="Z43" s="112"/>
      <c r="AA43" s="117"/>
      <c r="AB43" s="117"/>
      <c r="AC43" s="153" t="s">
        <v>859</v>
      </c>
      <c r="AD43" s="153" t="n">
        <v>24.252122</v>
      </c>
      <c r="AE43" s="153" t="n">
        <v>75.817235</v>
      </c>
    </row>
    <row r="44" customFormat="false" ht="15" hidden="false" customHeight="false" outlineLevel="0" collapsed="false">
      <c r="A44" s="95" t="s">
        <v>39</v>
      </c>
      <c r="B44" s="95" t="s">
        <v>2349</v>
      </c>
      <c r="C44" s="243" t="s">
        <v>2417</v>
      </c>
      <c r="D44" s="95" t="s">
        <v>1192</v>
      </c>
      <c r="E44" s="95" t="n">
        <v>104863</v>
      </c>
      <c r="F44" s="95" t="n">
        <v>737.6</v>
      </c>
      <c r="G44" s="95" t="n">
        <v>204</v>
      </c>
      <c r="H44" s="95" t="n">
        <v>1053</v>
      </c>
      <c r="I44" s="95" t="n">
        <v>554</v>
      </c>
      <c r="J44" s="95" t="n">
        <v>499</v>
      </c>
      <c r="K44" s="95" t="n">
        <v>408</v>
      </c>
      <c r="L44" s="241" t="n">
        <f aca="false">K44/H44*100</f>
        <v>38.7464387464387</v>
      </c>
      <c r="M44" s="95" t="n">
        <v>208</v>
      </c>
      <c r="N44" s="241" t="n">
        <f aca="false">M44/H44*100</f>
        <v>19.7530864197531</v>
      </c>
      <c r="O44" s="95" t="n">
        <v>28.24</v>
      </c>
      <c r="P44" s="95" t="n">
        <v>0</v>
      </c>
      <c r="Q44" s="153" t="s">
        <v>45</v>
      </c>
      <c r="R44" s="153" t="s">
        <v>2419</v>
      </c>
      <c r="S44" s="112"/>
      <c r="T44" s="117"/>
      <c r="U44" s="112"/>
      <c r="V44" s="112"/>
      <c r="W44" s="112"/>
      <c r="X44" s="112"/>
      <c r="Y44" s="112"/>
      <c r="Z44" s="112"/>
      <c r="AA44" s="117"/>
      <c r="AB44" s="117"/>
      <c r="AC44" s="153" t="s">
        <v>859</v>
      </c>
      <c r="AD44" s="153" t="n">
        <v>24.121523</v>
      </c>
      <c r="AE44" s="153" t="n">
        <v>75.725362</v>
      </c>
    </row>
    <row r="45" customFormat="false" ht="15" hidden="false" customHeight="false" outlineLevel="0" collapsed="false">
      <c r="A45" s="95" t="s">
        <v>39</v>
      </c>
      <c r="B45" s="95" t="s">
        <v>2349</v>
      </c>
      <c r="C45" s="243" t="s">
        <v>2422</v>
      </c>
      <c r="D45" s="95" t="s">
        <v>2423</v>
      </c>
      <c r="E45" s="95" t="n">
        <v>104882</v>
      </c>
      <c r="F45" s="95" t="n">
        <v>506.49</v>
      </c>
      <c r="G45" s="95" t="n">
        <v>165</v>
      </c>
      <c r="H45" s="95" t="n">
        <v>807</v>
      </c>
      <c r="I45" s="95" t="n">
        <v>399</v>
      </c>
      <c r="J45" s="95" t="n">
        <v>408</v>
      </c>
      <c r="K45" s="95" t="n">
        <v>230</v>
      </c>
      <c r="L45" s="241" t="n">
        <f aca="false">K45/H45*100</f>
        <v>28.5006195786865</v>
      </c>
      <c r="M45" s="95" t="n">
        <v>2</v>
      </c>
      <c r="N45" s="241" t="n">
        <f aca="false">M45/H45*100</f>
        <v>0.247831474597274</v>
      </c>
      <c r="O45" s="95" t="n">
        <v>25.87</v>
      </c>
      <c r="P45" s="95" t="n">
        <v>0</v>
      </c>
      <c r="Q45" s="153" t="s">
        <v>45</v>
      </c>
      <c r="R45" s="153" t="s">
        <v>464</v>
      </c>
      <c r="S45" s="112"/>
      <c r="T45" s="153" t="n">
        <v>26.82</v>
      </c>
      <c r="U45" s="112"/>
      <c r="V45" s="112"/>
      <c r="W45" s="112"/>
      <c r="X45" s="112"/>
      <c r="Y45" s="112"/>
      <c r="Z45" s="112"/>
      <c r="AA45" s="153" t="s">
        <v>45</v>
      </c>
      <c r="AB45" s="153" t="n">
        <v>1</v>
      </c>
      <c r="AC45" s="153" t="s">
        <v>859</v>
      </c>
      <c r="AD45" s="153" t="n">
        <v>23.384701</v>
      </c>
      <c r="AE45" s="153" t="n">
        <v>75.819319</v>
      </c>
    </row>
    <row r="46" customFormat="false" ht="15" hidden="false" customHeight="false" outlineLevel="0" collapsed="false">
      <c r="A46" s="95" t="s">
        <v>39</v>
      </c>
      <c r="B46" s="95" t="s">
        <v>2349</v>
      </c>
      <c r="C46" s="243" t="s">
        <v>2422</v>
      </c>
      <c r="D46" s="95" t="s">
        <v>2424</v>
      </c>
      <c r="E46" s="95" t="n">
        <v>104906</v>
      </c>
      <c r="F46" s="95" t="n">
        <v>829.52</v>
      </c>
      <c r="G46" s="95" t="n">
        <v>643</v>
      </c>
      <c r="H46" s="95" t="n">
        <v>3436</v>
      </c>
      <c r="I46" s="95" t="n">
        <v>1706</v>
      </c>
      <c r="J46" s="95" t="n">
        <v>1730</v>
      </c>
      <c r="K46" s="95" t="n">
        <v>748</v>
      </c>
      <c r="L46" s="241" t="n">
        <f aca="false">K46/H46*100</f>
        <v>21.7694994179278</v>
      </c>
      <c r="M46" s="95" t="n">
        <v>13</v>
      </c>
      <c r="N46" s="241" t="n">
        <f aca="false">M46/H46*100</f>
        <v>0.378346915017462</v>
      </c>
      <c r="O46" s="95" t="n">
        <v>85.94</v>
      </c>
      <c r="P46" s="95" t="n">
        <v>0</v>
      </c>
      <c r="Q46" s="153" t="s">
        <v>45</v>
      </c>
      <c r="R46" s="153" t="s">
        <v>464</v>
      </c>
      <c r="S46" s="112"/>
      <c r="T46" s="153" t="n">
        <v>90.6397</v>
      </c>
      <c r="U46" s="112"/>
      <c r="V46" s="112"/>
      <c r="W46" s="112"/>
      <c r="X46" s="112"/>
      <c r="Y46" s="112"/>
      <c r="Z46" s="112"/>
      <c r="AA46" s="153" t="s">
        <v>45</v>
      </c>
      <c r="AB46" s="153" t="n">
        <v>4</v>
      </c>
      <c r="AC46" s="153" t="s">
        <v>859</v>
      </c>
      <c r="AD46" s="153" t="n">
        <v>24.354881</v>
      </c>
      <c r="AE46" s="153" t="n">
        <v>75.833022</v>
      </c>
    </row>
    <row r="47" customFormat="false" ht="15" hidden="false" customHeight="false" outlineLevel="0" collapsed="false">
      <c r="A47" s="95" t="s">
        <v>39</v>
      </c>
      <c r="B47" s="95" t="s">
        <v>2349</v>
      </c>
      <c r="C47" s="243" t="s">
        <v>2422</v>
      </c>
      <c r="D47" s="95" t="s">
        <v>2425</v>
      </c>
      <c r="E47" s="95" t="n">
        <v>104916</v>
      </c>
      <c r="F47" s="95" t="n">
        <v>259.81</v>
      </c>
      <c r="G47" s="95" t="n">
        <v>125</v>
      </c>
      <c r="H47" s="95" t="n">
        <v>612</v>
      </c>
      <c r="I47" s="95" t="n">
        <v>323</v>
      </c>
      <c r="J47" s="95" t="n">
        <v>289</v>
      </c>
      <c r="K47" s="95" t="n">
        <v>66</v>
      </c>
      <c r="L47" s="241" t="n">
        <f aca="false">K47/H47*100</f>
        <v>10.7843137254902</v>
      </c>
      <c r="M47" s="95" t="n">
        <v>0</v>
      </c>
      <c r="N47" s="241" t="n">
        <f aca="false">M47/H47*100</f>
        <v>0</v>
      </c>
      <c r="O47" s="95" t="n">
        <v>25.59</v>
      </c>
      <c r="P47" s="95" t="n">
        <v>0</v>
      </c>
      <c r="Q47" s="153" t="s">
        <v>45</v>
      </c>
      <c r="R47" s="153" t="s">
        <v>464</v>
      </c>
      <c r="S47" s="112"/>
      <c r="T47" s="153" t="n">
        <v>30.6612</v>
      </c>
      <c r="U47" s="112"/>
      <c r="V47" s="112"/>
      <c r="W47" s="112"/>
      <c r="X47" s="112"/>
      <c r="Y47" s="112"/>
      <c r="Z47" s="112"/>
      <c r="AA47" s="153" t="s">
        <v>45</v>
      </c>
      <c r="AB47" s="153" t="n">
        <v>2</v>
      </c>
      <c r="AC47" s="153" t="s">
        <v>859</v>
      </c>
      <c r="AD47" s="153" t="n">
        <v>24.343156</v>
      </c>
      <c r="AE47" s="153" t="n">
        <v>75.849844</v>
      </c>
    </row>
    <row r="48" customFormat="false" ht="15" hidden="false" customHeight="false" outlineLevel="0" collapsed="false">
      <c r="A48" s="95" t="s">
        <v>39</v>
      </c>
      <c r="B48" s="95" t="s">
        <v>2349</v>
      </c>
      <c r="C48" s="243" t="s">
        <v>2422</v>
      </c>
      <c r="D48" s="95" t="s">
        <v>1093</v>
      </c>
      <c r="E48" s="153"/>
      <c r="F48" s="153"/>
      <c r="G48" s="153"/>
      <c r="H48" s="153"/>
      <c r="I48" s="153"/>
      <c r="J48" s="153"/>
      <c r="K48" s="153"/>
      <c r="L48" s="241"/>
      <c r="M48" s="153"/>
      <c r="N48" s="241" t="e">
        <f aca="false">M48/H48*100</f>
        <v>#DIV/0!</v>
      </c>
      <c r="O48" s="153"/>
      <c r="P48" s="153"/>
      <c r="Q48" s="153" t="s">
        <v>45</v>
      </c>
      <c r="R48" s="153" t="s">
        <v>464</v>
      </c>
      <c r="S48" s="112"/>
      <c r="T48" s="153"/>
      <c r="U48" s="112"/>
      <c r="V48" s="112"/>
      <c r="W48" s="112"/>
      <c r="X48" s="112"/>
      <c r="Y48" s="112"/>
      <c r="Z48" s="112"/>
      <c r="AA48" s="153" t="s">
        <v>150</v>
      </c>
      <c r="AB48" s="153" t="n">
        <v>1.768</v>
      </c>
      <c r="AC48" s="153" t="s">
        <v>2426</v>
      </c>
      <c r="AD48" s="153" t="n">
        <v>24.34247</v>
      </c>
      <c r="AE48" s="153" t="n">
        <v>75.79274</v>
      </c>
    </row>
    <row r="49" customFormat="false" ht="15" hidden="false" customHeight="false" outlineLevel="0" collapsed="false">
      <c r="A49" s="95" t="s">
        <v>39</v>
      </c>
      <c r="B49" s="95" t="s">
        <v>2349</v>
      </c>
      <c r="C49" s="243" t="s">
        <v>2422</v>
      </c>
      <c r="D49" s="95" t="s">
        <v>1093</v>
      </c>
      <c r="E49" s="95" t="n">
        <v>104904</v>
      </c>
      <c r="F49" s="95" t="n">
        <v>371.4</v>
      </c>
      <c r="G49" s="95" t="n">
        <v>201</v>
      </c>
      <c r="H49" s="95" t="n">
        <v>1027</v>
      </c>
      <c r="I49" s="95" t="n">
        <v>550</v>
      </c>
      <c r="J49" s="95" t="n">
        <v>477</v>
      </c>
      <c r="K49" s="95" t="n">
        <v>334</v>
      </c>
      <c r="L49" s="241" t="n">
        <f aca="false">K49/H49*100</f>
        <v>32.5219084712756</v>
      </c>
      <c r="M49" s="95" t="n">
        <v>1</v>
      </c>
      <c r="N49" s="241" t="n">
        <f aca="false">M49/H49*100</f>
        <v>0.0973709834469328</v>
      </c>
      <c r="O49" s="95" t="n">
        <v>64.41</v>
      </c>
      <c r="P49" s="95" t="n">
        <v>88.89</v>
      </c>
      <c r="Q49" s="153" t="s">
        <v>45</v>
      </c>
      <c r="R49" s="153" t="s">
        <v>464</v>
      </c>
      <c r="S49" s="112"/>
      <c r="T49" s="153" t="n">
        <v>61.8724</v>
      </c>
      <c r="U49" s="112"/>
      <c r="V49" s="112"/>
      <c r="W49" s="112"/>
      <c r="X49" s="112"/>
      <c r="Y49" s="112"/>
      <c r="Z49" s="112"/>
      <c r="AA49" s="153" t="s">
        <v>45</v>
      </c>
      <c r="AB49" s="153" t="n">
        <v>1.5</v>
      </c>
      <c r="AC49" s="153" t="s">
        <v>859</v>
      </c>
      <c r="AD49" s="153" t="n">
        <v>24.376197</v>
      </c>
      <c r="AE49" s="153" t="n">
        <v>75.800128</v>
      </c>
    </row>
    <row r="50" customFormat="false" ht="15" hidden="false" customHeight="false" outlineLevel="0" collapsed="false">
      <c r="A50" s="95" t="s">
        <v>39</v>
      </c>
      <c r="B50" s="95" t="s">
        <v>2349</v>
      </c>
      <c r="C50" s="243" t="s">
        <v>2427</v>
      </c>
      <c r="D50" s="95" t="s">
        <v>498</v>
      </c>
      <c r="E50" s="95" t="n">
        <v>104969</v>
      </c>
      <c r="F50" s="95" t="n">
        <v>585.95</v>
      </c>
      <c r="G50" s="95" t="n">
        <v>99</v>
      </c>
      <c r="H50" s="95" t="n">
        <v>535</v>
      </c>
      <c r="I50" s="95" t="n">
        <v>267</v>
      </c>
      <c r="J50" s="95" t="n">
        <v>268</v>
      </c>
      <c r="K50" s="95" t="n">
        <v>74</v>
      </c>
      <c r="L50" s="241" t="n">
        <f aca="false">K50/H50*100</f>
        <v>13.8317757009346</v>
      </c>
      <c r="M50" s="95" t="n">
        <v>0</v>
      </c>
      <c r="N50" s="241" t="n">
        <f aca="false">M50/H50*100</f>
        <v>0</v>
      </c>
      <c r="O50" s="95" t="n">
        <v>79.53</v>
      </c>
      <c r="P50" s="95" t="n">
        <v>177.64</v>
      </c>
      <c r="Q50" s="24" t="s">
        <v>45</v>
      </c>
      <c r="R50" s="246" t="n">
        <v>44691</v>
      </c>
      <c r="S50" s="112"/>
      <c r="T50" s="245" t="n">
        <v>69</v>
      </c>
      <c r="U50" s="112"/>
      <c r="V50" s="112" t="s">
        <v>49</v>
      </c>
      <c r="W50" s="112"/>
      <c r="X50" s="112"/>
      <c r="Y50" s="112"/>
      <c r="Z50" s="112"/>
      <c r="AA50" s="244" t="s">
        <v>45</v>
      </c>
      <c r="AB50" s="245" t="n">
        <v>10</v>
      </c>
      <c r="AC50" s="231" t="s">
        <v>2428</v>
      </c>
      <c r="AD50" s="245" t="n">
        <v>24.084203</v>
      </c>
      <c r="AE50" s="245" t="n">
        <v>75.856957</v>
      </c>
    </row>
    <row r="51" customFormat="false" ht="15" hidden="false" customHeight="false" outlineLevel="0" collapsed="false">
      <c r="A51" s="95" t="s">
        <v>39</v>
      </c>
      <c r="B51" s="95" t="s">
        <v>2349</v>
      </c>
      <c r="C51" s="243" t="s">
        <v>2427</v>
      </c>
      <c r="D51" s="95" t="s">
        <v>2429</v>
      </c>
      <c r="E51" s="95" t="n">
        <v>104971</v>
      </c>
      <c r="F51" s="95" t="n">
        <v>189.64</v>
      </c>
      <c r="G51" s="95" t="n">
        <v>68</v>
      </c>
      <c r="H51" s="95" t="n">
        <v>398</v>
      </c>
      <c r="I51" s="95" t="n">
        <v>194</v>
      </c>
      <c r="J51" s="95" t="n">
        <v>204</v>
      </c>
      <c r="K51" s="95" t="n">
        <v>103</v>
      </c>
      <c r="L51" s="241" t="n">
        <f aca="false">K51/H51*100</f>
        <v>25.8793969849246</v>
      </c>
      <c r="M51" s="95" t="n">
        <v>0</v>
      </c>
      <c r="N51" s="241" t="n">
        <f aca="false">M51/H51*100</f>
        <v>0</v>
      </c>
      <c r="O51" s="95" t="n">
        <v>18.48</v>
      </c>
      <c r="P51" s="95" t="n">
        <v>67.65</v>
      </c>
      <c r="Q51" s="24" t="s">
        <v>45</v>
      </c>
      <c r="R51" s="246" t="n">
        <v>44691</v>
      </c>
      <c r="S51" s="112"/>
      <c r="T51" s="245" t="n">
        <v>8</v>
      </c>
      <c r="U51" s="112"/>
      <c r="V51" s="112"/>
      <c r="W51" s="112"/>
      <c r="X51" s="112"/>
      <c r="Y51" s="112"/>
      <c r="Z51" s="112"/>
      <c r="AA51" s="244" t="s">
        <v>45</v>
      </c>
      <c r="AB51" s="245" t="n">
        <v>10</v>
      </c>
      <c r="AC51" s="231" t="s">
        <v>2430</v>
      </c>
      <c r="AD51" s="245" t="n">
        <v>24.112073</v>
      </c>
      <c r="AE51" s="245" t="n">
        <v>75.872023</v>
      </c>
    </row>
    <row r="52" customFormat="false" ht="15" hidden="false" customHeight="false" outlineLevel="0" collapsed="false">
      <c r="A52" s="95" t="s">
        <v>39</v>
      </c>
      <c r="B52" s="95" t="s">
        <v>2349</v>
      </c>
      <c r="C52" s="243" t="s">
        <v>2427</v>
      </c>
      <c r="D52" s="95" t="s">
        <v>2431</v>
      </c>
      <c r="E52" s="95" t="n">
        <v>104972</v>
      </c>
      <c r="F52" s="95" t="n">
        <v>768.22</v>
      </c>
      <c r="G52" s="95" t="n">
        <v>254</v>
      </c>
      <c r="H52" s="95" t="n">
        <v>1227</v>
      </c>
      <c r="I52" s="95" t="n">
        <v>609</v>
      </c>
      <c r="J52" s="95" t="n">
        <v>618</v>
      </c>
      <c r="K52" s="95" t="n">
        <v>261</v>
      </c>
      <c r="L52" s="241" t="n">
        <f aca="false">K52/H52*100</f>
        <v>21.2713936430318</v>
      </c>
      <c r="M52" s="95" t="n">
        <v>24</v>
      </c>
      <c r="N52" s="241" t="n">
        <f aca="false">M52/H52*100</f>
        <v>1.9559902200489</v>
      </c>
      <c r="O52" s="95" t="n">
        <v>0</v>
      </c>
      <c r="P52" s="95" t="n">
        <v>181.24</v>
      </c>
      <c r="Q52" s="245"/>
      <c r="R52" s="245"/>
      <c r="S52" s="112"/>
      <c r="T52" s="245"/>
      <c r="U52" s="112"/>
      <c r="V52" s="112"/>
      <c r="W52" s="112"/>
      <c r="X52" s="112"/>
      <c r="Y52" s="112"/>
      <c r="Z52" s="112"/>
      <c r="AA52" s="245"/>
      <c r="AB52" s="245"/>
      <c r="AC52" s="245"/>
      <c r="AD52" s="245"/>
      <c r="AE52" s="245"/>
    </row>
    <row r="53" customFormat="false" ht="15" hidden="false" customHeight="false" outlineLevel="0" collapsed="false">
      <c r="A53" s="95" t="s">
        <v>39</v>
      </c>
      <c r="B53" s="95" t="s">
        <v>2349</v>
      </c>
      <c r="C53" s="243" t="s">
        <v>2427</v>
      </c>
      <c r="D53" s="95" t="s">
        <v>2432</v>
      </c>
      <c r="E53" s="95" t="n">
        <v>104976</v>
      </c>
      <c r="F53" s="95" t="n">
        <v>1370.26</v>
      </c>
      <c r="G53" s="95" t="n">
        <v>121</v>
      </c>
      <c r="H53" s="95" t="n">
        <v>630</v>
      </c>
      <c r="I53" s="95" t="n">
        <v>334</v>
      </c>
      <c r="J53" s="95" t="n">
        <v>296</v>
      </c>
      <c r="K53" s="95" t="n">
        <v>214</v>
      </c>
      <c r="L53" s="241" t="n">
        <f aca="false">K53/H53*100</f>
        <v>33.968253968254</v>
      </c>
      <c r="M53" s="95" t="n">
        <v>0</v>
      </c>
      <c r="N53" s="241" t="n">
        <f aca="false">M53/H53*100</f>
        <v>0</v>
      </c>
      <c r="O53" s="95" t="n">
        <v>71.44</v>
      </c>
      <c r="P53" s="95" t="n">
        <v>958.59</v>
      </c>
      <c r="Q53" s="24" t="s">
        <v>45</v>
      </c>
      <c r="R53" s="246" t="n">
        <v>44691</v>
      </c>
      <c r="S53" s="112"/>
      <c r="T53" s="245" t="n">
        <v>57</v>
      </c>
      <c r="U53" s="112"/>
      <c r="V53" s="112"/>
      <c r="W53" s="112"/>
      <c r="X53" s="112"/>
      <c r="Y53" s="112"/>
      <c r="Z53" s="112"/>
      <c r="AA53" s="244" t="s">
        <v>45</v>
      </c>
      <c r="AB53" s="245" t="n">
        <v>15</v>
      </c>
      <c r="AC53" s="231" t="s">
        <v>2433</v>
      </c>
      <c r="AD53" s="245" t="n">
        <v>24.05838</v>
      </c>
      <c r="AE53" s="245" t="n">
        <v>75.885795</v>
      </c>
    </row>
    <row r="54" customFormat="false" ht="15" hidden="false" customHeight="false" outlineLevel="0" collapsed="false">
      <c r="A54" s="95" t="s">
        <v>39</v>
      </c>
      <c r="B54" s="95" t="s">
        <v>2349</v>
      </c>
      <c r="C54" s="243" t="s">
        <v>2427</v>
      </c>
      <c r="D54" s="95" t="s">
        <v>2434</v>
      </c>
      <c r="E54" s="95" t="n">
        <v>104977</v>
      </c>
      <c r="F54" s="95" t="n">
        <v>1860.33</v>
      </c>
      <c r="G54" s="95" t="n">
        <v>399</v>
      </c>
      <c r="H54" s="95" t="n">
        <v>1990</v>
      </c>
      <c r="I54" s="95" t="n">
        <v>1017</v>
      </c>
      <c r="J54" s="95" t="n">
        <v>973</v>
      </c>
      <c r="K54" s="95" t="n">
        <v>576</v>
      </c>
      <c r="L54" s="241" t="n">
        <f aca="false">K54/H54*100</f>
        <v>28.9447236180904</v>
      </c>
      <c r="M54" s="95" t="n">
        <v>6</v>
      </c>
      <c r="N54" s="241" t="n">
        <f aca="false">M54/H54*100</f>
        <v>0.301507537688442</v>
      </c>
      <c r="O54" s="95" t="n">
        <v>192.78</v>
      </c>
      <c r="P54" s="95" t="n">
        <v>769.29</v>
      </c>
      <c r="Q54" s="24" t="s">
        <v>45</v>
      </c>
      <c r="R54" s="246" t="n">
        <v>44691</v>
      </c>
      <c r="S54" s="112"/>
      <c r="T54" s="245" t="n">
        <v>168</v>
      </c>
      <c r="U54" s="112"/>
      <c r="V54" s="112"/>
      <c r="W54" s="112"/>
      <c r="X54" s="112"/>
      <c r="Y54" s="112"/>
      <c r="Z54" s="112"/>
      <c r="AA54" s="244" t="s">
        <v>45</v>
      </c>
      <c r="AB54" s="245" t="n">
        <v>10</v>
      </c>
      <c r="AC54" s="231" t="s">
        <v>2435</v>
      </c>
      <c r="AD54" s="245" t="n">
        <v>24.129825</v>
      </c>
      <c r="AE54" s="245" t="n">
        <v>75.869087</v>
      </c>
    </row>
    <row r="55" customFormat="false" ht="15" hidden="false" customHeight="false" outlineLevel="0" collapsed="false">
      <c r="A55" s="95" t="s">
        <v>39</v>
      </c>
      <c r="B55" s="95" t="s">
        <v>2349</v>
      </c>
      <c r="C55" s="243" t="s">
        <v>2427</v>
      </c>
      <c r="D55" s="95" t="s">
        <v>393</v>
      </c>
      <c r="E55" s="95" t="n">
        <v>104978</v>
      </c>
      <c r="F55" s="95" t="n">
        <v>460.28</v>
      </c>
      <c r="G55" s="95" t="n">
        <v>74</v>
      </c>
      <c r="H55" s="95" t="n">
        <v>392</v>
      </c>
      <c r="I55" s="95" t="n">
        <v>198</v>
      </c>
      <c r="J55" s="95" t="n">
        <v>194</v>
      </c>
      <c r="K55" s="95" t="n">
        <v>73</v>
      </c>
      <c r="L55" s="241" t="n">
        <f aca="false">K55/H55*100</f>
        <v>18.6224489795918</v>
      </c>
      <c r="M55" s="95" t="n">
        <v>0</v>
      </c>
      <c r="N55" s="241" t="n">
        <f aca="false">M55/H55*100</f>
        <v>0</v>
      </c>
      <c r="O55" s="95" t="n">
        <v>25.8</v>
      </c>
      <c r="P55" s="95" t="n">
        <v>155.1</v>
      </c>
      <c r="Q55" s="24" t="s">
        <v>45</v>
      </c>
      <c r="R55" s="246" t="n">
        <v>44691</v>
      </c>
      <c r="S55" s="112"/>
      <c r="T55" s="245" t="n">
        <v>8</v>
      </c>
      <c r="U55" s="112"/>
      <c r="V55" s="112"/>
      <c r="W55" s="112"/>
      <c r="X55" s="112"/>
      <c r="Y55" s="112"/>
      <c r="Z55" s="112"/>
      <c r="AA55" s="244" t="s">
        <v>45</v>
      </c>
      <c r="AB55" s="245" t="n">
        <v>10</v>
      </c>
      <c r="AC55" s="231" t="s">
        <v>2436</v>
      </c>
      <c r="AD55" s="245" t="n">
        <v>24.084125</v>
      </c>
      <c r="AE55" s="245" t="n">
        <v>75.856903</v>
      </c>
    </row>
    <row r="56" customFormat="false" ht="15" hidden="false" customHeight="false" outlineLevel="0" collapsed="false">
      <c r="A56" s="95" t="s">
        <v>39</v>
      </c>
      <c r="B56" s="95" t="s">
        <v>2349</v>
      </c>
      <c r="C56" s="243" t="s">
        <v>2437</v>
      </c>
      <c r="D56" s="95" t="s">
        <v>2438</v>
      </c>
      <c r="E56" s="95" t="n">
        <v>104887</v>
      </c>
      <c r="F56" s="95" t="n">
        <v>21.53</v>
      </c>
      <c r="G56" s="95" t="n">
        <v>753</v>
      </c>
      <c r="H56" s="95" t="n">
        <v>3139</v>
      </c>
      <c r="I56" s="95" t="n">
        <v>1697</v>
      </c>
      <c r="J56" s="95" t="n">
        <v>1442</v>
      </c>
      <c r="K56" s="95" t="n">
        <v>1202</v>
      </c>
      <c r="L56" s="241" t="n">
        <f aca="false">K56/H56*100</f>
        <v>38.292449824785</v>
      </c>
      <c r="M56" s="95" t="n">
        <v>84</v>
      </c>
      <c r="N56" s="241" t="n">
        <f aca="false">M56/H56*100</f>
        <v>2.67601146862058</v>
      </c>
      <c r="O56" s="95" t="n">
        <v>4.74</v>
      </c>
      <c r="P56" s="95" t="n">
        <v>0</v>
      </c>
      <c r="Q56" s="153" t="s">
        <v>45</v>
      </c>
      <c r="R56" s="153" t="s">
        <v>2410</v>
      </c>
      <c r="S56" s="112"/>
      <c r="T56" s="153" t="n">
        <v>2.37</v>
      </c>
      <c r="U56" s="112"/>
      <c r="V56" s="112"/>
      <c r="W56" s="112"/>
      <c r="X56" s="112"/>
      <c r="Y56" s="112"/>
      <c r="Z56" s="112"/>
      <c r="AA56" s="153" t="s">
        <v>45</v>
      </c>
      <c r="AB56" s="153" t="n">
        <v>1</v>
      </c>
      <c r="AC56" s="153" t="s">
        <v>2439</v>
      </c>
      <c r="AD56" s="153" t="n">
        <v>24.410832</v>
      </c>
      <c r="AE56" s="153" t="n">
        <v>75.810976</v>
      </c>
    </row>
    <row r="57" customFormat="false" ht="15" hidden="false" customHeight="false" outlineLevel="0" collapsed="false">
      <c r="A57" s="95" t="s">
        <v>39</v>
      </c>
      <c r="B57" s="95" t="s">
        <v>2349</v>
      </c>
      <c r="C57" s="243" t="s">
        <v>2437</v>
      </c>
      <c r="D57" s="95" t="s">
        <v>2440</v>
      </c>
      <c r="E57" s="95" t="n">
        <v>104888</v>
      </c>
      <c r="F57" s="95" t="n">
        <v>116.04</v>
      </c>
      <c r="G57" s="95" t="n">
        <v>161</v>
      </c>
      <c r="H57" s="95" t="n">
        <v>815</v>
      </c>
      <c r="I57" s="95" t="n">
        <v>432</v>
      </c>
      <c r="J57" s="95" t="n">
        <v>383</v>
      </c>
      <c r="K57" s="95" t="n">
        <v>0</v>
      </c>
      <c r="L57" s="241" t="n">
        <f aca="false">K57/H57*100</f>
        <v>0</v>
      </c>
      <c r="M57" s="95" t="n">
        <v>33</v>
      </c>
      <c r="N57" s="241" t="n">
        <f aca="false">M57/H57*100</f>
        <v>4.04907975460123</v>
      </c>
      <c r="O57" s="95" t="n">
        <v>3.45</v>
      </c>
      <c r="P57" s="95" t="n">
        <v>0</v>
      </c>
      <c r="Q57" s="95"/>
      <c r="R57" s="95"/>
      <c r="S57" s="112"/>
      <c r="T57" s="95"/>
      <c r="U57" s="112"/>
      <c r="V57" s="112"/>
      <c r="W57" s="112"/>
      <c r="X57" s="112"/>
      <c r="Y57" s="112"/>
      <c r="Z57" s="112"/>
      <c r="AA57" s="95"/>
      <c r="AB57" s="95"/>
      <c r="AC57" s="95"/>
      <c r="AD57" s="95"/>
      <c r="AE57" s="95"/>
    </row>
    <row r="58" customFormat="false" ht="15" hidden="false" customHeight="false" outlineLevel="0" collapsed="false">
      <c r="A58" s="95" t="s">
        <v>39</v>
      </c>
      <c r="B58" s="95" t="s">
        <v>2349</v>
      </c>
      <c r="C58" s="243" t="s">
        <v>2437</v>
      </c>
      <c r="D58" s="95" t="s">
        <v>2441</v>
      </c>
      <c r="E58" s="95" t="n">
        <v>104890</v>
      </c>
      <c r="F58" s="95" t="n">
        <v>165.15</v>
      </c>
      <c r="G58" s="95" t="n">
        <v>97</v>
      </c>
      <c r="H58" s="95" t="n">
        <v>504</v>
      </c>
      <c r="I58" s="95" t="n">
        <v>266</v>
      </c>
      <c r="J58" s="95" t="n">
        <v>238</v>
      </c>
      <c r="K58" s="95" t="n">
        <v>18</v>
      </c>
      <c r="L58" s="241" t="n">
        <f aca="false">K58/H58*100</f>
        <v>3.57142857142857</v>
      </c>
      <c r="M58" s="95" t="n">
        <v>0</v>
      </c>
      <c r="N58" s="241" t="n">
        <f aca="false">M58/H58*100</f>
        <v>0</v>
      </c>
      <c r="O58" s="95" t="n">
        <v>12.81</v>
      </c>
      <c r="P58" s="95" t="n">
        <v>0</v>
      </c>
      <c r="Q58" s="153" t="s">
        <v>45</v>
      </c>
      <c r="R58" s="153" t="s">
        <v>2410</v>
      </c>
      <c r="S58" s="112"/>
      <c r="T58" s="153" t="n">
        <v>10.8</v>
      </c>
      <c r="U58" s="112"/>
      <c r="V58" s="112"/>
      <c r="W58" s="112"/>
      <c r="X58" s="112"/>
      <c r="Y58" s="112"/>
      <c r="Z58" s="112"/>
      <c r="AA58" s="153" t="s">
        <v>82</v>
      </c>
      <c r="AB58" s="153" t="n">
        <v>2</v>
      </c>
      <c r="AC58" s="153" t="s">
        <v>1815</v>
      </c>
      <c r="AD58" s="153" t="n">
        <v>24.41304</v>
      </c>
      <c r="AE58" s="153" t="n">
        <v>75.798278</v>
      </c>
    </row>
    <row r="59" customFormat="false" ht="15" hidden="false" customHeight="false" outlineLevel="0" collapsed="false">
      <c r="A59" s="95" t="s">
        <v>39</v>
      </c>
      <c r="B59" s="95" t="s">
        <v>2349</v>
      </c>
      <c r="C59" s="243" t="s">
        <v>2437</v>
      </c>
      <c r="D59" s="95" t="s">
        <v>2442</v>
      </c>
      <c r="E59" s="95" t="n">
        <v>104891</v>
      </c>
      <c r="F59" s="95" t="n">
        <v>470.2</v>
      </c>
      <c r="G59" s="95" t="n">
        <v>181</v>
      </c>
      <c r="H59" s="95" t="n">
        <v>955</v>
      </c>
      <c r="I59" s="95" t="n">
        <v>493</v>
      </c>
      <c r="J59" s="95" t="n">
        <v>462</v>
      </c>
      <c r="K59" s="95" t="n">
        <v>486</v>
      </c>
      <c r="L59" s="241" t="n">
        <f aca="false">K59/H59*100</f>
        <v>50.8900523560209</v>
      </c>
      <c r="M59" s="95" t="n">
        <v>0</v>
      </c>
      <c r="N59" s="241" t="n">
        <f aca="false">M59/H59*100</f>
        <v>0</v>
      </c>
      <c r="O59" s="95" t="n">
        <v>34.24</v>
      </c>
      <c r="P59" s="95" t="n">
        <v>0</v>
      </c>
      <c r="Q59" s="153" t="s">
        <v>45</v>
      </c>
      <c r="R59" s="153" t="s">
        <v>2410</v>
      </c>
      <c r="S59" s="112"/>
      <c r="T59" s="153" t="n">
        <v>28.43</v>
      </c>
      <c r="U59" s="112"/>
      <c r="V59" s="112"/>
      <c r="W59" s="112"/>
      <c r="X59" s="112"/>
      <c r="Y59" s="112"/>
      <c r="Z59" s="112"/>
      <c r="AA59" s="153" t="s">
        <v>82</v>
      </c>
      <c r="AB59" s="153" t="n">
        <v>2</v>
      </c>
      <c r="AC59" s="153" t="s">
        <v>1815</v>
      </c>
      <c r="AD59" s="153" t="n">
        <v>24.420648</v>
      </c>
      <c r="AE59" s="153" t="n">
        <v>75.787892</v>
      </c>
    </row>
    <row r="60" customFormat="false" ht="15" hidden="false" customHeight="false" outlineLevel="0" collapsed="false">
      <c r="A60" s="95" t="s">
        <v>39</v>
      </c>
      <c r="B60" s="95" t="s">
        <v>2349</v>
      </c>
      <c r="C60" s="243" t="s">
        <v>2437</v>
      </c>
      <c r="D60" s="95" t="s">
        <v>2443</v>
      </c>
      <c r="E60" s="95" t="n">
        <v>104894</v>
      </c>
      <c r="F60" s="95" t="n">
        <v>175.89</v>
      </c>
      <c r="G60" s="95" t="n">
        <v>102</v>
      </c>
      <c r="H60" s="95" t="n">
        <v>516</v>
      </c>
      <c r="I60" s="95" t="n">
        <v>256</v>
      </c>
      <c r="J60" s="95" t="n">
        <v>260</v>
      </c>
      <c r="K60" s="95" t="n">
        <v>0</v>
      </c>
      <c r="L60" s="241" t="n">
        <f aca="false">K60/H60*100</f>
        <v>0</v>
      </c>
      <c r="M60" s="95" t="n">
        <v>0</v>
      </c>
      <c r="N60" s="241" t="n">
        <f aca="false">M60/H60*100</f>
        <v>0</v>
      </c>
      <c r="O60" s="95" t="n">
        <v>4.39</v>
      </c>
      <c r="P60" s="95" t="n">
        <v>0</v>
      </c>
      <c r="Q60" s="153" t="s">
        <v>45</v>
      </c>
      <c r="R60" s="153" t="s">
        <v>2410</v>
      </c>
      <c r="S60" s="112"/>
      <c r="T60" s="153" t="n">
        <v>6.19</v>
      </c>
      <c r="U60" s="112"/>
      <c r="V60" s="112"/>
      <c r="W60" s="112"/>
      <c r="X60" s="112"/>
      <c r="Y60" s="112"/>
      <c r="Z60" s="112"/>
      <c r="AA60" s="153" t="s">
        <v>80</v>
      </c>
      <c r="AB60" s="153" t="n">
        <v>0</v>
      </c>
      <c r="AC60" s="153" t="s">
        <v>2387</v>
      </c>
      <c r="AD60" s="153" t="n">
        <v>24.435259</v>
      </c>
      <c r="AE60" s="153" t="n">
        <v>75.770013</v>
      </c>
    </row>
    <row r="61" customFormat="false" ht="15" hidden="false" customHeight="false" outlineLevel="0" collapsed="false">
      <c r="A61" s="95" t="s">
        <v>39</v>
      </c>
      <c r="B61" s="95" t="s">
        <v>2349</v>
      </c>
      <c r="C61" s="243" t="s">
        <v>2437</v>
      </c>
      <c r="D61" s="95" t="s">
        <v>2444</v>
      </c>
      <c r="E61" s="95" t="n">
        <v>104895</v>
      </c>
      <c r="F61" s="95" t="n">
        <v>134.14</v>
      </c>
      <c r="G61" s="95" t="n">
        <v>11</v>
      </c>
      <c r="H61" s="95" t="n">
        <v>66</v>
      </c>
      <c r="I61" s="95" t="n">
        <v>33</v>
      </c>
      <c r="J61" s="95" t="n">
        <v>33</v>
      </c>
      <c r="K61" s="95" t="n">
        <v>20</v>
      </c>
      <c r="L61" s="241" t="n">
        <f aca="false">K61/H61*100</f>
        <v>30.3030303030303</v>
      </c>
      <c r="M61" s="95" t="n">
        <v>0</v>
      </c>
      <c r="N61" s="241" t="n">
        <f aca="false">M61/H61*100</f>
        <v>0</v>
      </c>
      <c r="O61" s="95" t="n">
        <v>7.97</v>
      </c>
      <c r="P61" s="95" t="n">
        <v>0</v>
      </c>
      <c r="Q61" s="153" t="s">
        <v>45</v>
      </c>
      <c r="R61" s="153" t="s">
        <v>2410</v>
      </c>
      <c r="S61" s="112"/>
      <c r="T61" s="153" t="n">
        <v>6.96</v>
      </c>
      <c r="U61" s="112"/>
      <c r="V61" s="112"/>
      <c r="W61" s="112"/>
      <c r="X61" s="112"/>
      <c r="Y61" s="112"/>
      <c r="Z61" s="112"/>
      <c r="AA61" s="153" t="s">
        <v>45</v>
      </c>
      <c r="AB61" s="153" t="n">
        <v>1</v>
      </c>
      <c r="AC61" s="153" t="s">
        <v>2445</v>
      </c>
      <c r="AD61" s="153" t="n">
        <v>24.430301</v>
      </c>
      <c r="AE61" s="153" t="n">
        <v>75.762534</v>
      </c>
    </row>
    <row r="62" customFormat="false" ht="15" hidden="false" customHeight="false" outlineLevel="0" collapsed="false">
      <c r="A62" s="95" t="s">
        <v>39</v>
      </c>
      <c r="B62" s="95" t="s">
        <v>2349</v>
      </c>
      <c r="C62" s="243" t="s">
        <v>2437</v>
      </c>
      <c r="D62" s="95" t="s">
        <v>2446</v>
      </c>
      <c r="E62" s="95" t="n">
        <v>104896</v>
      </c>
      <c r="F62" s="95" t="n">
        <v>637.55</v>
      </c>
      <c r="G62" s="95" t="n">
        <v>277</v>
      </c>
      <c r="H62" s="95" t="n">
        <v>1481</v>
      </c>
      <c r="I62" s="95" t="n">
        <v>746</v>
      </c>
      <c r="J62" s="95" t="n">
        <v>735</v>
      </c>
      <c r="K62" s="95" t="n">
        <v>224</v>
      </c>
      <c r="L62" s="241" t="n">
        <f aca="false">K62/H62*100</f>
        <v>15.1249155975692</v>
      </c>
      <c r="M62" s="95" t="n">
        <v>0</v>
      </c>
      <c r="N62" s="241" t="n">
        <f aca="false">M62/H62*100</f>
        <v>0</v>
      </c>
      <c r="O62" s="95" t="n">
        <v>42.08</v>
      </c>
      <c r="P62" s="95" t="n">
        <v>0</v>
      </c>
      <c r="Q62" s="153" t="s">
        <v>45</v>
      </c>
      <c r="R62" s="153" t="s">
        <v>2410</v>
      </c>
      <c r="S62" s="112"/>
      <c r="T62" s="153" t="n">
        <v>37.84</v>
      </c>
      <c r="U62" s="112"/>
      <c r="V62" s="112"/>
      <c r="W62" s="112"/>
      <c r="X62" s="112"/>
      <c r="Y62" s="112"/>
      <c r="Z62" s="112"/>
      <c r="AA62" s="153" t="s">
        <v>82</v>
      </c>
      <c r="AB62" s="153" t="n">
        <v>2</v>
      </c>
      <c r="AC62" s="153" t="s">
        <v>2447</v>
      </c>
      <c r="AD62" s="153" t="n">
        <v>24.420498</v>
      </c>
      <c r="AE62" s="153" t="n">
        <v>75.781475</v>
      </c>
    </row>
    <row r="63" customFormat="false" ht="15" hidden="false" customHeight="false" outlineLevel="0" collapsed="false">
      <c r="A63" s="95" t="s">
        <v>39</v>
      </c>
      <c r="B63" s="95" t="s">
        <v>2349</v>
      </c>
      <c r="C63" s="243" t="s">
        <v>2448</v>
      </c>
      <c r="D63" s="95" t="s">
        <v>2449</v>
      </c>
      <c r="E63" s="95"/>
      <c r="F63" s="95"/>
      <c r="G63" s="95"/>
      <c r="H63" s="95"/>
      <c r="I63" s="95"/>
      <c r="J63" s="95"/>
      <c r="K63" s="95"/>
      <c r="L63" s="241"/>
      <c r="M63" s="95"/>
      <c r="N63" s="241"/>
      <c r="O63" s="95" t="n">
        <v>20</v>
      </c>
      <c r="P63" s="95"/>
      <c r="Q63" s="132" t="s">
        <v>45</v>
      </c>
      <c r="R63" s="132" t="s">
        <v>2352</v>
      </c>
      <c r="S63" s="112"/>
      <c r="T63" s="244" t="n">
        <v>10</v>
      </c>
      <c r="U63" s="112"/>
      <c r="V63" s="112"/>
      <c r="W63" s="112"/>
      <c r="X63" s="112"/>
      <c r="Y63" s="112"/>
      <c r="Z63" s="112"/>
      <c r="AA63" s="244" t="s">
        <v>45</v>
      </c>
      <c r="AB63" s="244" t="n">
        <v>10</v>
      </c>
      <c r="AC63" s="134" t="s">
        <v>2450</v>
      </c>
      <c r="AD63" s="134" t="n">
        <v>24.39754</v>
      </c>
      <c r="AE63" s="134" t="n">
        <v>75.756336</v>
      </c>
    </row>
    <row r="64" customFormat="false" ht="15" hidden="false" customHeight="false" outlineLevel="0" collapsed="false">
      <c r="A64" s="95" t="s">
        <v>39</v>
      </c>
      <c r="B64" s="95" t="s">
        <v>2349</v>
      </c>
      <c r="C64" s="243" t="s">
        <v>2448</v>
      </c>
      <c r="D64" s="95" t="s">
        <v>2451</v>
      </c>
      <c r="E64" s="95"/>
      <c r="F64" s="95"/>
      <c r="G64" s="95"/>
      <c r="H64" s="95"/>
      <c r="I64" s="95"/>
      <c r="J64" s="95"/>
      <c r="K64" s="95"/>
      <c r="L64" s="241"/>
      <c r="M64" s="95"/>
      <c r="N64" s="241"/>
      <c r="O64" s="95" t="n">
        <v>17.5</v>
      </c>
      <c r="P64" s="95"/>
      <c r="Q64" s="132" t="s">
        <v>45</v>
      </c>
      <c r="R64" s="132" t="s">
        <v>2352</v>
      </c>
      <c r="S64" s="112"/>
      <c r="T64" s="244" t="n">
        <v>10.5</v>
      </c>
      <c r="U64" s="112"/>
      <c r="V64" s="112"/>
      <c r="W64" s="112"/>
      <c r="X64" s="112"/>
      <c r="Y64" s="112"/>
      <c r="Z64" s="112"/>
      <c r="AA64" s="244" t="s">
        <v>45</v>
      </c>
      <c r="AB64" s="244" t="n">
        <v>7</v>
      </c>
      <c r="AC64" s="134" t="s">
        <v>2452</v>
      </c>
      <c r="AD64" s="134" t="n">
        <v>24.368978</v>
      </c>
      <c r="AE64" s="134" t="n">
        <v>75.7735</v>
      </c>
    </row>
    <row r="65" customFormat="false" ht="15" hidden="false" customHeight="false" outlineLevel="0" collapsed="false">
      <c r="A65" s="95" t="s">
        <v>39</v>
      </c>
      <c r="B65" s="95" t="s">
        <v>2349</v>
      </c>
      <c r="C65" s="243" t="s">
        <v>2448</v>
      </c>
      <c r="D65" s="95" t="s">
        <v>2453</v>
      </c>
      <c r="E65" s="95" t="n">
        <v>104883</v>
      </c>
      <c r="F65" s="95" t="n">
        <v>275.8</v>
      </c>
      <c r="G65" s="95" t="n">
        <v>33</v>
      </c>
      <c r="H65" s="95" t="n">
        <v>194</v>
      </c>
      <c r="I65" s="95" t="n">
        <v>95</v>
      </c>
      <c r="J65" s="95" t="n">
        <v>99</v>
      </c>
      <c r="K65" s="95" t="n">
        <v>0</v>
      </c>
      <c r="L65" s="241" t="n">
        <f aca="false">K65/H65*100</f>
        <v>0</v>
      </c>
      <c r="M65" s="95" t="n">
        <v>0</v>
      </c>
      <c r="N65" s="241" t="n">
        <f aca="false">M65/H65*100</f>
        <v>0</v>
      </c>
      <c r="O65" s="95" t="n">
        <v>24.8</v>
      </c>
      <c r="P65" s="95" t="n">
        <v>0</v>
      </c>
      <c r="Q65" s="132" t="s">
        <v>45</v>
      </c>
      <c r="R65" s="132" t="s">
        <v>2352</v>
      </c>
      <c r="S65" s="112"/>
      <c r="T65" s="244" t="n">
        <v>13</v>
      </c>
      <c r="U65" s="112"/>
      <c r="V65" s="112"/>
      <c r="W65" s="112"/>
      <c r="X65" s="112"/>
      <c r="Y65" s="112"/>
      <c r="Z65" s="112"/>
      <c r="AA65" s="244" t="s">
        <v>45</v>
      </c>
      <c r="AB65" s="244" t="n">
        <v>10</v>
      </c>
      <c r="AC65" s="134" t="s">
        <v>2454</v>
      </c>
      <c r="AD65" s="244" t="n">
        <v>24.37714</v>
      </c>
      <c r="AE65" s="134" t="n">
        <v>75.790329</v>
      </c>
    </row>
    <row r="66" customFormat="false" ht="15" hidden="false" customHeight="false" outlineLevel="0" collapsed="false">
      <c r="A66" s="95" t="s">
        <v>39</v>
      </c>
      <c r="B66" s="95" t="s">
        <v>2349</v>
      </c>
      <c r="C66" s="243" t="s">
        <v>2448</v>
      </c>
      <c r="D66" s="95" t="s">
        <v>2455</v>
      </c>
      <c r="E66" s="95" t="n">
        <v>104884</v>
      </c>
      <c r="F66" s="95" t="n">
        <v>169.49</v>
      </c>
      <c r="G66" s="95" t="n">
        <v>66</v>
      </c>
      <c r="H66" s="95" t="n">
        <v>304</v>
      </c>
      <c r="I66" s="95" t="n">
        <v>160</v>
      </c>
      <c r="J66" s="95" t="n">
        <v>144</v>
      </c>
      <c r="K66" s="95" t="n">
        <v>289</v>
      </c>
      <c r="L66" s="241" t="n">
        <f aca="false">K66/H66*100</f>
        <v>95.0657894736842</v>
      </c>
      <c r="M66" s="95" t="n">
        <v>10</v>
      </c>
      <c r="N66" s="241" t="n">
        <f aca="false">M66/H66*100</f>
        <v>3.28947368421053</v>
      </c>
      <c r="O66" s="95" t="n">
        <v>7.2</v>
      </c>
      <c r="P66" s="95" t="n">
        <v>0</v>
      </c>
      <c r="Q66" s="132" t="s">
        <v>45</v>
      </c>
      <c r="R66" s="132" t="s">
        <v>2352</v>
      </c>
      <c r="S66" s="112"/>
      <c r="T66" s="244" t="n">
        <v>2.19</v>
      </c>
      <c r="U66" s="112"/>
      <c r="V66" s="112"/>
      <c r="W66" s="112"/>
      <c r="X66" s="112"/>
      <c r="Y66" s="112"/>
      <c r="Z66" s="112"/>
      <c r="AA66" s="244" t="s">
        <v>45</v>
      </c>
      <c r="AB66" s="244" t="n">
        <v>5</v>
      </c>
      <c r="AC66" s="134" t="s">
        <v>2397</v>
      </c>
      <c r="AD66" s="134" t="n">
        <v>24.410579</v>
      </c>
      <c r="AE66" s="134" t="n">
        <v>75.79294</v>
      </c>
    </row>
    <row r="67" customFormat="false" ht="15" hidden="false" customHeight="false" outlineLevel="0" collapsed="false">
      <c r="A67" s="95" t="s">
        <v>39</v>
      </c>
      <c r="B67" s="95" t="s">
        <v>2349</v>
      </c>
      <c r="C67" s="243" t="s">
        <v>2448</v>
      </c>
      <c r="D67" s="95" t="s">
        <v>2456</v>
      </c>
      <c r="E67" s="95" t="n">
        <v>104885</v>
      </c>
      <c r="F67" s="95" t="n">
        <v>293.32</v>
      </c>
      <c r="G67" s="95" t="n">
        <v>103</v>
      </c>
      <c r="H67" s="95" t="n">
        <v>486</v>
      </c>
      <c r="I67" s="95" t="n">
        <v>240</v>
      </c>
      <c r="J67" s="95" t="n">
        <v>246</v>
      </c>
      <c r="K67" s="95" t="n">
        <v>245</v>
      </c>
      <c r="L67" s="241" t="n">
        <f aca="false">K67/H67*100</f>
        <v>50.4115226337449</v>
      </c>
      <c r="M67" s="95" t="n">
        <v>0</v>
      </c>
      <c r="N67" s="241" t="n">
        <f aca="false">M67/H67*100</f>
        <v>0</v>
      </c>
      <c r="O67" s="95" t="n">
        <v>13.42</v>
      </c>
      <c r="P67" s="95" t="n">
        <v>0</v>
      </c>
      <c r="Q67" s="132" t="s">
        <v>45</v>
      </c>
      <c r="R67" s="132" t="s">
        <v>2352</v>
      </c>
      <c r="S67" s="112"/>
      <c r="T67" s="244" t="n">
        <v>8</v>
      </c>
      <c r="U67" s="112"/>
      <c r="V67" s="112"/>
      <c r="W67" s="112"/>
      <c r="X67" s="112"/>
      <c r="Y67" s="112"/>
      <c r="Z67" s="112"/>
      <c r="AA67" s="244" t="s">
        <v>45</v>
      </c>
      <c r="AB67" s="244" t="n">
        <v>5</v>
      </c>
      <c r="AC67" s="134" t="s">
        <v>2457</v>
      </c>
      <c r="AD67" s="134" t="n">
        <v>24.38152</v>
      </c>
      <c r="AE67" s="134" t="n">
        <v>75.7679</v>
      </c>
    </row>
    <row r="68" customFormat="false" ht="15" hidden="false" customHeight="false" outlineLevel="0" collapsed="false">
      <c r="A68" s="95" t="s">
        <v>39</v>
      </c>
      <c r="B68" s="95" t="s">
        <v>2349</v>
      </c>
      <c r="C68" s="243" t="s">
        <v>2448</v>
      </c>
      <c r="D68" s="95" t="s">
        <v>2458</v>
      </c>
      <c r="E68" s="95" t="n">
        <v>104886</v>
      </c>
      <c r="F68" s="95" t="n">
        <v>181.48</v>
      </c>
      <c r="G68" s="95" t="n">
        <v>61</v>
      </c>
      <c r="H68" s="95" t="n">
        <v>293</v>
      </c>
      <c r="I68" s="95" t="n">
        <v>153</v>
      </c>
      <c r="J68" s="95" t="n">
        <v>140</v>
      </c>
      <c r="K68" s="95" t="n">
        <v>0</v>
      </c>
      <c r="L68" s="241" t="n">
        <f aca="false">K68/H68*100</f>
        <v>0</v>
      </c>
      <c r="M68" s="95" t="n">
        <v>0</v>
      </c>
      <c r="N68" s="241" t="n">
        <f aca="false">M68/H68*100</f>
        <v>0</v>
      </c>
      <c r="O68" s="95" t="n">
        <v>11.85</v>
      </c>
      <c r="P68" s="95" t="n">
        <v>0</v>
      </c>
      <c r="Q68" s="132" t="s">
        <v>45</v>
      </c>
      <c r="R68" s="132" t="s">
        <v>2352</v>
      </c>
      <c r="S68" s="112"/>
      <c r="T68" s="244" t="n">
        <v>6</v>
      </c>
      <c r="U68" s="112"/>
      <c r="V68" s="112"/>
      <c r="W68" s="112"/>
      <c r="X68" s="112"/>
      <c r="Y68" s="112"/>
      <c r="Z68" s="112"/>
      <c r="AA68" s="244" t="s">
        <v>45</v>
      </c>
      <c r="AB68" s="244" t="n">
        <v>5</v>
      </c>
      <c r="AC68" s="134" t="s">
        <v>2459</v>
      </c>
      <c r="AD68" s="134" t="n">
        <v>24.392401</v>
      </c>
      <c r="AE68" s="134" t="n">
        <v>75.76821</v>
      </c>
    </row>
    <row r="69" customFormat="false" ht="15" hidden="false" customHeight="false" outlineLevel="0" collapsed="false">
      <c r="A69" s="95" t="s">
        <v>39</v>
      </c>
      <c r="B69" s="95" t="s">
        <v>2349</v>
      </c>
      <c r="C69" s="243" t="s">
        <v>2448</v>
      </c>
      <c r="D69" s="95" t="s">
        <v>2460</v>
      </c>
      <c r="E69" s="95" t="n">
        <v>104897</v>
      </c>
      <c r="F69" s="95" t="n">
        <v>628.54</v>
      </c>
      <c r="G69" s="95" t="n">
        <v>283</v>
      </c>
      <c r="H69" s="95" t="n">
        <v>1632</v>
      </c>
      <c r="I69" s="95" t="n">
        <v>845</v>
      </c>
      <c r="J69" s="95" t="n">
        <v>787</v>
      </c>
      <c r="K69" s="95" t="n">
        <v>270</v>
      </c>
      <c r="L69" s="241" t="n">
        <f aca="false">K69/H69*100</f>
        <v>16.5441176470588</v>
      </c>
      <c r="M69" s="95" t="n">
        <v>0</v>
      </c>
      <c r="N69" s="241" t="n">
        <f aca="false">M69/H69*100</f>
        <v>0</v>
      </c>
      <c r="O69" s="95" t="n">
        <v>41.13</v>
      </c>
      <c r="P69" s="95" t="n">
        <v>0</v>
      </c>
      <c r="Q69" s="132" t="s">
        <v>45</v>
      </c>
      <c r="R69" s="132" t="s">
        <v>2352</v>
      </c>
      <c r="S69" s="112"/>
      <c r="T69" s="244" t="n">
        <v>17</v>
      </c>
      <c r="U69" s="112"/>
      <c r="V69" s="112"/>
      <c r="W69" s="112"/>
      <c r="X69" s="112"/>
      <c r="Y69" s="112"/>
      <c r="Z69" s="112"/>
      <c r="AA69" s="244" t="s">
        <v>45</v>
      </c>
      <c r="AB69" s="244" t="n">
        <v>8</v>
      </c>
      <c r="AC69" s="134" t="s">
        <v>2461</v>
      </c>
      <c r="AD69" s="134" t="n">
        <v>24.38565</v>
      </c>
      <c r="AE69" s="134" t="n">
        <v>75.75545</v>
      </c>
    </row>
    <row r="70" customFormat="false" ht="15" hidden="false" customHeight="false" outlineLevel="0" collapsed="false">
      <c r="A70" s="95" t="s">
        <v>39</v>
      </c>
      <c r="B70" s="95" t="s">
        <v>2349</v>
      </c>
      <c r="C70" s="243" t="s">
        <v>2448</v>
      </c>
      <c r="D70" s="95" t="s">
        <v>2462</v>
      </c>
      <c r="E70" s="95" t="n">
        <v>104898</v>
      </c>
      <c r="F70" s="95" t="n">
        <v>259.36</v>
      </c>
      <c r="G70" s="95" t="n">
        <v>208</v>
      </c>
      <c r="H70" s="95" t="n">
        <v>1147</v>
      </c>
      <c r="I70" s="95" t="n">
        <v>559</v>
      </c>
      <c r="J70" s="95" t="n">
        <v>588</v>
      </c>
      <c r="K70" s="95" t="n">
        <v>0</v>
      </c>
      <c r="L70" s="241" t="n">
        <f aca="false">K70/H70*100</f>
        <v>0</v>
      </c>
      <c r="M70" s="95" t="n">
        <v>0</v>
      </c>
      <c r="N70" s="241" t="n">
        <f aca="false">M70/H70*100</f>
        <v>0</v>
      </c>
      <c r="O70" s="95" t="n">
        <v>29.96</v>
      </c>
      <c r="P70" s="95" t="n">
        <v>0</v>
      </c>
      <c r="Q70" s="132" t="s">
        <v>45</v>
      </c>
      <c r="R70" s="132" t="s">
        <v>2352</v>
      </c>
      <c r="S70" s="112"/>
      <c r="T70" s="244" t="n">
        <v>15</v>
      </c>
      <c r="U70" s="112"/>
      <c r="V70" s="112"/>
      <c r="W70" s="112"/>
      <c r="X70" s="112"/>
      <c r="Y70" s="112"/>
      <c r="Z70" s="112"/>
      <c r="AA70" s="244" t="s">
        <v>45</v>
      </c>
      <c r="AB70" s="133" t="n">
        <v>15</v>
      </c>
      <c r="AC70" s="134" t="s">
        <v>2463</v>
      </c>
      <c r="AD70" s="134" t="n">
        <v>24.3949321</v>
      </c>
      <c r="AE70" s="134" t="n">
        <v>75.300861</v>
      </c>
    </row>
    <row r="71" customFormat="false" ht="15" hidden="false" customHeight="false" outlineLevel="0" collapsed="false">
      <c r="A71" s="95" t="s">
        <v>39</v>
      </c>
      <c r="B71" s="95" t="s">
        <v>2349</v>
      </c>
      <c r="C71" s="243" t="s">
        <v>2448</v>
      </c>
      <c r="D71" s="95" t="s">
        <v>2464</v>
      </c>
      <c r="E71" s="95" t="n">
        <v>104899</v>
      </c>
      <c r="F71" s="95" t="n">
        <v>226.58</v>
      </c>
      <c r="G71" s="95" t="n">
        <v>51</v>
      </c>
      <c r="H71" s="95" t="n">
        <v>267</v>
      </c>
      <c r="I71" s="95" t="n">
        <v>134</v>
      </c>
      <c r="J71" s="95" t="n">
        <v>133</v>
      </c>
      <c r="K71" s="95" t="n">
        <v>91</v>
      </c>
      <c r="L71" s="241" t="n">
        <f aca="false">K71/H71*100</f>
        <v>34.0823970037453</v>
      </c>
      <c r="M71" s="95" t="n">
        <v>2</v>
      </c>
      <c r="N71" s="241" t="n">
        <f aca="false">M71/H71*100</f>
        <v>0.749063670411985</v>
      </c>
      <c r="O71" s="95" t="n">
        <v>35.2</v>
      </c>
      <c r="P71" s="95" t="n">
        <v>0</v>
      </c>
      <c r="Q71" s="132" t="s">
        <v>45</v>
      </c>
      <c r="R71" s="132" t="s">
        <v>2352</v>
      </c>
      <c r="S71" s="112"/>
      <c r="T71" s="244" t="n">
        <v>25</v>
      </c>
      <c r="U71" s="112"/>
      <c r="V71" s="112"/>
      <c r="W71" s="112"/>
      <c r="X71" s="112"/>
      <c r="Y71" s="112"/>
      <c r="Z71" s="112"/>
      <c r="AA71" s="244" t="s">
        <v>45</v>
      </c>
      <c r="AB71" s="244" t="n">
        <v>10</v>
      </c>
      <c r="AC71" s="134" t="s">
        <v>2465</v>
      </c>
      <c r="AD71" s="134" t="n">
        <v>24.3761</v>
      </c>
      <c r="AE71" s="134" t="n">
        <v>75.7512</v>
      </c>
    </row>
    <row r="72" customFormat="false" ht="15" hidden="false" customHeight="false" outlineLevel="0" collapsed="false">
      <c r="A72" s="95" t="s">
        <v>39</v>
      </c>
      <c r="B72" s="95" t="s">
        <v>2349</v>
      </c>
      <c r="C72" s="243" t="s">
        <v>2448</v>
      </c>
      <c r="D72" s="95" t="s">
        <v>2464</v>
      </c>
      <c r="E72" s="95"/>
      <c r="F72" s="95"/>
      <c r="G72" s="95"/>
      <c r="H72" s="95"/>
      <c r="I72" s="95"/>
      <c r="J72" s="95"/>
      <c r="K72" s="95"/>
      <c r="L72" s="241"/>
      <c r="M72" s="95"/>
      <c r="N72" s="241"/>
      <c r="O72" s="95"/>
      <c r="P72" s="95"/>
      <c r="Q72" s="172" t="s">
        <v>45</v>
      </c>
      <c r="R72" s="172" t="s">
        <v>2352</v>
      </c>
      <c r="S72" s="112"/>
      <c r="T72" s="244"/>
      <c r="U72" s="112"/>
      <c r="V72" s="112"/>
      <c r="W72" s="112"/>
      <c r="X72" s="112"/>
      <c r="Y72" s="112"/>
      <c r="Z72" s="112"/>
      <c r="AA72" s="153" t="s">
        <v>150</v>
      </c>
      <c r="AB72" s="153" t="n">
        <v>1.548</v>
      </c>
      <c r="AC72" s="153" t="s">
        <v>2426</v>
      </c>
      <c r="AD72" s="153" t="n">
        <v>24.36917</v>
      </c>
      <c r="AE72" s="153" t="n">
        <v>75.7515</v>
      </c>
    </row>
    <row r="73" customFormat="false" ht="15" hidden="false" customHeight="false" outlineLevel="0" collapsed="false">
      <c r="A73" s="95" t="s">
        <v>39</v>
      </c>
      <c r="B73" s="95" t="s">
        <v>2349</v>
      </c>
      <c r="C73" s="243" t="s">
        <v>2448</v>
      </c>
      <c r="D73" s="95" t="s">
        <v>402</v>
      </c>
      <c r="E73" s="95" t="n">
        <v>104900</v>
      </c>
      <c r="F73" s="95" t="n">
        <v>675.42</v>
      </c>
      <c r="G73" s="95" t="n">
        <v>327</v>
      </c>
      <c r="H73" s="95" t="n">
        <v>1804</v>
      </c>
      <c r="I73" s="95" t="n">
        <v>925</v>
      </c>
      <c r="J73" s="95" t="n">
        <v>879</v>
      </c>
      <c r="K73" s="95" t="n">
        <v>186</v>
      </c>
      <c r="L73" s="241" t="n">
        <f aca="false">K73/H73*100</f>
        <v>10.310421286031</v>
      </c>
      <c r="M73" s="95" t="n">
        <v>1</v>
      </c>
      <c r="N73" s="241" t="n">
        <f aca="false">M73/H73*100</f>
        <v>0.0554323725055432</v>
      </c>
      <c r="O73" s="95" t="n">
        <v>129.22</v>
      </c>
      <c r="P73" s="95" t="n">
        <v>0</v>
      </c>
      <c r="Q73" s="132" t="s">
        <v>45</v>
      </c>
      <c r="R73" s="132" t="s">
        <v>2352</v>
      </c>
      <c r="S73" s="112"/>
      <c r="T73" s="244" t="n">
        <v>81</v>
      </c>
      <c r="U73" s="112"/>
      <c r="V73" s="112"/>
      <c r="W73" s="112"/>
      <c r="X73" s="112"/>
      <c r="Y73" s="112"/>
      <c r="Z73" s="112"/>
      <c r="AA73" s="244" t="s">
        <v>45</v>
      </c>
      <c r="AB73" s="244" t="n">
        <v>30</v>
      </c>
      <c r="AC73" s="134" t="s">
        <v>2397</v>
      </c>
      <c r="AD73" s="134" t="n">
        <v>24.364109</v>
      </c>
      <c r="AE73" s="134" t="n">
        <v>75.352388</v>
      </c>
    </row>
    <row r="74" customFormat="false" ht="15" hidden="false" customHeight="false" outlineLevel="0" collapsed="false">
      <c r="A74" s="95" t="s">
        <v>39</v>
      </c>
      <c r="B74" s="95" t="s">
        <v>2349</v>
      </c>
      <c r="C74" s="243" t="s">
        <v>2448</v>
      </c>
      <c r="D74" s="95" t="s">
        <v>2466</v>
      </c>
      <c r="E74" s="95" t="n">
        <v>104901</v>
      </c>
      <c r="F74" s="95" t="n">
        <v>318.36</v>
      </c>
      <c r="G74" s="95" t="n">
        <v>104</v>
      </c>
      <c r="H74" s="95" t="n">
        <v>582</v>
      </c>
      <c r="I74" s="95" t="n">
        <v>272</v>
      </c>
      <c r="J74" s="95" t="n">
        <v>310</v>
      </c>
      <c r="K74" s="95" t="n">
        <v>59</v>
      </c>
      <c r="L74" s="241" t="n">
        <f aca="false">K74/H74*100</f>
        <v>10.1374570446735</v>
      </c>
      <c r="M74" s="95" t="n">
        <v>0</v>
      </c>
      <c r="N74" s="241" t="n">
        <f aca="false">M74/H74*100</f>
        <v>0</v>
      </c>
      <c r="O74" s="95" t="n">
        <v>0</v>
      </c>
      <c r="P74" s="95" t="n">
        <v>81.26</v>
      </c>
      <c r="Q74" s="153" t="s">
        <v>45</v>
      </c>
      <c r="R74" s="153" t="s">
        <v>2467</v>
      </c>
      <c r="S74" s="112"/>
      <c r="T74" s="244"/>
      <c r="U74" s="112"/>
      <c r="V74" s="112"/>
      <c r="W74" s="112"/>
      <c r="X74" s="112"/>
      <c r="Y74" s="112"/>
      <c r="Z74" s="112"/>
      <c r="AA74" s="244"/>
      <c r="AB74" s="244"/>
      <c r="AC74" s="23" t="s">
        <v>859</v>
      </c>
      <c r="AD74" s="95"/>
      <c r="AE74" s="132"/>
    </row>
    <row r="75" customFormat="false" ht="15" hidden="false" customHeight="false" outlineLevel="0" collapsed="false">
      <c r="A75" s="95" t="s">
        <v>39</v>
      </c>
      <c r="B75" s="95" t="s">
        <v>2349</v>
      </c>
      <c r="C75" s="243" t="s">
        <v>2448</v>
      </c>
      <c r="D75" s="95" t="s">
        <v>2466</v>
      </c>
      <c r="E75" s="95"/>
      <c r="F75" s="95"/>
      <c r="G75" s="95"/>
      <c r="H75" s="95"/>
      <c r="I75" s="95"/>
      <c r="J75" s="95"/>
      <c r="K75" s="95"/>
      <c r="L75" s="241"/>
      <c r="M75" s="95"/>
      <c r="N75" s="241"/>
      <c r="O75" s="95"/>
      <c r="P75" s="95"/>
      <c r="Q75" s="153" t="s">
        <v>45</v>
      </c>
      <c r="R75" s="153" t="s">
        <v>2467</v>
      </c>
      <c r="S75" s="112"/>
      <c r="T75" s="244"/>
      <c r="U75" s="112"/>
      <c r="V75" s="112"/>
      <c r="W75" s="112"/>
      <c r="X75" s="112"/>
      <c r="Y75" s="112"/>
      <c r="Z75" s="112"/>
      <c r="AA75" s="153" t="s">
        <v>150</v>
      </c>
      <c r="AB75" s="153" t="n">
        <v>4.636</v>
      </c>
      <c r="AC75" s="153" t="s">
        <v>2468</v>
      </c>
      <c r="AD75" s="153" t="n">
        <v>24.3439</v>
      </c>
      <c r="AE75" s="153" t="n">
        <v>75.74629</v>
      </c>
    </row>
    <row r="76" customFormat="false" ht="15" hidden="false" customHeight="false" outlineLevel="0" collapsed="false">
      <c r="A76" s="95" t="s">
        <v>39</v>
      </c>
      <c r="B76" s="95" t="s">
        <v>2349</v>
      </c>
      <c r="C76" s="243" t="s">
        <v>2448</v>
      </c>
      <c r="D76" s="95" t="s">
        <v>2466</v>
      </c>
      <c r="E76" s="95"/>
      <c r="F76" s="95"/>
      <c r="G76" s="95"/>
      <c r="H76" s="95"/>
      <c r="I76" s="95"/>
      <c r="J76" s="95"/>
      <c r="K76" s="95"/>
      <c r="L76" s="241"/>
      <c r="M76" s="95"/>
      <c r="N76" s="241"/>
      <c r="O76" s="95"/>
      <c r="P76" s="95"/>
      <c r="Q76" s="153" t="s">
        <v>43</v>
      </c>
      <c r="R76" s="117" t="s">
        <v>2467</v>
      </c>
      <c r="S76" s="112"/>
      <c r="T76" s="244"/>
      <c r="U76" s="112"/>
      <c r="V76" s="112"/>
      <c r="W76" s="112"/>
      <c r="X76" s="112"/>
      <c r="Y76" s="112"/>
      <c r="Z76" s="112"/>
      <c r="AA76" s="153" t="s">
        <v>150</v>
      </c>
      <c r="AB76" s="117" t="n">
        <v>1.212</v>
      </c>
      <c r="AC76" s="151" t="s">
        <v>859</v>
      </c>
      <c r="AD76" s="117" t="n">
        <v>24.34786</v>
      </c>
      <c r="AE76" s="117" t="n">
        <v>75.7645</v>
      </c>
    </row>
    <row r="77" customFormat="false" ht="15" hidden="false" customHeight="false" outlineLevel="0" collapsed="false">
      <c r="A77" s="95" t="s">
        <v>39</v>
      </c>
      <c r="B77" s="95" t="s">
        <v>2349</v>
      </c>
      <c r="C77" s="243" t="s">
        <v>2448</v>
      </c>
      <c r="D77" s="95" t="s">
        <v>2466</v>
      </c>
      <c r="E77" s="95"/>
      <c r="F77" s="95"/>
      <c r="G77" s="95"/>
      <c r="H77" s="95"/>
      <c r="I77" s="95"/>
      <c r="J77" s="95"/>
      <c r="K77" s="95"/>
      <c r="L77" s="241"/>
      <c r="M77" s="95"/>
      <c r="N77" s="241"/>
      <c r="O77" s="95"/>
      <c r="P77" s="95"/>
      <c r="Q77" s="153" t="s">
        <v>43</v>
      </c>
      <c r="R77" s="117" t="s">
        <v>2467</v>
      </c>
      <c r="S77" s="112"/>
      <c r="T77" s="244"/>
      <c r="U77" s="112"/>
      <c r="V77" s="112"/>
      <c r="W77" s="112"/>
      <c r="X77" s="112"/>
      <c r="Y77" s="112"/>
      <c r="Z77" s="112"/>
      <c r="AA77" s="153" t="s">
        <v>150</v>
      </c>
      <c r="AB77" s="117" t="n">
        <v>1.756</v>
      </c>
      <c r="AC77" s="151" t="s">
        <v>859</v>
      </c>
      <c r="AD77" s="117" t="n">
        <v>24.33862</v>
      </c>
      <c r="AE77" s="117" t="n">
        <v>75.7527</v>
      </c>
    </row>
    <row r="78" customFormat="false" ht="15" hidden="false" customHeight="false" outlineLevel="0" collapsed="false">
      <c r="A78" s="95" t="s">
        <v>39</v>
      </c>
      <c r="B78" s="95" t="s">
        <v>2349</v>
      </c>
      <c r="C78" s="243" t="s">
        <v>2448</v>
      </c>
      <c r="D78" s="95" t="s">
        <v>1338</v>
      </c>
      <c r="E78" s="95" t="n">
        <v>104903</v>
      </c>
      <c r="F78" s="95" t="n">
        <v>154.52</v>
      </c>
      <c r="G78" s="95" t="n">
        <v>51</v>
      </c>
      <c r="H78" s="95" t="n">
        <v>229</v>
      </c>
      <c r="I78" s="95" t="n">
        <v>118</v>
      </c>
      <c r="J78" s="95" t="n">
        <v>111</v>
      </c>
      <c r="K78" s="95" t="n">
        <v>0</v>
      </c>
      <c r="L78" s="241" t="n">
        <f aca="false">K78/H78*100</f>
        <v>0</v>
      </c>
      <c r="M78" s="95" t="n">
        <v>0</v>
      </c>
      <c r="N78" s="241" t="n">
        <f aca="false">M78/H78*100</f>
        <v>0</v>
      </c>
      <c r="O78" s="95" t="n">
        <v>23.52</v>
      </c>
      <c r="P78" s="95" t="n">
        <v>0</v>
      </c>
      <c r="Q78" s="132" t="s">
        <v>45</v>
      </c>
      <c r="R78" s="132" t="s">
        <v>2352</v>
      </c>
      <c r="S78" s="112"/>
      <c r="T78" s="244" t="n">
        <v>15</v>
      </c>
      <c r="U78" s="112"/>
      <c r="V78" s="112"/>
      <c r="W78" s="112"/>
      <c r="X78" s="112"/>
      <c r="Y78" s="112"/>
      <c r="Z78" s="112"/>
      <c r="AA78" s="244" t="s">
        <v>45</v>
      </c>
      <c r="AB78" s="244" t="n">
        <v>8</v>
      </c>
      <c r="AC78" s="134" t="s">
        <v>1486</v>
      </c>
      <c r="AD78" s="134" t="n">
        <v>24.37045</v>
      </c>
      <c r="AE78" s="134" t="n">
        <v>79.78975</v>
      </c>
    </row>
    <row r="79" customFormat="false" ht="15" hidden="false" customHeight="false" outlineLevel="0" collapsed="false">
      <c r="A79" s="95" t="s">
        <v>39</v>
      </c>
      <c r="B79" s="95" t="s">
        <v>2349</v>
      </c>
      <c r="C79" s="243" t="s">
        <v>2469</v>
      </c>
      <c r="D79" s="95" t="s">
        <v>2470</v>
      </c>
      <c r="E79" s="95" t="n">
        <v>104953</v>
      </c>
      <c r="F79" s="95" t="n">
        <v>1294.67</v>
      </c>
      <c r="G79" s="95" t="n">
        <v>517</v>
      </c>
      <c r="H79" s="95" t="n">
        <v>2733</v>
      </c>
      <c r="I79" s="95" t="n">
        <v>1382</v>
      </c>
      <c r="J79" s="95" t="n">
        <v>1351</v>
      </c>
      <c r="K79" s="95" t="n">
        <v>637</v>
      </c>
      <c r="L79" s="241" t="n">
        <f aca="false">K79/H79*100</f>
        <v>23.3077204537139</v>
      </c>
      <c r="M79" s="95" t="n">
        <v>3</v>
      </c>
      <c r="N79" s="241" t="n">
        <f aca="false">M79/H79*100</f>
        <v>0.109769484083425</v>
      </c>
      <c r="O79" s="95" t="n">
        <v>159.68</v>
      </c>
      <c r="P79" s="95" t="n">
        <v>0</v>
      </c>
      <c r="Q79" s="24" t="s">
        <v>45</v>
      </c>
      <c r="R79" s="231" t="s">
        <v>1679</v>
      </c>
      <c r="S79" s="112"/>
      <c r="T79" s="245" t="n">
        <v>40</v>
      </c>
      <c r="U79" s="112"/>
      <c r="V79" s="112"/>
      <c r="W79" s="112"/>
      <c r="X79" s="112"/>
      <c r="Y79" s="112"/>
      <c r="Z79" s="112"/>
      <c r="AA79" s="244" t="s">
        <v>45</v>
      </c>
      <c r="AB79" s="245" t="n">
        <v>10</v>
      </c>
      <c r="AC79" s="117" t="s">
        <v>2471</v>
      </c>
      <c r="AD79" s="245" t="n">
        <v>24.177097</v>
      </c>
      <c r="AE79" s="245" t="n">
        <v>75.845088</v>
      </c>
    </row>
    <row r="80" customFormat="false" ht="15" hidden="false" customHeight="false" outlineLevel="0" collapsed="false">
      <c r="A80" s="95" t="s">
        <v>39</v>
      </c>
      <c r="B80" s="95" t="s">
        <v>2349</v>
      </c>
      <c r="C80" s="243" t="s">
        <v>2469</v>
      </c>
      <c r="D80" s="95" t="s">
        <v>2470</v>
      </c>
      <c r="E80" s="117"/>
      <c r="F80" s="117"/>
      <c r="G80" s="117"/>
      <c r="H80" s="117"/>
      <c r="I80" s="117"/>
      <c r="J80" s="117"/>
      <c r="K80" s="117"/>
      <c r="L80" s="241"/>
      <c r="M80" s="117"/>
      <c r="N80" s="241"/>
      <c r="O80" s="117"/>
      <c r="P80" s="117"/>
      <c r="Q80" s="24" t="s">
        <v>43</v>
      </c>
      <c r="R80" s="231" t="s">
        <v>1679</v>
      </c>
      <c r="S80" s="112"/>
      <c r="T80" s="245"/>
      <c r="U80" s="112"/>
      <c r="V80" s="112"/>
      <c r="W80" s="112"/>
      <c r="X80" s="112"/>
      <c r="Y80" s="112"/>
      <c r="Z80" s="112"/>
      <c r="AA80" s="244" t="s">
        <v>45</v>
      </c>
      <c r="AB80" s="247" t="n">
        <v>15</v>
      </c>
      <c r="AC80" s="117" t="s">
        <v>2472</v>
      </c>
      <c r="AD80" s="245" t="n">
        <v>24.15986</v>
      </c>
      <c r="AE80" s="245" t="n">
        <v>75.83956</v>
      </c>
    </row>
    <row r="81" customFormat="false" ht="15" hidden="false" customHeight="false" outlineLevel="0" collapsed="false">
      <c r="A81" s="95" t="s">
        <v>39</v>
      </c>
      <c r="B81" s="95" t="s">
        <v>2349</v>
      </c>
      <c r="C81" s="243" t="s">
        <v>2469</v>
      </c>
      <c r="D81" s="95" t="s">
        <v>1749</v>
      </c>
      <c r="E81" s="95" t="n">
        <v>104954</v>
      </c>
      <c r="F81" s="95" t="n">
        <v>169.78</v>
      </c>
      <c r="G81" s="95" t="n">
        <v>71</v>
      </c>
      <c r="H81" s="95" t="n">
        <v>380</v>
      </c>
      <c r="I81" s="95" t="n">
        <v>204</v>
      </c>
      <c r="J81" s="95" t="n">
        <v>176</v>
      </c>
      <c r="K81" s="95" t="n">
        <v>23</v>
      </c>
      <c r="L81" s="241" t="n">
        <f aca="false">K81/H81*100</f>
        <v>6.05263157894737</v>
      </c>
      <c r="M81" s="95" t="n">
        <v>0</v>
      </c>
      <c r="N81" s="241" t="n">
        <f aca="false">M81/H81*100</f>
        <v>0</v>
      </c>
      <c r="O81" s="95" t="n">
        <v>37.17</v>
      </c>
      <c r="P81" s="95" t="n">
        <v>0</v>
      </c>
      <c r="Q81" s="24" t="s">
        <v>82</v>
      </c>
      <c r="R81" s="231" t="s">
        <v>1679</v>
      </c>
      <c r="S81" s="112"/>
      <c r="T81" s="245" t="n">
        <v>2</v>
      </c>
      <c r="U81" s="112"/>
      <c r="V81" s="112"/>
      <c r="W81" s="112"/>
      <c r="X81" s="112"/>
      <c r="Y81" s="112"/>
      <c r="Z81" s="112"/>
      <c r="AA81" s="244" t="s">
        <v>45</v>
      </c>
      <c r="AB81" s="245" t="n">
        <v>3</v>
      </c>
      <c r="AC81" s="117" t="s">
        <v>2473</v>
      </c>
      <c r="AD81" s="245" t="n">
        <v>24.157282</v>
      </c>
      <c r="AE81" s="245" t="n">
        <v>75.807816</v>
      </c>
    </row>
    <row r="82" customFormat="false" ht="15" hidden="false" customHeight="false" outlineLevel="0" collapsed="false">
      <c r="A82" s="95" t="s">
        <v>39</v>
      </c>
      <c r="B82" s="95" t="s">
        <v>2349</v>
      </c>
      <c r="C82" s="243" t="s">
        <v>2469</v>
      </c>
      <c r="D82" s="95" t="s">
        <v>2474</v>
      </c>
      <c r="E82" s="95" t="n">
        <v>104960</v>
      </c>
      <c r="F82" s="95" t="n">
        <v>303.35</v>
      </c>
      <c r="G82" s="95" t="n">
        <v>124</v>
      </c>
      <c r="H82" s="95" t="n">
        <v>638</v>
      </c>
      <c r="I82" s="95" t="n">
        <v>300</v>
      </c>
      <c r="J82" s="95" t="n">
        <v>338</v>
      </c>
      <c r="K82" s="95" t="n">
        <v>257</v>
      </c>
      <c r="L82" s="241" t="n">
        <f aca="false">K82/H82*100</f>
        <v>40.282131661442</v>
      </c>
      <c r="M82" s="95" t="n">
        <v>0</v>
      </c>
      <c r="N82" s="241" t="n">
        <f aca="false">M82/H82*100</f>
        <v>0</v>
      </c>
      <c r="O82" s="95" t="n">
        <v>40.08</v>
      </c>
      <c r="P82" s="95" t="n">
        <v>0</v>
      </c>
      <c r="Q82" s="24" t="s">
        <v>82</v>
      </c>
      <c r="R82" s="231" t="s">
        <v>1679</v>
      </c>
      <c r="S82" s="112"/>
      <c r="T82" s="245" t="n">
        <v>2</v>
      </c>
      <c r="U82" s="112"/>
      <c r="V82" s="112"/>
      <c r="W82" s="112"/>
      <c r="X82" s="112"/>
      <c r="Y82" s="112"/>
      <c r="Z82" s="112"/>
      <c r="AA82" s="244" t="s">
        <v>45</v>
      </c>
      <c r="AB82" s="245" t="n">
        <v>3</v>
      </c>
      <c r="AC82" s="117" t="s">
        <v>2475</v>
      </c>
      <c r="AD82" s="245" t="n">
        <v>24.15395</v>
      </c>
      <c r="AE82" s="245" t="n">
        <v>75.840388</v>
      </c>
    </row>
    <row r="83" customFormat="false" ht="15" hidden="false" customHeight="false" outlineLevel="0" collapsed="false">
      <c r="A83" s="95" t="s">
        <v>39</v>
      </c>
      <c r="B83" s="95" t="s">
        <v>2349</v>
      </c>
      <c r="C83" s="243" t="s">
        <v>2476</v>
      </c>
      <c r="D83" s="95" t="s">
        <v>2477</v>
      </c>
      <c r="E83" s="95" t="n">
        <v>104943</v>
      </c>
      <c r="F83" s="95" t="n">
        <v>822</v>
      </c>
      <c r="G83" s="95" t="n">
        <v>35</v>
      </c>
      <c r="H83" s="95" t="n">
        <v>178</v>
      </c>
      <c r="I83" s="95" t="n">
        <v>90</v>
      </c>
      <c r="J83" s="95" t="n">
        <v>88</v>
      </c>
      <c r="K83" s="95" t="n">
        <v>20</v>
      </c>
      <c r="L83" s="241" t="n">
        <f aca="false">K83/H83*100</f>
        <v>11.2359550561798</v>
      </c>
      <c r="M83" s="95" t="n">
        <v>0</v>
      </c>
      <c r="N83" s="241" t="n">
        <f aca="false">M83/H83*100</f>
        <v>0</v>
      </c>
      <c r="O83" s="95" t="n">
        <v>3.21</v>
      </c>
      <c r="P83" s="95" t="n">
        <v>65.75</v>
      </c>
      <c r="Q83" s="245"/>
      <c r="R83" s="245"/>
      <c r="S83" s="112"/>
      <c r="T83" s="245"/>
      <c r="U83" s="112"/>
      <c r="V83" s="112"/>
      <c r="W83" s="112"/>
      <c r="X83" s="112"/>
      <c r="Y83" s="112"/>
      <c r="Z83" s="112"/>
      <c r="AA83" s="245"/>
      <c r="AB83" s="245"/>
      <c r="AC83" s="95"/>
      <c r="AD83" s="95"/>
      <c r="AE83" s="231"/>
    </row>
    <row r="84" customFormat="false" ht="15" hidden="false" customHeight="false" outlineLevel="0" collapsed="false">
      <c r="A84" s="95" t="s">
        <v>39</v>
      </c>
      <c r="B84" s="95" t="s">
        <v>2349</v>
      </c>
      <c r="C84" s="243" t="s">
        <v>2476</v>
      </c>
      <c r="D84" s="95" t="s">
        <v>2478</v>
      </c>
      <c r="E84" s="95" t="n">
        <v>104944</v>
      </c>
      <c r="F84" s="95" t="n">
        <v>525.57</v>
      </c>
      <c r="G84" s="95" t="n">
        <v>97</v>
      </c>
      <c r="H84" s="95" t="n">
        <v>586</v>
      </c>
      <c r="I84" s="95" t="n">
        <v>290</v>
      </c>
      <c r="J84" s="95" t="n">
        <v>296</v>
      </c>
      <c r="K84" s="95" t="n">
        <v>0</v>
      </c>
      <c r="L84" s="241" t="n">
        <f aca="false">K84/H84*100</f>
        <v>0</v>
      </c>
      <c r="M84" s="95" t="n">
        <v>0</v>
      </c>
      <c r="N84" s="241" t="n">
        <f aca="false">M84/H84*100</f>
        <v>0</v>
      </c>
      <c r="O84" s="95" t="n">
        <v>66.33</v>
      </c>
      <c r="P84" s="95" t="n">
        <v>55.83</v>
      </c>
      <c r="Q84" s="24" t="s">
        <v>45</v>
      </c>
      <c r="R84" s="231" t="s">
        <v>1679</v>
      </c>
      <c r="S84" s="112"/>
      <c r="T84" s="245" t="n">
        <v>0</v>
      </c>
      <c r="U84" s="112"/>
      <c r="V84" s="112"/>
      <c r="W84" s="112"/>
      <c r="X84" s="112"/>
      <c r="Y84" s="112"/>
      <c r="Z84" s="112"/>
      <c r="AA84" s="244" t="s">
        <v>45</v>
      </c>
      <c r="AB84" s="245" t="n">
        <v>1</v>
      </c>
      <c r="AC84" s="117" t="s">
        <v>2479</v>
      </c>
      <c r="AD84" s="245" t="n">
        <v>24.190245</v>
      </c>
      <c r="AE84" s="245" t="n">
        <v>75.786974</v>
      </c>
    </row>
    <row r="85" customFormat="false" ht="15" hidden="false" customHeight="false" outlineLevel="0" collapsed="false">
      <c r="A85" s="95" t="s">
        <v>39</v>
      </c>
      <c r="B85" s="95" t="s">
        <v>2349</v>
      </c>
      <c r="C85" s="243" t="s">
        <v>2476</v>
      </c>
      <c r="D85" s="95" t="s">
        <v>2480</v>
      </c>
      <c r="E85" s="95" t="n">
        <v>104945</v>
      </c>
      <c r="F85" s="95" t="n">
        <v>318.8</v>
      </c>
      <c r="G85" s="95" t="n">
        <v>101</v>
      </c>
      <c r="H85" s="95" t="n">
        <v>445</v>
      </c>
      <c r="I85" s="95" t="n">
        <v>230</v>
      </c>
      <c r="J85" s="95" t="n">
        <v>215</v>
      </c>
      <c r="K85" s="95" t="n">
        <v>39</v>
      </c>
      <c r="L85" s="241" t="n">
        <f aca="false">K85/H85*100</f>
        <v>8.76404494382022</v>
      </c>
      <c r="M85" s="95" t="n">
        <v>0</v>
      </c>
      <c r="N85" s="241" t="n">
        <f aca="false">M85/H85*100</f>
        <v>0</v>
      </c>
      <c r="O85" s="95" t="n">
        <v>24.17</v>
      </c>
      <c r="P85" s="95" t="n">
        <v>128.65</v>
      </c>
      <c r="Q85" s="24" t="s">
        <v>45</v>
      </c>
      <c r="R85" s="231" t="s">
        <v>1679</v>
      </c>
      <c r="S85" s="112"/>
      <c r="T85" s="245" t="n">
        <v>16</v>
      </c>
      <c r="U85" s="112"/>
      <c r="V85" s="112"/>
      <c r="W85" s="112"/>
      <c r="X85" s="112"/>
      <c r="Y85" s="112"/>
      <c r="Z85" s="112"/>
      <c r="AA85" s="244" t="s">
        <v>45</v>
      </c>
      <c r="AB85" s="245" t="n">
        <v>5</v>
      </c>
      <c r="AC85" s="117" t="s">
        <v>2481</v>
      </c>
      <c r="AD85" s="245" t="n">
        <v>24.179799</v>
      </c>
      <c r="AE85" s="245" t="n">
        <v>75.779976</v>
      </c>
    </row>
    <row r="86" customFormat="false" ht="15" hidden="false" customHeight="false" outlineLevel="0" collapsed="false">
      <c r="A86" s="95" t="s">
        <v>39</v>
      </c>
      <c r="B86" s="95" t="s">
        <v>2349</v>
      </c>
      <c r="C86" s="243" t="s">
        <v>2476</v>
      </c>
      <c r="D86" s="95" t="s">
        <v>2482</v>
      </c>
      <c r="E86" s="95" t="n">
        <v>104946</v>
      </c>
      <c r="F86" s="95" t="n">
        <v>156.35</v>
      </c>
      <c r="G86" s="95" t="n">
        <v>67</v>
      </c>
      <c r="H86" s="95" t="n">
        <v>369</v>
      </c>
      <c r="I86" s="95" t="n">
        <v>198</v>
      </c>
      <c r="J86" s="95" t="n">
        <v>171</v>
      </c>
      <c r="K86" s="95" t="n">
        <v>120</v>
      </c>
      <c r="L86" s="241" t="n">
        <f aca="false">K86/H86*100</f>
        <v>32.520325203252</v>
      </c>
      <c r="M86" s="95" t="n">
        <v>0</v>
      </c>
      <c r="N86" s="241" t="n">
        <f aca="false">M86/H86*100</f>
        <v>0</v>
      </c>
      <c r="O86" s="95" t="n">
        <v>3.95</v>
      </c>
      <c r="P86" s="95" t="n">
        <v>42.98</v>
      </c>
      <c r="Q86" s="24" t="s">
        <v>45</v>
      </c>
      <c r="R86" s="231" t="s">
        <v>1679</v>
      </c>
      <c r="S86" s="112"/>
      <c r="T86" s="245" t="n">
        <v>0</v>
      </c>
      <c r="U86" s="112"/>
      <c r="V86" s="112"/>
      <c r="W86" s="112"/>
      <c r="X86" s="112"/>
      <c r="Y86" s="112"/>
      <c r="Z86" s="112"/>
      <c r="AA86" s="244" t="s">
        <v>45</v>
      </c>
      <c r="AB86" s="245" t="n">
        <v>1</v>
      </c>
      <c r="AC86" s="117" t="s">
        <v>2483</v>
      </c>
      <c r="AD86" s="245" t="n">
        <v>24.175639</v>
      </c>
      <c r="AE86" s="245" t="n">
        <v>75.787445</v>
      </c>
    </row>
    <row r="87" customFormat="false" ht="15" hidden="false" customHeight="false" outlineLevel="0" collapsed="false">
      <c r="A87" s="95" t="s">
        <v>39</v>
      </c>
      <c r="B87" s="95" t="s">
        <v>2349</v>
      </c>
      <c r="C87" s="243" t="s">
        <v>2476</v>
      </c>
      <c r="D87" s="95" t="s">
        <v>2484</v>
      </c>
      <c r="E87" s="95" t="n">
        <v>104947</v>
      </c>
      <c r="F87" s="95" t="n">
        <v>234.13</v>
      </c>
      <c r="G87" s="95" t="n">
        <v>64</v>
      </c>
      <c r="H87" s="95" t="n">
        <v>349</v>
      </c>
      <c r="I87" s="95" t="n">
        <v>181</v>
      </c>
      <c r="J87" s="95" t="n">
        <v>168</v>
      </c>
      <c r="K87" s="95" t="n">
        <v>131</v>
      </c>
      <c r="L87" s="241" t="n">
        <f aca="false">K87/H87*100</f>
        <v>37.5358166189112</v>
      </c>
      <c r="M87" s="95" t="n">
        <v>0</v>
      </c>
      <c r="N87" s="241" t="n">
        <f aca="false">M87/H87*100</f>
        <v>0</v>
      </c>
      <c r="O87" s="95" t="n">
        <v>13.73</v>
      </c>
      <c r="P87" s="95" t="n">
        <v>29.45</v>
      </c>
      <c r="Q87" s="24" t="s">
        <v>45</v>
      </c>
      <c r="R87" s="231" t="s">
        <v>1679</v>
      </c>
      <c r="S87" s="112"/>
      <c r="T87" s="245" t="n">
        <v>10.74</v>
      </c>
      <c r="U87" s="112"/>
      <c r="V87" s="112"/>
      <c r="W87" s="112"/>
      <c r="X87" s="112"/>
      <c r="Y87" s="112"/>
      <c r="Z87" s="112"/>
      <c r="AA87" s="244" t="s">
        <v>45</v>
      </c>
      <c r="AB87" s="245" t="n">
        <v>3</v>
      </c>
      <c r="AC87" s="117" t="s">
        <v>2408</v>
      </c>
      <c r="AD87" s="245" t="n">
        <v>24.163664</v>
      </c>
      <c r="AE87" s="245" t="n">
        <v>75.784356</v>
      </c>
    </row>
    <row r="88" customFormat="false" ht="15" hidden="false" customHeight="false" outlineLevel="0" collapsed="false">
      <c r="A88" s="95" t="s">
        <v>39</v>
      </c>
      <c r="B88" s="95" t="s">
        <v>2349</v>
      </c>
      <c r="C88" s="243" t="s">
        <v>2476</v>
      </c>
      <c r="D88" s="95" t="s">
        <v>2485</v>
      </c>
      <c r="E88" s="95" t="n">
        <v>104951</v>
      </c>
      <c r="F88" s="95" t="n">
        <v>446.45</v>
      </c>
      <c r="G88" s="95" t="n">
        <v>252</v>
      </c>
      <c r="H88" s="95" t="n">
        <v>1363</v>
      </c>
      <c r="I88" s="95" t="n">
        <v>690</v>
      </c>
      <c r="J88" s="95" t="n">
        <v>673</v>
      </c>
      <c r="K88" s="95" t="n">
        <v>658</v>
      </c>
      <c r="L88" s="241" t="n">
        <f aca="false">K88/H88*100</f>
        <v>48.2758620689655</v>
      </c>
      <c r="M88" s="95" t="n">
        <v>0</v>
      </c>
      <c r="N88" s="241" t="n">
        <f aca="false">M88/H88*100</f>
        <v>0</v>
      </c>
      <c r="O88" s="95" t="n">
        <v>18.56</v>
      </c>
      <c r="P88" s="95" t="n">
        <v>57.57</v>
      </c>
      <c r="Q88" s="24" t="s">
        <v>45</v>
      </c>
      <c r="R88" s="231" t="s">
        <v>1679</v>
      </c>
      <c r="S88" s="112"/>
      <c r="T88" s="245" t="n">
        <v>16</v>
      </c>
      <c r="U88" s="112"/>
      <c r="V88" s="112"/>
      <c r="W88" s="112"/>
      <c r="X88" s="112"/>
      <c r="Y88" s="112"/>
      <c r="Z88" s="112"/>
      <c r="AA88" s="244" t="s">
        <v>45</v>
      </c>
      <c r="AB88" s="245" t="n">
        <v>2</v>
      </c>
      <c r="AC88" s="231" t="s">
        <v>2486</v>
      </c>
      <c r="AD88" s="245" t="n">
        <v>24.189016</v>
      </c>
      <c r="AE88" s="245" t="n">
        <v>75.818168</v>
      </c>
    </row>
    <row r="89" customFormat="false" ht="15" hidden="false" customHeight="false" outlineLevel="0" collapsed="false">
      <c r="A89" s="95" t="s">
        <v>39</v>
      </c>
      <c r="B89" s="95" t="s">
        <v>2349</v>
      </c>
      <c r="C89" s="243" t="s">
        <v>2476</v>
      </c>
      <c r="D89" s="95" t="s">
        <v>2487</v>
      </c>
      <c r="E89" s="95" t="n">
        <v>104952</v>
      </c>
      <c r="F89" s="95" t="n">
        <v>209.26</v>
      </c>
      <c r="G89" s="95" t="n">
        <v>67</v>
      </c>
      <c r="H89" s="95" t="n">
        <v>283</v>
      </c>
      <c r="I89" s="95" t="n">
        <v>151</v>
      </c>
      <c r="J89" s="95" t="n">
        <v>132</v>
      </c>
      <c r="K89" s="95" t="n">
        <v>195</v>
      </c>
      <c r="L89" s="241" t="n">
        <f aca="false">K89/H89*100</f>
        <v>68.904593639576</v>
      </c>
      <c r="M89" s="95" t="n">
        <v>0</v>
      </c>
      <c r="N89" s="241" t="n">
        <f aca="false">M89/H89*100</f>
        <v>0</v>
      </c>
      <c r="O89" s="95" t="n">
        <v>9.53</v>
      </c>
      <c r="P89" s="95" t="n">
        <v>45.71</v>
      </c>
      <c r="Q89" s="24" t="s">
        <v>45</v>
      </c>
      <c r="R89" s="231" t="s">
        <v>1679</v>
      </c>
      <c r="S89" s="112"/>
      <c r="T89" s="245" t="n">
        <v>0</v>
      </c>
      <c r="U89" s="112"/>
      <c r="V89" s="112"/>
      <c r="W89" s="112"/>
      <c r="X89" s="112"/>
      <c r="Y89" s="112"/>
      <c r="Z89" s="112"/>
      <c r="AA89" s="244" t="s">
        <v>45</v>
      </c>
      <c r="AB89" s="245" t="n">
        <v>2</v>
      </c>
      <c r="AC89" s="117" t="s">
        <v>2488</v>
      </c>
      <c r="AD89" s="245" t="n">
        <v>24.161719</v>
      </c>
      <c r="AE89" s="245" t="n">
        <v>75.191819</v>
      </c>
    </row>
    <row r="90" customFormat="false" ht="15" hidden="false" customHeight="false" outlineLevel="0" collapsed="false">
      <c r="A90" s="95" t="s">
        <v>39</v>
      </c>
      <c r="B90" s="95" t="s">
        <v>2349</v>
      </c>
      <c r="C90" s="243" t="s">
        <v>2489</v>
      </c>
      <c r="D90" s="95" t="s">
        <v>2490</v>
      </c>
      <c r="E90" s="95" t="n">
        <v>104875</v>
      </c>
      <c r="F90" s="95" t="n">
        <v>247.98</v>
      </c>
      <c r="G90" s="95" t="n">
        <v>101</v>
      </c>
      <c r="H90" s="95" t="n">
        <v>502</v>
      </c>
      <c r="I90" s="95" t="n">
        <v>261</v>
      </c>
      <c r="J90" s="95" t="n">
        <v>241</v>
      </c>
      <c r="K90" s="95" t="n">
        <v>257</v>
      </c>
      <c r="L90" s="241" t="n">
        <f aca="false">K90/H90*100</f>
        <v>51.195219123506</v>
      </c>
      <c r="M90" s="95" t="n">
        <v>0</v>
      </c>
      <c r="N90" s="241" t="n">
        <f aca="false">M90/H90*100</f>
        <v>0</v>
      </c>
      <c r="O90" s="95" t="n">
        <v>9.42</v>
      </c>
      <c r="P90" s="95" t="n">
        <v>0</v>
      </c>
      <c r="Q90" s="153" t="s">
        <v>43</v>
      </c>
      <c r="R90" s="153" t="s">
        <v>2491</v>
      </c>
      <c r="S90" s="112"/>
      <c r="T90" s="153" t="n">
        <v>9.7241</v>
      </c>
      <c r="U90" s="112"/>
      <c r="V90" s="112"/>
      <c r="W90" s="112"/>
      <c r="X90" s="112"/>
      <c r="Y90" s="112"/>
      <c r="Z90" s="112"/>
      <c r="AA90" s="153" t="s">
        <v>47</v>
      </c>
      <c r="AB90" s="153" t="n">
        <v>0</v>
      </c>
      <c r="AC90" s="153" t="s">
        <v>910</v>
      </c>
      <c r="AD90" s="153" t="n">
        <v>24.406001</v>
      </c>
      <c r="AE90" s="153" t="n">
        <v>75.902604</v>
      </c>
    </row>
    <row r="91" customFormat="false" ht="15" hidden="false" customHeight="false" outlineLevel="0" collapsed="false">
      <c r="A91" s="95" t="s">
        <v>39</v>
      </c>
      <c r="B91" s="95" t="s">
        <v>2349</v>
      </c>
      <c r="C91" s="243" t="s">
        <v>2489</v>
      </c>
      <c r="D91" s="95" t="s">
        <v>2492</v>
      </c>
      <c r="E91" s="95" t="n">
        <v>104880</v>
      </c>
      <c r="F91" s="95" t="n">
        <v>950.99</v>
      </c>
      <c r="G91" s="95" t="n">
        <v>321</v>
      </c>
      <c r="H91" s="95" t="n">
        <v>1657</v>
      </c>
      <c r="I91" s="95" t="n">
        <v>814</v>
      </c>
      <c r="J91" s="95" t="n">
        <v>843</v>
      </c>
      <c r="K91" s="95" t="n">
        <v>232</v>
      </c>
      <c r="L91" s="241" t="n">
        <f aca="false">K91/H91*100</f>
        <v>14.0012070006035</v>
      </c>
      <c r="M91" s="95" t="n">
        <v>26</v>
      </c>
      <c r="N91" s="241" t="n">
        <f aca="false">M91/H91*100</f>
        <v>1.56910078455039</v>
      </c>
      <c r="O91" s="95" t="n">
        <v>114.32</v>
      </c>
      <c r="P91" s="95" t="n">
        <v>0</v>
      </c>
      <c r="Q91" s="153" t="s">
        <v>43</v>
      </c>
      <c r="R91" s="153" t="s">
        <v>2491</v>
      </c>
      <c r="S91" s="112"/>
      <c r="T91" s="153" t="n">
        <v>114.4118</v>
      </c>
      <c r="U91" s="112"/>
      <c r="V91" s="112"/>
      <c r="W91" s="112"/>
      <c r="X91" s="112"/>
      <c r="Y91" s="112"/>
      <c r="Z91" s="112"/>
      <c r="AA91" s="153" t="s">
        <v>47</v>
      </c>
      <c r="AB91" s="153" t="n">
        <v>0</v>
      </c>
      <c r="AC91" s="153" t="s">
        <v>2493</v>
      </c>
      <c r="AD91" s="153" t="n">
        <v>24.382185</v>
      </c>
      <c r="AE91" s="153" t="n">
        <v>75.868095</v>
      </c>
    </row>
    <row r="92" customFormat="false" ht="15" hidden="false" customHeight="false" outlineLevel="0" collapsed="false">
      <c r="A92" s="95" t="s">
        <v>39</v>
      </c>
      <c r="B92" s="95" t="s">
        <v>2349</v>
      </c>
      <c r="C92" s="243" t="s">
        <v>2489</v>
      </c>
      <c r="D92" s="95" t="s">
        <v>2494</v>
      </c>
      <c r="E92" s="95" t="n">
        <v>104881</v>
      </c>
      <c r="F92" s="95" t="n">
        <v>1054.22</v>
      </c>
      <c r="G92" s="95" t="n">
        <v>485</v>
      </c>
      <c r="H92" s="95" t="n">
        <v>2446</v>
      </c>
      <c r="I92" s="95" t="n">
        <v>1260</v>
      </c>
      <c r="J92" s="95" t="n">
        <v>1186</v>
      </c>
      <c r="K92" s="95" t="n">
        <v>477</v>
      </c>
      <c r="L92" s="241" t="n">
        <f aca="false">K92/H92*100</f>
        <v>19.5012264922322</v>
      </c>
      <c r="M92" s="95" t="n">
        <v>101</v>
      </c>
      <c r="N92" s="241" t="n">
        <f aca="false">M92/H92*100</f>
        <v>4.12919051512674</v>
      </c>
      <c r="O92" s="95" t="n">
        <v>157.43</v>
      </c>
      <c r="P92" s="95" t="n">
        <v>0</v>
      </c>
      <c r="Q92" s="153" t="s">
        <v>43</v>
      </c>
      <c r="R92" s="153" t="s">
        <v>2491</v>
      </c>
      <c r="S92" s="112"/>
      <c r="T92" s="153" t="n">
        <v>144.1282</v>
      </c>
      <c r="U92" s="112"/>
      <c r="V92" s="112"/>
      <c r="W92" s="112"/>
      <c r="X92" s="112"/>
      <c r="Y92" s="112"/>
      <c r="Z92" s="112"/>
      <c r="AA92" s="153" t="s">
        <v>82</v>
      </c>
      <c r="AB92" s="153" t="n">
        <v>0.6721</v>
      </c>
      <c r="AC92" s="153" t="s">
        <v>910</v>
      </c>
      <c r="AD92" s="153" t="n">
        <v>24.404543</v>
      </c>
      <c r="AE92" s="153" t="n">
        <v>75.841493</v>
      </c>
    </row>
    <row r="93" customFormat="false" ht="15" hidden="false" customHeight="false" outlineLevel="0" collapsed="false">
      <c r="A93" s="95" t="s">
        <v>39</v>
      </c>
      <c r="B93" s="95" t="s">
        <v>2349</v>
      </c>
      <c r="C93" s="243" t="s">
        <v>2489</v>
      </c>
      <c r="D93" s="95" t="s">
        <v>159</v>
      </c>
      <c r="E93" s="95" t="n">
        <v>104908</v>
      </c>
      <c r="F93" s="95" t="n">
        <v>253.96</v>
      </c>
      <c r="G93" s="95" t="n">
        <v>70</v>
      </c>
      <c r="H93" s="95" t="n">
        <v>372</v>
      </c>
      <c r="I93" s="95" t="n">
        <v>193</v>
      </c>
      <c r="J93" s="95" t="n">
        <v>179</v>
      </c>
      <c r="K93" s="95" t="n">
        <v>92</v>
      </c>
      <c r="L93" s="241" t="n">
        <f aca="false">K93/H93*100</f>
        <v>24.7311827956989</v>
      </c>
      <c r="M93" s="95" t="n">
        <v>4</v>
      </c>
      <c r="N93" s="241" t="n">
        <f aca="false">M93/H93*100</f>
        <v>1.0752688172043</v>
      </c>
      <c r="O93" s="95" t="n">
        <v>0</v>
      </c>
      <c r="P93" s="95" t="n">
        <v>0</v>
      </c>
      <c r="Q93" s="153" t="s">
        <v>43</v>
      </c>
      <c r="R93" s="153" t="s">
        <v>2491</v>
      </c>
      <c r="S93" s="112"/>
      <c r="T93" s="153" t="n">
        <v>22.1287</v>
      </c>
      <c r="U93" s="112"/>
      <c r="V93" s="112"/>
      <c r="W93" s="112"/>
      <c r="X93" s="112"/>
      <c r="Y93" s="112"/>
      <c r="Z93" s="112"/>
      <c r="AA93" s="153" t="s">
        <v>82</v>
      </c>
      <c r="AB93" s="153" t="n">
        <v>0.7525</v>
      </c>
      <c r="AC93" s="153" t="s">
        <v>910</v>
      </c>
      <c r="AD93" s="153" t="n">
        <v>24.355658</v>
      </c>
      <c r="AE93" s="153" t="n">
        <v>75.858983</v>
      </c>
    </row>
    <row r="94" customFormat="false" ht="15" hidden="false" customHeight="false" outlineLevel="0" collapsed="false">
      <c r="A94" s="95" t="s">
        <v>39</v>
      </c>
      <c r="B94" s="95" t="s">
        <v>2349</v>
      </c>
      <c r="C94" s="243" t="s">
        <v>2489</v>
      </c>
      <c r="D94" s="95" t="s">
        <v>2495</v>
      </c>
      <c r="E94" s="95" t="n">
        <v>104909</v>
      </c>
      <c r="F94" s="95" t="n">
        <v>183.27</v>
      </c>
      <c r="G94" s="95" t="n">
        <v>51</v>
      </c>
      <c r="H94" s="95" t="n">
        <v>246</v>
      </c>
      <c r="I94" s="95" t="n">
        <v>116</v>
      </c>
      <c r="J94" s="95" t="n">
        <v>130</v>
      </c>
      <c r="K94" s="95" t="n">
        <v>246</v>
      </c>
      <c r="L94" s="241" t="n">
        <f aca="false">K94/H94*100</f>
        <v>100</v>
      </c>
      <c r="M94" s="95" t="n">
        <v>0</v>
      </c>
      <c r="N94" s="241" t="n">
        <f aca="false">M94/H94*100</f>
        <v>0</v>
      </c>
      <c r="O94" s="95" t="n">
        <v>3.9</v>
      </c>
      <c r="P94" s="95" t="n">
        <v>0</v>
      </c>
      <c r="Q94" s="153" t="s">
        <v>43</v>
      </c>
      <c r="R94" s="153" t="s">
        <v>2491</v>
      </c>
      <c r="S94" s="112"/>
      <c r="T94" s="153" t="n">
        <v>4.7166</v>
      </c>
      <c r="U94" s="112"/>
      <c r="V94" s="112"/>
      <c r="W94" s="112"/>
      <c r="X94" s="112"/>
      <c r="Y94" s="112"/>
      <c r="Z94" s="112"/>
      <c r="AA94" s="153" t="s">
        <v>47</v>
      </c>
      <c r="AB94" s="153" t="n">
        <v>0</v>
      </c>
      <c r="AC94" s="153" t="s">
        <v>910</v>
      </c>
      <c r="AD94" s="153" t="n">
        <v>24.353978</v>
      </c>
      <c r="AE94" s="153" t="n">
        <v>75.870702</v>
      </c>
    </row>
    <row r="95" customFormat="false" ht="15" hidden="false" customHeight="false" outlineLevel="0" collapsed="false">
      <c r="A95" s="95" t="s">
        <v>39</v>
      </c>
      <c r="B95" s="95" t="s">
        <v>2349</v>
      </c>
      <c r="C95" s="243" t="s">
        <v>2489</v>
      </c>
      <c r="D95" s="95" t="s">
        <v>2496</v>
      </c>
      <c r="E95" s="95" t="n">
        <v>104910</v>
      </c>
      <c r="F95" s="95" t="n">
        <v>382.3</v>
      </c>
      <c r="G95" s="95" t="n">
        <v>201</v>
      </c>
      <c r="H95" s="95" t="n">
        <v>958</v>
      </c>
      <c r="I95" s="95" t="n">
        <v>464</v>
      </c>
      <c r="J95" s="95" t="n">
        <v>494</v>
      </c>
      <c r="K95" s="95" t="n">
        <v>205</v>
      </c>
      <c r="L95" s="241" t="n">
        <f aca="false">K95/H95*100</f>
        <v>21.3987473903967</v>
      </c>
      <c r="M95" s="95" t="n">
        <v>0</v>
      </c>
      <c r="N95" s="241" t="n">
        <f aca="false">M95/H95*100</f>
        <v>0</v>
      </c>
      <c r="O95" s="95" t="n">
        <v>9.94</v>
      </c>
      <c r="P95" s="95" t="n">
        <v>0</v>
      </c>
      <c r="Q95" s="153" t="s">
        <v>43</v>
      </c>
      <c r="R95" s="153" t="s">
        <v>2491</v>
      </c>
      <c r="S95" s="112"/>
      <c r="T95" s="153" t="n">
        <v>8.9148</v>
      </c>
      <c r="U95" s="112"/>
      <c r="V95" s="112"/>
      <c r="W95" s="112"/>
      <c r="X95" s="112"/>
      <c r="Y95" s="112"/>
      <c r="Z95" s="112"/>
      <c r="AA95" s="153" t="s">
        <v>47</v>
      </c>
      <c r="AB95" s="153" t="n">
        <v>0</v>
      </c>
      <c r="AC95" s="153" t="s">
        <v>910</v>
      </c>
      <c r="AD95" s="153" t="n">
        <v>24.372187</v>
      </c>
      <c r="AE95" s="153" t="n">
        <v>75.897353</v>
      </c>
    </row>
    <row r="96" customFormat="false" ht="15" hidden="false" customHeight="false" outlineLevel="0" collapsed="false">
      <c r="A96" s="95" t="s">
        <v>39</v>
      </c>
      <c r="B96" s="95" t="s">
        <v>2349</v>
      </c>
      <c r="C96" s="243" t="s">
        <v>2489</v>
      </c>
      <c r="D96" s="95" t="s">
        <v>1864</v>
      </c>
      <c r="E96" s="95" t="n">
        <v>104874</v>
      </c>
      <c r="F96" s="95" t="n">
        <v>318.6</v>
      </c>
      <c r="G96" s="95" t="n">
        <v>112</v>
      </c>
      <c r="H96" s="95" t="n">
        <v>513</v>
      </c>
      <c r="I96" s="95" t="n">
        <v>270</v>
      </c>
      <c r="J96" s="95" t="n">
        <v>243</v>
      </c>
      <c r="K96" s="95" t="n">
        <v>137</v>
      </c>
      <c r="L96" s="241" t="n">
        <f aca="false">K96/H96*100</f>
        <v>26.7056530214425</v>
      </c>
      <c r="M96" s="95" t="n">
        <v>0</v>
      </c>
      <c r="N96" s="241" t="n">
        <f aca="false">M96/H96*100</f>
        <v>0</v>
      </c>
      <c r="O96" s="95" t="n">
        <v>18.32</v>
      </c>
      <c r="P96" s="95" t="n">
        <v>0</v>
      </c>
      <c r="Q96" s="153" t="s">
        <v>43</v>
      </c>
      <c r="R96" s="153" t="s">
        <v>2491</v>
      </c>
      <c r="S96" s="112"/>
      <c r="T96" s="153" t="n">
        <v>3.6924</v>
      </c>
      <c r="U96" s="112"/>
      <c r="V96" s="112"/>
      <c r="W96" s="112"/>
      <c r="X96" s="112"/>
      <c r="Y96" s="112"/>
      <c r="Z96" s="112"/>
      <c r="AA96" s="153" t="s">
        <v>82</v>
      </c>
      <c r="AB96" s="153" t="n">
        <v>2.0067</v>
      </c>
      <c r="AC96" s="153" t="s">
        <v>910</v>
      </c>
      <c r="AD96" s="153" t="n">
        <v>24.400604</v>
      </c>
      <c r="AE96" s="153" t="n">
        <v>75.890611</v>
      </c>
    </row>
    <row r="97" customFormat="false" ht="15" hidden="false" customHeight="false" outlineLevel="0" collapsed="false">
      <c r="A97" s="95" t="s">
        <v>39</v>
      </c>
      <c r="B97" s="95" t="s">
        <v>2349</v>
      </c>
      <c r="C97" s="243" t="s">
        <v>2497</v>
      </c>
      <c r="D97" s="95" t="s">
        <v>2498</v>
      </c>
      <c r="E97" s="95" t="n">
        <v>104932</v>
      </c>
      <c r="F97" s="95" t="n">
        <v>2375.93</v>
      </c>
      <c r="G97" s="95" t="n">
        <v>1208</v>
      </c>
      <c r="H97" s="95" t="n">
        <v>6187</v>
      </c>
      <c r="I97" s="95" t="n">
        <v>3182</v>
      </c>
      <c r="J97" s="95" t="n">
        <v>3005</v>
      </c>
      <c r="K97" s="95" t="n">
        <v>1449</v>
      </c>
      <c r="L97" s="241" t="n">
        <f aca="false">K97/H97*100</f>
        <v>23.4200743494424</v>
      </c>
      <c r="M97" s="95" t="n">
        <v>51</v>
      </c>
      <c r="N97" s="241" t="n">
        <f aca="false">M97/H97*100</f>
        <v>0.824309035073541</v>
      </c>
      <c r="O97" s="95" t="n">
        <v>152.66</v>
      </c>
      <c r="P97" s="95" t="n">
        <v>148.51</v>
      </c>
      <c r="Q97" s="24" t="s">
        <v>45</v>
      </c>
      <c r="R97" s="117" t="s">
        <v>716</v>
      </c>
      <c r="S97" s="112"/>
      <c r="T97" s="245" t="n">
        <v>152</v>
      </c>
      <c r="U97" s="112"/>
      <c r="V97" s="112"/>
      <c r="W97" s="112"/>
      <c r="X97" s="112"/>
      <c r="Y97" s="112"/>
      <c r="Z97" s="112"/>
      <c r="AA97" s="244" t="s">
        <v>45</v>
      </c>
      <c r="AB97" s="245" t="n">
        <v>3</v>
      </c>
      <c r="AC97" s="117" t="s">
        <v>2499</v>
      </c>
      <c r="AD97" s="245" t="n">
        <v>24.267235</v>
      </c>
      <c r="AE97" s="245" t="n">
        <v>75.846342</v>
      </c>
    </row>
    <row r="98" customFormat="false" ht="15" hidden="false" customHeight="false" outlineLevel="0" collapsed="false">
      <c r="A98" s="95" t="s">
        <v>39</v>
      </c>
      <c r="B98" s="95" t="s">
        <v>2349</v>
      </c>
      <c r="C98" s="243" t="s">
        <v>2497</v>
      </c>
      <c r="D98" s="95" t="s">
        <v>2498</v>
      </c>
      <c r="E98" s="153"/>
      <c r="F98" s="153"/>
      <c r="G98" s="153"/>
      <c r="H98" s="153"/>
      <c r="I98" s="153"/>
      <c r="J98" s="153"/>
      <c r="K98" s="153"/>
      <c r="L98" s="241"/>
      <c r="M98" s="153"/>
      <c r="N98" s="241" t="e">
        <f aca="false">M98/H98*100</f>
        <v>#DIV/0!</v>
      </c>
      <c r="O98" s="153"/>
      <c r="P98" s="153"/>
      <c r="Q98" s="153" t="s">
        <v>45</v>
      </c>
      <c r="R98" s="153" t="s">
        <v>716</v>
      </c>
      <c r="S98" s="112"/>
      <c r="T98" s="153"/>
      <c r="U98" s="112"/>
      <c r="V98" s="112"/>
      <c r="W98" s="112"/>
      <c r="X98" s="112"/>
      <c r="Y98" s="112"/>
      <c r="Z98" s="112"/>
      <c r="AA98" s="153" t="s">
        <v>150</v>
      </c>
      <c r="AB98" s="153" t="n">
        <v>13.25</v>
      </c>
      <c r="AC98" s="153" t="s">
        <v>2426</v>
      </c>
      <c r="AD98" s="153" t="n">
        <v>24.27278</v>
      </c>
      <c r="AE98" s="153" t="n">
        <v>75.85126</v>
      </c>
    </row>
    <row r="99" customFormat="false" ht="15" hidden="false" customHeight="false" outlineLevel="0" collapsed="false">
      <c r="A99" s="95" t="s">
        <v>39</v>
      </c>
      <c r="B99" s="95" t="s">
        <v>2349</v>
      </c>
      <c r="C99" s="243" t="s">
        <v>2497</v>
      </c>
      <c r="D99" s="95" t="s">
        <v>2498</v>
      </c>
      <c r="E99" s="153"/>
      <c r="F99" s="153"/>
      <c r="G99" s="153"/>
      <c r="H99" s="153"/>
      <c r="I99" s="153"/>
      <c r="J99" s="153"/>
      <c r="K99" s="153"/>
      <c r="L99" s="241"/>
      <c r="M99" s="153"/>
      <c r="N99" s="241" t="e">
        <f aca="false">M99/H99*100</f>
        <v>#DIV/0!</v>
      </c>
      <c r="O99" s="153"/>
      <c r="P99" s="153"/>
      <c r="Q99" s="153" t="s">
        <v>43</v>
      </c>
      <c r="R99" s="117" t="s">
        <v>716</v>
      </c>
      <c r="S99" s="112"/>
      <c r="T99" s="153"/>
      <c r="U99" s="112"/>
      <c r="V99" s="112"/>
      <c r="W99" s="112"/>
      <c r="X99" s="112"/>
      <c r="Y99" s="112"/>
      <c r="Z99" s="112"/>
      <c r="AA99" s="153" t="s">
        <v>150</v>
      </c>
      <c r="AB99" s="245" t="n">
        <v>2.8</v>
      </c>
      <c r="AC99" s="153" t="s">
        <v>859</v>
      </c>
      <c r="AD99" s="245" t="n">
        <v>24.28785</v>
      </c>
      <c r="AE99" s="245" t="n">
        <v>75.84224</v>
      </c>
    </row>
    <row r="100" customFormat="false" ht="15" hidden="false" customHeight="false" outlineLevel="0" collapsed="false">
      <c r="A100" s="95" t="s">
        <v>39</v>
      </c>
      <c r="B100" s="95" t="s">
        <v>2349</v>
      </c>
      <c r="C100" s="243" t="s">
        <v>2497</v>
      </c>
      <c r="D100" s="95" t="s">
        <v>2498</v>
      </c>
      <c r="E100" s="153"/>
      <c r="F100" s="153"/>
      <c r="G100" s="153"/>
      <c r="H100" s="153"/>
      <c r="I100" s="153"/>
      <c r="J100" s="153"/>
      <c r="K100" s="153"/>
      <c r="L100" s="241"/>
      <c r="M100" s="153"/>
      <c r="N100" s="241" t="e">
        <f aca="false">M100/H100*100</f>
        <v>#DIV/0!</v>
      </c>
      <c r="O100" s="153"/>
      <c r="P100" s="153"/>
      <c r="Q100" s="153" t="s">
        <v>43</v>
      </c>
      <c r="R100" s="117" t="s">
        <v>716</v>
      </c>
      <c r="S100" s="112"/>
      <c r="T100" s="153"/>
      <c r="U100" s="112"/>
      <c r="V100" s="112"/>
      <c r="W100" s="112"/>
      <c r="X100" s="112"/>
      <c r="Y100" s="112"/>
      <c r="Z100" s="112"/>
      <c r="AA100" s="153" t="s">
        <v>150</v>
      </c>
      <c r="AB100" s="245" t="n">
        <v>2.48</v>
      </c>
      <c r="AC100" s="117" t="s">
        <v>1812</v>
      </c>
      <c r="AD100" s="245" t="n">
        <v>24.2695</v>
      </c>
      <c r="AE100" s="245" t="n">
        <v>75.85659</v>
      </c>
    </row>
    <row r="101" customFormat="false" ht="18.75" hidden="false" customHeight="false" outlineLevel="0" collapsed="false">
      <c r="A101" s="95" t="s">
        <v>39</v>
      </c>
      <c r="B101" s="95" t="s">
        <v>2349</v>
      </c>
      <c r="C101" s="243" t="s">
        <v>2497</v>
      </c>
      <c r="D101" s="95" t="s">
        <v>2500</v>
      </c>
      <c r="E101" s="95" t="n">
        <v>104935</v>
      </c>
      <c r="F101" s="95" t="n">
        <v>264.92</v>
      </c>
      <c r="G101" s="95"/>
      <c r="H101" s="95" t="n">
        <v>0</v>
      </c>
      <c r="I101" s="95"/>
      <c r="J101" s="95"/>
      <c r="K101" s="95"/>
      <c r="L101" s="241"/>
      <c r="M101" s="95"/>
      <c r="N101" s="241" t="e">
        <f aca="false">M101/H101*100</f>
        <v>#DIV/0!</v>
      </c>
      <c r="O101" s="95" t="n">
        <v>2.65</v>
      </c>
      <c r="P101" s="95" t="n">
        <v>0</v>
      </c>
      <c r="Q101" s="248"/>
      <c r="R101" s="248"/>
      <c r="S101" s="112"/>
      <c r="T101" s="249"/>
      <c r="U101" s="112"/>
      <c r="V101" s="112"/>
      <c r="W101" s="112"/>
      <c r="X101" s="112"/>
      <c r="Y101" s="112"/>
      <c r="Z101" s="112"/>
      <c r="AA101" s="249"/>
      <c r="AB101" s="249"/>
      <c r="AC101" s="95"/>
      <c r="AD101" s="95"/>
      <c r="AE101" s="95"/>
    </row>
    <row r="102" customFormat="false" ht="15" hidden="false" customHeight="false" outlineLevel="0" collapsed="false">
      <c r="A102" s="95" t="s">
        <v>39</v>
      </c>
      <c r="B102" s="95" t="s">
        <v>2349</v>
      </c>
      <c r="C102" s="243" t="s">
        <v>2501</v>
      </c>
      <c r="D102" s="95" t="s">
        <v>2502</v>
      </c>
      <c r="E102" s="95" t="n">
        <v>104878</v>
      </c>
      <c r="F102" s="95" t="n">
        <v>577.7</v>
      </c>
      <c r="G102" s="95" t="n">
        <v>235</v>
      </c>
      <c r="H102" s="95" t="n">
        <v>1233</v>
      </c>
      <c r="I102" s="95" t="n">
        <v>620</v>
      </c>
      <c r="J102" s="95" t="n">
        <v>613</v>
      </c>
      <c r="K102" s="95" t="n">
        <v>233</v>
      </c>
      <c r="L102" s="241" t="n">
        <f aca="false">K102/H102*100</f>
        <v>18.89699918897</v>
      </c>
      <c r="M102" s="95" t="n">
        <v>0</v>
      </c>
      <c r="N102" s="241" t="n">
        <f aca="false">M102/H102*100</f>
        <v>0</v>
      </c>
      <c r="O102" s="95" t="n">
        <v>72.67</v>
      </c>
      <c r="P102" s="95" t="n">
        <v>0</v>
      </c>
      <c r="Q102" s="24" t="s">
        <v>45</v>
      </c>
      <c r="R102" s="246" t="n">
        <v>44693</v>
      </c>
      <c r="S102" s="112"/>
      <c r="T102" s="245" t="n">
        <v>53</v>
      </c>
      <c r="U102" s="112"/>
      <c r="V102" s="112"/>
      <c r="W102" s="112"/>
      <c r="X102" s="112"/>
      <c r="Y102" s="112"/>
      <c r="Z102" s="112"/>
      <c r="AA102" s="244" t="s">
        <v>45</v>
      </c>
      <c r="AB102" s="245" t="n">
        <v>20</v>
      </c>
      <c r="AC102" s="231" t="s">
        <v>2503</v>
      </c>
      <c r="AD102" s="245" t="n">
        <v>24.379343</v>
      </c>
      <c r="AE102" s="245" t="n">
        <v>75.928359</v>
      </c>
    </row>
    <row r="103" customFormat="false" ht="15" hidden="false" customHeight="false" outlineLevel="0" collapsed="false">
      <c r="A103" s="95" t="s">
        <v>39</v>
      </c>
      <c r="B103" s="95" t="s">
        <v>2349</v>
      </c>
      <c r="C103" s="243" t="s">
        <v>2501</v>
      </c>
      <c r="D103" s="95" t="s">
        <v>2504</v>
      </c>
      <c r="E103" s="95" t="n">
        <v>104879</v>
      </c>
      <c r="F103" s="95" t="n">
        <v>754.48</v>
      </c>
      <c r="G103" s="95" t="n">
        <v>316</v>
      </c>
      <c r="H103" s="95" t="n">
        <v>1900</v>
      </c>
      <c r="I103" s="95" t="n">
        <v>982</v>
      </c>
      <c r="J103" s="95" t="n">
        <v>918</v>
      </c>
      <c r="K103" s="95" t="n">
        <v>397</v>
      </c>
      <c r="L103" s="241" t="n">
        <f aca="false">K103/H103*100</f>
        <v>20.8947368421053</v>
      </c>
      <c r="M103" s="95" t="n">
        <v>88</v>
      </c>
      <c r="N103" s="241" t="n">
        <f aca="false">M103/H103*100</f>
        <v>4.63157894736842</v>
      </c>
      <c r="O103" s="95" t="n">
        <v>64.76</v>
      </c>
      <c r="P103" s="95" t="n">
        <v>0</v>
      </c>
      <c r="Q103" s="24" t="s">
        <v>45</v>
      </c>
      <c r="R103" s="246" t="n">
        <v>44693</v>
      </c>
      <c r="S103" s="112"/>
      <c r="T103" s="245" t="n">
        <v>54</v>
      </c>
      <c r="U103" s="112"/>
      <c r="V103" s="112"/>
      <c r="W103" s="112"/>
      <c r="X103" s="112"/>
      <c r="Y103" s="112"/>
      <c r="Z103" s="112"/>
      <c r="AA103" s="244" t="s">
        <v>45</v>
      </c>
      <c r="AB103" s="245" t="n">
        <v>10</v>
      </c>
      <c r="AC103" s="231" t="s">
        <v>2397</v>
      </c>
      <c r="AD103" s="245" t="n">
        <v>24.373676</v>
      </c>
      <c r="AE103" s="245" t="n">
        <v>75.899291</v>
      </c>
    </row>
    <row r="104" customFormat="false" ht="15" hidden="false" customHeight="false" outlineLevel="0" collapsed="false">
      <c r="A104" s="95" t="s">
        <v>39</v>
      </c>
      <c r="B104" s="95" t="s">
        <v>2349</v>
      </c>
      <c r="C104" s="243" t="s">
        <v>2501</v>
      </c>
      <c r="D104" s="95" t="s">
        <v>2505</v>
      </c>
      <c r="E104" s="95" t="n">
        <v>104911</v>
      </c>
      <c r="F104" s="95" t="n">
        <v>813.94</v>
      </c>
      <c r="G104" s="95" t="n">
        <v>401</v>
      </c>
      <c r="H104" s="95" t="n">
        <v>2072</v>
      </c>
      <c r="I104" s="95" t="n">
        <v>1021</v>
      </c>
      <c r="J104" s="95" t="n">
        <v>1051</v>
      </c>
      <c r="K104" s="95" t="n">
        <v>228</v>
      </c>
      <c r="L104" s="241" t="n">
        <f aca="false">K104/H104*100</f>
        <v>11.003861003861</v>
      </c>
      <c r="M104" s="95" t="n">
        <v>0</v>
      </c>
      <c r="N104" s="241" t="n">
        <f aca="false">M104/H104*100</f>
        <v>0</v>
      </c>
      <c r="O104" s="95" t="n">
        <v>90.62</v>
      </c>
      <c r="P104" s="95" t="n">
        <v>0</v>
      </c>
      <c r="Q104" s="24" t="s">
        <v>45</v>
      </c>
      <c r="R104" s="246" t="n">
        <v>44693</v>
      </c>
      <c r="S104" s="112"/>
      <c r="T104" s="245" t="n">
        <v>80</v>
      </c>
      <c r="U104" s="112"/>
      <c r="V104" s="112" t="s">
        <v>49</v>
      </c>
      <c r="W104" s="112" t="s">
        <v>49</v>
      </c>
      <c r="X104" s="112" t="s">
        <v>49</v>
      </c>
      <c r="Y104" s="112" t="s">
        <v>49</v>
      </c>
      <c r="Z104" s="112" t="s">
        <v>49</v>
      </c>
      <c r="AA104" s="244" t="s">
        <v>45</v>
      </c>
      <c r="AB104" s="245" t="n">
        <v>10</v>
      </c>
      <c r="AC104" s="231" t="s">
        <v>2506</v>
      </c>
      <c r="AD104" s="245" t="n">
        <v>24.345654</v>
      </c>
      <c r="AE104" s="245" t="n">
        <v>75.902122</v>
      </c>
    </row>
    <row r="105" customFormat="false" ht="15" hidden="false" customHeight="false" outlineLevel="0" collapsed="false">
      <c r="A105" s="95" t="s">
        <v>39</v>
      </c>
      <c r="B105" s="95" t="s">
        <v>2349</v>
      </c>
      <c r="C105" s="243" t="s">
        <v>2507</v>
      </c>
      <c r="D105" s="95" t="s">
        <v>2508</v>
      </c>
      <c r="E105" s="95" t="n">
        <v>104929</v>
      </c>
      <c r="F105" s="95" t="n">
        <v>420.34</v>
      </c>
      <c r="G105" s="95" t="n">
        <v>91</v>
      </c>
      <c r="H105" s="95" t="n">
        <v>528</v>
      </c>
      <c r="I105" s="95" t="n">
        <v>266</v>
      </c>
      <c r="J105" s="95" t="n">
        <v>262</v>
      </c>
      <c r="K105" s="95" t="n">
        <v>113</v>
      </c>
      <c r="L105" s="241" t="n">
        <f aca="false">K105/H105*100</f>
        <v>21.4015151515152</v>
      </c>
      <c r="M105" s="95" t="n">
        <v>1</v>
      </c>
      <c r="N105" s="241" t="n">
        <f aca="false">M105/H105*100</f>
        <v>0.189393939393939</v>
      </c>
      <c r="O105" s="95" t="n">
        <v>64.41</v>
      </c>
      <c r="P105" s="95" t="n">
        <v>0</v>
      </c>
      <c r="Q105" s="10" t="s">
        <v>45</v>
      </c>
      <c r="R105" s="117" t="s">
        <v>1964</v>
      </c>
      <c r="S105" s="112"/>
      <c r="T105" s="10" t="n">
        <v>52</v>
      </c>
      <c r="U105" s="112"/>
      <c r="V105" s="112"/>
      <c r="W105" s="112"/>
      <c r="X105" s="112"/>
      <c r="Y105" s="112"/>
      <c r="Z105" s="112"/>
      <c r="AA105" s="244" t="s">
        <v>45</v>
      </c>
      <c r="AB105" s="245" t="n">
        <v>12</v>
      </c>
      <c r="AC105" s="117" t="s">
        <v>2509</v>
      </c>
      <c r="AD105" s="10" t="n">
        <v>24.30571</v>
      </c>
      <c r="AE105" s="10" t="n">
        <v>75.907005</v>
      </c>
    </row>
    <row r="106" customFormat="false" ht="15" hidden="false" customHeight="false" outlineLevel="0" collapsed="false">
      <c r="A106" s="95" t="s">
        <v>39</v>
      </c>
      <c r="B106" s="95" t="s">
        <v>2349</v>
      </c>
      <c r="C106" s="243" t="s">
        <v>2507</v>
      </c>
      <c r="D106" s="95" t="s">
        <v>2508</v>
      </c>
      <c r="E106" s="95"/>
      <c r="F106" s="95"/>
      <c r="G106" s="95"/>
      <c r="H106" s="95"/>
      <c r="I106" s="95"/>
      <c r="J106" s="95"/>
      <c r="K106" s="95"/>
      <c r="L106" s="241"/>
      <c r="M106" s="95"/>
      <c r="N106" s="241"/>
      <c r="O106" s="95"/>
      <c r="P106" s="95"/>
      <c r="Q106" s="153" t="s">
        <v>45</v>
      </c>
      <c r="R106" s="153" t="s">
        <v>1964</v>
      </c>
      <c r="S106" s="112"/>
      <c r="T106" s="153"/>
      <c r="U106" s="112"/>
      <c r="V106" s="112"/>
      <c r="W106" s="112"/>
      <c r="X106" s="112"/>
      <c r="Y106" s="112"/>
      <c r="Z106" s="112"/>
      <c r="AA106" s="153" t="s">
        <v>82</v>
      </c>
      <c r="AB106" s="153" t="n">
        <v>2.48</v>
      </c>
      <c r="AC106" s="153" t="s">
        <v>859</v>
      </c>
      <c r="AD106" s="153" t="n">
        <v>24.30166</v>
      </c>
      <c r="AE106" s="153" t="n">
        <v>75.90357</v>
      </c>
    </row>
    <row r="107" customFormat="false" ht="15" hidden="false" customHeight="false" outlineLevel="0" collapsed="false">
      <c r="A107" s="95" t="s">
        <v>39</v>
      </c>
      <c r="B107" s="95" t="s">
        <v>2349</v>
      </c>
      <c r="C107" s="243" t="s">
        <v>2507</v>
      </c>
      <c r="D107" s="95" t="s">
        <v>2508</v>
      </c>
      <c r="E107" s="95"/>
      <c r="F107" s="95"/>
      <c r="G107" s="95"/>
      <c r="H107" s="95"/>
      <c r="I107" s="95"/>
      <c r="J107" s="95"/>
      <c r="K107" s="95"/>
      <c r="L107" s="241"/>
      <c r="M107" s="95"/>
      <c r="N107" s="241"/>
      <c r="O107" s="95"/>
      <c r="P107" s="95"/>
      <c r="Q107" s="153" t="s">
        <v>45</v>
      </c>
      <c r="R107" s="153" t="s">
        <v>1964</v>
      </c>
      <c r="S107" s="112"/>
      <c r="T107" s="153"/>
      <c r="U107" s="112"/>
      <c r="V107" s="112"/>
      <c r="W107" s="112"/>
      <c r="X107" s="112"/>
      <c r="Y107" s="112"/>
      <c r="Z107" s="112"/>
      <c r="AA107" s="153" t="s">
        <v>82</v>
      </c>
      <c r="AB107" s="153" t="n">
        <v>4</v>
      </c>
      <c r="AC107" s="153" t="s">
        <v>859</v>
      </c>
      <c r="AD107" s="153" t="n">
        <v>24.29954</v>
      </c>
      <c r="AE107" s="153" t="n">
        <v>75.90403</v>
      </c>
    </row>
    <row r="108" customFormat="false" ht="15" hidden="false" customHeight="false" outlineLevel="0" collapsed="false">
      <c r="A108" s="95" t="s">
        <v>39</v>
      </c>
      <c r="B108" s="95" t="s">
        <v>2349</v>
      </c>
      <c r="C108" s="243" t="s">
        <v>2507</v>
      </c>
      <c r="D108" s="95" t="s">
        <v>2508</v>
      </c>
      <c r="E108" s="95"/>
      <c r="F108" s="95"/>
      <c r="G108" s="95"/>
      <c r="H108" s="95"/>
      <c r="I108" s="95"/>
      <c r="J108" s="95"/>
      <c r="K108" s="95"/>
      <c r="L108" s="241"/>
      <c r="M108" s="95"/>
      <c r="N108" s="241"/>
      <c r="O108" s="95"/>
      <c r="P108" s="95"/>
      <c r="Q108" s="153" t="s">
        <v>43</v>
      </c>
      <c r="R108" s="117" t="s">
        <v>1964</v>
      </c>
      <c r="S108" s="112"/>
      <c r="T108" s="153"/>
      <c r="U108" s="112"/>
      <c r="V108" s="112"/>
      <c r="W108" s="112"/>
      <c r="X108" s="112"/>
      <c r="Y108" s="112"/>
      <c r="Z108" s="112"/>
      <c r="AA108" s="153" t="s">
        <v>82</v>
      </c>
      <c r="AB108" s="245" t="n">
        <v>15</v>
      </c>
      <c r="AC108" s="151" t="s">
        <v>859</v>
      </c>
      <c r="AD108" s="10" t="n">
        <v>24.29624</v>
      </c>
      <c r="AE108" s="10" t="n">
        <v>75.90379</v>
      </c>
    </row>
    <row r="109" customFormat="false" ht="15" hidden="false" customHeight="false" outlineLevel="0" collapsed="false">
      <c r="A109" s="95" t="s">
        <v>39</v>
      </c>
      <c r="B109" s="95" t="s">
        <v>2349</v>
      </c>
      <c r="C109" s="243" t="s">
        <v>2507</v>
      </c>
      <c r="D109" s="95" t="s">
        <v>2508</v>
      </c>
      <c r="E109" s="95"/>
      <c r="F109" s="95"/>
      <c r="G109" s="95"/>
      <c r="H109" s="95"/>
      <c r="I109" s="95"/>
      <c r="J109" s="95"/>
      <c r="K109" s="95"/>
      <c r="L109" s="241"/>
      <c r="M109" s="95"/>
      <c r="N109" s="241"/>
      <c r="O109" s="95"/>
      <c r="P109" s="95"/>
      <c r="Q109" s="153" t="s">
        <v>43</v>
      </c>
      <c r="R109" s="117" t="s">
        <v>1964</v>
      </c>
      <c r="S109" s="112"/>
      <c r="T109" s="153"/>
      <c r="U109" s="112"/>
      <c r="V109" s="112"/>
      <c r="W109" s="112"/>
      <c r="X109" s="112"/>
      <c r="Y109" s="112"/>
      <c r="Z109" s="112"/>
      <c r="AA109" s="153" t="s">
        <v>82</v>
      </c>
      <c r="AB109" s="153" t="n">
        <v>4</v>
      </c>
      <c r="AC109" s="153" t="s">
        <v>859</v>
      </c>
      <c r="AD109" s="153" t="n">
        <v>24.29657</v>
      </c>
      <c r="AE109" s="153" t="n">
        <v>75.90228</v>
      </c>
    </row>
    <row r="110" customFormat="false" ht="15" hidden="false" customHeight="false" outlineLevel="0" collapsed="false">
      <c r="A110" s="95" t="s">
        <v>39</v>
      </c>
      <c r="B110" s="95" t="s">
        <v>2349</v>
      </c>
      <c r="C110" s="243" t="s">
        <v>2507</v>
      </c>
      <c r="D110" s="95" t="s">
        <v>2508</v>
      </c>
      <c r="E110" s="95"/>
      <c r="F110" s="95"/>
      <c r="G110" s="95"/>
      <c r="H110" s="95"/>
      <c r="I110" s="95"/>
      <c r="J110" s="95"/>
      <c r="K110" s="95"/>
      <c r="L110" s="241"/>
      <c r="M110" s="95"/>
      <c r="N110" s="241"/>
      <c r="O110" s="95"/>
      <c r="P110" s="95"/>
      <c r="Q110" s="153" t="s">
        <v>43</v>
      </c>
      <c r="R110" s="117" t="s">
        <v>1964</v>
      </c>
      <c r="S110" s="112"/>
      <c r="T110" s="153"/>
      <c r="U110" s="112"/>
      <c r="V110" s="112"/>
      <c r="W110" s="112"/>
      <c r="X110" s="112"/>
      <c r="Y110" s="112"/>
      <c r="Z110" s="112"/>
      <c r="AA110" s="153" t="s">
        <v>82</v>
      </c>
      <c r="AB110" s="153" t="n">
        <v>2.48</v>
      </c>
      <c r="AC110" s="153" t="s">
        <v>859</v>
      </c>
      <c r="AD110" s="153" t="n">
        <v>24.29601</v>
      </c>
      <c r="AE110" s="153" t="n">
        <v>75.9042</v>
      </c>
    </row>
    <row r="111" customFormat="false" ht="15" hidden="false" customHeight="false" outlineLevel="0" collapsed="false">
      <c r="A111" s="95" t="s">
        <v>39</v>
      </c>
      <c r="B111" s="95" t="s">
        <v>2349</v>
      </c>
      <c r="C111" s="243" t="s">
        <v>2507</v>
      </c>
      <c r="D111" s="95" t="s">
        <v>2508</v>
      </c>
      <c r="E111" s="95"/>
      <c r="F111" s="95"/>
      <c r="G111" s="95"/>
      <c r="H111" s="95"/>
      <c r="I111" s="95"/>
      <c r="J111" s="95"/>
      <c r="K111" s="95"/>
      <c r="L111" s="241"/>
      <c r="M111" s="95"/>
      <c r="N111" s="241"/>
      <c r="O111" s="95"/>
      <c r="P111" s="95"/>
      <c r="Q111" s="153" t="s">
        <v>43</v>
      </c>
      <c r="R111" s="117" t="s">
        <v>1964</v>
      </c>
      <c r="S111" s="112"/>
      <c r="T111" s="153"/>
      <c r="U111" s="112"/>
      <c r="V111" s="112"/>
      <c r="W111" s="112"/>
      <c r="X111" s="112"/>
      <c r="Y111" s="112"/>
      <c r="Z111" s="112"/>
      <c r="AA111" s="153" t="s">
        <v>82</v>
      </c>
      <c r="AB111" s="153" t="n">
        <v>2.8</v>
      </c>
      <c r="AC111" s="153" t="s">
        <v>859</v>
      </c>
      <c r="AD111" s="153" t="n">
        <v>24.29877</v>
      </c>
      <c r="AE111" s="153" t="n">
        <v>75.90347</v>
      </c>
    </row>
    <row r="112" customFormat="false" ht="15" hidden="false" customHeight="false" outlineLevel="0" collapsed="false">
      <c r="A112" s="95" t="s">
        <v>39</v>
      </c>
      <c r="B112" s="95" t="s">
        <v>2349</v>
      </c>
      <c r="C112" s="243" t="s">
        <v>2507</v>
      </c>
      <c r="D112" s="95" t="s">
        <v>2508</v>
      </c>
      <c r="E112" s="95"/>
      <c r="F112" s="95"/>
      <c r="G112" s="95"/>
      <c r="H112" s="95"/>
      <c r="I112" s="95"/>
      <c r="J112" s="95"/>
      <c r="K112" s="95"/>
      <c r="L112" s="241"/>
      <c r="M112" s="95"/>
      <c r="N112" s="241"/>
      <c r="O112" s="95"/>
      <c r="P112" s="95"/>
      <c r="Q112" s="153" t="s">
        <v>43</v>
      </c>
      <c r="R112" s="117" t="s">
        <v>1964</v>
      </c>
      <c r="S112" s="112"/>
      <c r="T112" s="153"/>
      <c r="U112" s="112"/>
      <c r="V112" s="112"/>
      <c r="W112" s="112"/>
      <c r="X112" s="112"/>
      <c r="Y112" s="112"/>
      <c r="Z112" s="112"/>
      <c r="AA112" s="153" t="s">
        <v>82</v>
      </c>
      <c r="AB112" s="245" t="n">
        <v>2.48</v>
      </c>
      <c r="AC112" s="117" t="s">
        <v>1812</v>
      </c>
      <c r="AD112" s="10" t="n">
        <v>24.30803</v>
      </c>
      <c r="AE112" s="10" t="n">
        <v>75.90087</v>
      </c>
    </row>
    <row r="113" customFormat="false" ht="15" hidden="false" customHeight="false" outlineLevel="0" collapsed="false">
      <c r="A113" s="95" t="s">
        <v>39</v>
      </c>
      <c r="B113" s="95" t="s">
        <v>2349</v>
      </c>
      <c r="C113" s="243" t="s">
        <v>2507</v>
      </c>
      <c r="D113" s="95" t="s">
        <v>2508</v>
      </c>
      <c r="E113" s="95"/>
      <c r="F113" s="95"/>
      <c r="G113" s="95"/>
      <c r="H113" s="95"/>
      <c r="I113" s="95"/>
      <c r="J113" s="95"/>
      <c r="K113" s="95"/>
      <c r="L113" s="241"/>
      <c r="M113" s="95"/>
      <c r="N113" s="241"/>
      <c r="O113" s="95"/>
      <c r="P113" s="95"/>
      <c r="Q113" s="153" t="s">
        <v>43</v>
      </c>
      <c r="R113" s="117" t="s">
        <v>1964</v>
      </c>
      <c r="S113" s="112"/>
      <c r="T113" s="153"/>
      <c r="U113" s="112"/>
      <c r="V113" s="112"/>
      <c r="W113" s="112"/>
      <c r="X113" s="112"/>
      <c r="Y113" s="112"/>
      <c r="Z113" s="112"/>
      <c r="AA113" s="153" t="s">
        <v>82</v>
      </c>
      <c r="AB113" s="245" t="n">
        <v>2.48</v>
      </c>
      <c r="AC113" s="117" t="s">
        <v>1812</v>
      </c>
      <c r="AD113" s="10" t="n">
        <v>24.30108</v>
      </c>
      <c r="AE113" s="10" t="n">
        <v>75.90411</v>
      </c>
    </row>
    <row r="114" customFormat="false" ht="15" hidden="false" customHeight="false" outlineLevel="0" collapsed="false">
      <c r="A114" s="95" t="s">
        <v>39</v>
      </c>
      <c r="B114" s="95" t="s">
        <v>2349</v>
      </c>
      <c r="C114" s="243" t="s">
        <v>2507</v>
      </c>
      <c r="D114" s="95" t="s">
        <v>2508</v>
      </c>
      <c r="E114" s="95"/>
      <c r="F114" s="95"/>
      <c r="G114" s="95"/>
      <c r="H114" s="95"/>
      <c r="I114" s="95"/>
      <c r="J114" s="95"/>
      <c r="K114" s="95"/>
      <c r="L114" s="241"/>
      <c r="M114" s="95"/>
      <c r="N114" s="241"/>
      <c r="O114" s="95"/>
      <c r="P114" s="95"/>
      <c r="Q114" s="153" t="s">
        <v>43</v>
      </c>
      <c r="R114" s="117" t="s">
        <v>1964</v>
      </c>
      <c r="S114" s="112"/>
      <c r="T114" s="153"/>
      <c r="U114" s="112"/>
      <c r="V114" s="112"/>
      <c r="W114" s="112"/>
      <c r="X114" s="112"/>
      <c r="Y114" s="112"/>
      <c r="Z114" s="112"/>
      <c r="AA114" s="153" t="s">
        <v>82</v>
      </c>
      <c r="AB114" s="245" t="n">
        <v>2.48</v>
      </c>
      <c r="AC114" s="117" t="s">
        <v>1812</v>
      </c>
      <c r="AD114" s="10" t="n">
        <v>24.29931</v>
      </c>
      <c r="AE114" s="10" t="n">
        <v>75.89266</v>
      </c>
    </row>
    <row r="115" customFormat="false" ht="15" hidden="false" customHeight="false" outlineLevel="0" collapsed="false">
      <c r="A115" s="95" t="s">
        <v>39</v>
      </c>
      <c r="B115" s="95" t="s">
        <v>2349</v>
      </c>
      <c r="C115" s="243" t="s">
        <v>2507</v>
      </c>
      <c r="D115" s="95" t="s">
        <v>2508</v>
      </c>
      <c r="E115" s="95"/>
      <c r="F115" s="95"/>
      <c r="G115" s="95"/>
      <c r="H115" s="95"/>
      <c r="I115" s="95"/>
      <c r="J115" s="95"/>
      <c r="K115" s="95"/>
      <c r="L115" s="241"/>
      <c r="M115" s="95"/>
      <c r="N115" s="241"/>
      <c r="O115" s="95"/>
      <c r="P115" s="95"/>
      <c r="Q115" s="153" t="s">
        <v>43</v>
      </c>
      <c r="R115" s="117" t="s">
        <v>1964</v>
      </c>
      <c r="S115" s="112"/>
      <c r="T115" s="153"/>
      <c r="U115" s="112"/>
      <c r="V115" s="112"/>
      <c r="W115" s="112"/>
      <c r="X115" s="112"/>
      <c r="Y115" s="112"/>
      <c r="Z115" s="112"/>
      <c r="AA115" s="153" t="s">
        <v>82</v>
      </c>
      <c r="AB115" s="245" t="n">
        <v>2.48</v>
      </c>
      <c r="AC115" s="117" t="s">
        <v>1812</v>
      </c>
      <c r="AD115" s="10" t="n">
        <v>24.29948</v>
      </c>
      <c r="AE115" s="10" t="n">
        <v>75.89472</v>
      </c>
    </row>
    <row r="116" customFormat="false" ht="15" hidden="false" customHeight="false" outlineLevel="0" collapsed="false">
      <c r="A116" s="95" t="s">
        <v>39</v>
      </c>
      <c r="B116" s="95" t="s">
        <v>2349</v>
      </c>
      <c r="C116" s="243" t="s">
        <v>2507</v>
      </c>
      <c r="D116" s="95" t="s">
        <v>2508</v>
      </c>
      <c r="E116" s="95"/>
      <c r="F116" s="95"/>
      <c r="G116" s="95"/>
      <c r="H116" s="95"/>
      <c r="I116" s="95"/>
      <c r="J116" s="95"/>
      <c r="K116" s="95"/>
      <c r="L116" s="241"/>
      <c r="M116" s="95"/>
      <c r="N116" s="241"/>
      <c r="O116" s="95"/>
      <c r="P116" s="95"/>
      <c r="Q116" s="153" t="s">
        <v>43</v>
      </c>
      <c r="R116" s="117" t="s">
        <v>1964</v>
      </c>
      <c r="S116" s="112"/>
      <c r="T116" s="153"/>
      <c r="U116" s="112"/>
      <c r="V116" s="112"/>
      <c r="W116" s="112"/>
      <c r="X116" s="112"/>
      <c r="Y116" s="112"/>
      <c r="Z116" s="112"/>
      <c r="AA116" s="153" t="s">
        <v>82</v>
      </c>
      <c r="AB116" s="245" t="n">
        <v>2.48</v>
      </c>
      <c r="AC116" s="117" t="s">
        <v>1812</v>
      </c>
      <c r="AD116" s="10" t="n">
        <v>24.30113</v>
      </c>
      <c r="AE116" s="10" t="n">
        <v>75.89628</v>
      </c>
    </row>
    <row r="117" customFormat="false" ht="15" hidden="false" customHeight="false" outlineLevel="0" collapsed="false">
      <c r="A117" s="95" t="s">
        <v>39</v>
      </c>
      <c r="B117" s="95" t="s">
        <v>2349</v>
      </c>
      <c r="C117" s="243" t="s">
        <v>2507</v>
      </c>
      <c r="D117" s="95" t="s">
        <v>2508</v>
      </c>
      <c r="E117" s="95"/>
      <c r="F117" s="95"/>
      <c r="G117" s="95"/>
      <c r="H117" s="95"/>
      <c r="I117" s="95"/>
      <c r="J117" s="95"/>
      <c r="K117" s="95"/>
      <c r="L117" s="241"/>
      <c r="M117" s="95"/>
      <c r="N117" s="241"/>
      <c r="O117" s="95"/>
      <c r="P117" s="95"/>
      <c r="Q117" s="153" t="s">
        <v>43</v>
      </c>
      <c r="R117" s="117" t="s">
        <v>2510</v>
      </c>
      <c r="S117" s="112"/>
      <c r="T117" s="153"/>
      <c r="U117" s="112"/>
      <c r="V117" s="112"/>
      <c r="W117" s="112"/>
      <c r="X117" s="112"/>
      <c r="Y117" s="112"/>
      <c r="Z117" s="112"/>
      <c r="AA117" s="245"/>
      <c r="AB117" s="245"/>
      <c r="AC117" s="117" t="s">
        <v>859</v>
      </c>
      <c r="AD117" s="10" t="n">
        <v>24.29213</v>
      </c>
      <c r="AE117" s="10" t="n">
        <v>75.90381</v>
      </c>
    </row>
    <row r="118" customFormat="false" ht="15" hidden="false" customHeight="false" outlineLevel="0" collapsed="false">
      <c r="A118" s="95" t="s">
        <v>39</v>
      </c>
      <c r="B118" s="95" t="s">
        <v>2349</v>
      </c>
      <c r="C118" s="243" t="s">
        <v>2507</v>
      </c>
      <c r="D118" s="95" t="s">
        <v>2511</v>
      </c>
      <c r="E118" s="95" t="n">
        <v>104930</v>
      </c>
      <c r="F118" s="95" t="n">
        <v>447.85</v>
      </c>
      <c r="G118" s="95" t="n">
        <v>97</v>
      </c>
      <c r="H118" s="95" t="n">
        <v>548</v>
      </c>
      <c r="I118" s="95" t="n">
        <v>269</v>
      </c>
      <c r="J118" s="95" t="n">
        <v>279</v>
      </c>
      <c r="K118" s="95" t="n">
        <v>245</v>
      </c>
      <c r="L118" s="241" t="n">
        <f aca="false">K118/H118*100</f>
        <v>44.7080291970803</v>
      </c>
      <c r="M118" s="95" t="n">
        <v>0</v>
      </c>
      <c r="N118" s="241"/>
      <c r="O118" s="95" t="n">
        <v>70.21</v>
      </c>
      <c r="P118" s="95" t="n">
        <v>0</v>
      </c>
      <c r="Q118" s="10" t="s">
        <v>45</v>
      </c>
      <c r="R118" s="117" t="s">
        <v>1964</v>
      </c>
      <c r="S118" s="112"/>
      <c r="T118" s="10" t="n">
        <v>60</v>
      </c>
      <c r="U118" s="112"/>
      <c r="V118" s="112"/>
      <c r="W118" s="112"/>
      <c r="X118" s="112"/>
      <c r="Y118" s="112"/>
      <c r="Z118" s="112"/>
      <c r="AA118" s="244" t="s">
        <v>45</v>
      </c>
      <c r="AB118" s="245" t="n">
        <v>10</v>
      </c>
      <c r="AC118" s="117" t="s">
        <v>2512</v>
      </c>
      <c r="AD118" s="10" t="n">
        <v>24.2089</v>
      </c>
      <c r="AE118" s="10" t="n">
        <v>75.7151</v>
      </c>
    </row>
    <row r="119" customFormat="false" ht="15" hidden="false" customHeight="false" outlineLevel="0" collapsed="false">
      <c r="A119" s="95" t="s">
        <v>39</v>
      </c>
      <c r="B119" s="95" t="s">
        <v>2349</v>
      </c>
      <c r="C119" s="243" t="s">
        <v>2507</v>
      </c>
      <c r="D119" s="95" t="s">
        <v>2511</v>
      </c>
      <c r="E119" s="95"/>
      <c r="F119" s="95"/>
      <c r="G119" s="95"/>
      <c r="H119" s="95"/>
      <c r="I119" s="95"/>
      <c r="J119" s="95"/>
      <c r="K119" s="95"/>
      <c r="L119" s="241"/>
      <c r="M119" s="95"/>
      <c r="N119" s="241"/>
      <c r="O119" s="95"/>
      <c r="P119" s="95"/>
      <c r="Q119" s="10" t="s">
        <v>45</v>
      </c>
      <c r="R119" s="117" t="s">
        <v>1964</v>
      </c>
      <c r="S119" s="112"/>
      <c r="T119" s="153"/>
      <c r="U119" s="112"/>
      <c r="V119" s="112"/>
      <c r="W119" s="112"/>
      <c r="X119" s="112"/>
      <c r="Y119" s="112"/>
      <c r="Z119" s="112"/>
      <c r="AA119" s="153" t="s">
        <v>82</v>
      </c>
      <c r="AB119" s="153" t="n">
        <v>4</v>
      </c>
      <c r="AC119" s="153" t="s">
        <v>859</v>
      </c>
      <c r="AD119" s="153" t="n">
        <v>24.27523</v>
      </c>
      <c r="AE119" s="153" t="n">
        <v>75.89081</v>
      </c>
    </row>
    <row r="120" customFormat="false" ht="15" hidden="false" customHeight="false" outlineLevel="0" collapsed="false">
      <c r="A120" s="95" t="s">
        <v>39</v>
      </c>
      <c r="B120" s="95" t="s">
        <v>2349</v>
      </c>
      <c r="C120" s="243" t="s">
        <v>2507</v>
      </c>
      <c r="D120" s="95" t="s">
        <v>2511</v>
      </c>
      <c r="E120" s="95"/>
      <c r="F120" s="95"/>
      <c r="G120" s="95"/>
      <c r="H120" s="95"/>
      <c r="I120" s="95"/>
      <c r="J120" s="95"/>
      <c r="K120" s="95"/>
      <c r="L120" s="241"/>
      <c r="M120" s="95"/>
      <c r="N120" s="241"/>
      <c r="O120" s="95"/>
      <c r="P120" s="95"/>
      <c r="Q120" s="153" t="s">
        <v>45</v>
      </c>
      <c r="R120" s="153" t="s">
        <v>1964</v>
      </c>
      <c r="S120" s="112"/>
      <c r="T120" s="153"/>
      <c r="U120" s="112"/>
      <c r="V120" s="112"/>
      <c r="W120" s="112"/>
      <c r="X120" s="112"/>
      <c r="Y120" s="112"/>
      <c r="Z120" s="112"/>
      <c r="AA120" s="153" t="s">
        <v>82</v>
      </c>
      <c r="AB120" s="153" t="n">
        <v>9.92</v>
      </c>
      <c r="AC120" s="153" t="s">
        <v>859</v>
      </c>
      <c r="AD120" s="153" t="n">
        <v>24.2769</v>
      </c>
      <c r="AE120" s="153" t="n">
        <v>75.89159</v>
      </c>
    </row>
    <row r="121" customFormat="false" ht="15" hidden="false" customHeight="false" outlineLevel="0" collapsed="false">
      <c r="A121" s="95" t="s">
        <v>39</v>
      </c>
      <c r="B121" s="95" t="s">
        <v>2349</v>
      </c>
      <c r="C121" s="243" t="s">
        <v>2507</v>
      </c>
      <c r="D121" s="95" t="s">
        <v>2511</v>
      </c>
      <c r="E121" s="95"/>
      <c r="F121" s="95"/>
      <c r="G121" s="95"/>
      <c r="H121" s="95"/>
      <c r="I121" s="95"/>
      <c r="J121" s="95"/>
      <c r="K121" s="95"/>
      <c r="L121" s="241"/>
      <c r="M121" s="95"/>
      <c r="N121" s="241"/>
      <c r="O121" s="95"/>
      <c r="P121" s="95"/>
      <c r="Q121" s="153" t="s">
        <v>45</v>
      </c>
      <c r="R121" s="153" t="s">
        <v>1964</v>
      </c>
      <c r="S121" s="112"/>
      <c r="T121" s="153"/>
      <c r="U121" s="112"/>
      <c r="V121" s="112"/>
      <c r="W121" s="112"/>
      <c r="X121" s="112"/>
      <c r="Y121" s="112"/>
      <c r="Z121" s="112"/>
      <c r="AA121" s="153" t="s">
        <v>82</v>
      </c>
      <c r="AB121" s="153" t="n">
        <v>2.48</v>
      </c>
      <c r="AC121" s="153" t="s">
        <v>859</v>
      </c>
      <c r="AD121" s="153" t="n">
        <v>24.27604</v>
      </c>
      <c r="AE121" s="153" t="n">
        <v>75.89861</v>
      </c>
    </row>
    <row r="122" customFormat="false" ht="15" hidden="false" customHeight="false" outlineLevel="0" collapsed="false">
      <c r="A122" s="95" t="s">
        <v>39</v>
      </c>
      <c r="B122" s="95" t="s">
        <v>2349</v>
      </c>
      <c r="C122" s="243" t="s">
        <v>2507</v>
      </c>
      <c r="D122" s="95" t="s">
        <v>2511</v>
      </c>
      <c r="E122" s="250"/>
      <c r="F122" s="250"/>
      <c r="G122" s="250"/>
      <c r="H122" s="250"/>
      <c r="I122" s="250"/>
      <c r="J122" s="250"/>
      <c r="K122" s="250"/>
      <c r="L122" s="241"/>
      <c r="M122" s="250"/>
      <c r="N122" s="241"/>
      <c r="O122" s="250"/>
      <c r="P122" s="250"/>
      <c r="Q122" s="153" t="s">
        <v>43</v>
      </c>
      <c r="R122" s="117" t="s">
        <v>1964</v>
      </c>
      <c r="S122" s="112"/>
      <c r="T122" s="250"/>
      <c r="U122" s="112"/>
      <c r="V122" s="112"/>
      <c r="W122" s="112"/>
      <c r="X122" s="112"/>
      <c r="Y122" s="112"/>
      <c r="Z122" s="112"/>
      <c r="AA122" s="153" t="s">
        <v>82</v>
      </c>
      <c r="AB122" s="245" t="n">
        <v>2.48</v>
      </c>
      <c r="AC122" s="153" t="s">
        <v>859</v>
      </c>
      <c r="AD122" s="10" t="n">
        <v>24.28956</v>
      </c>
      <c r="AE122" s="10" t="n">
        <v>75.90371</v>
      </c>
    </row>
    <row r="123" customFormat="false" ht="15" hidden="false" customHeight="false" outlineLevel="0" collapsed="false">
      <c r="A123" s="95" t="s">
        <v>39</v>
      </c>
      <c r="B123" s="95" t="s">
        <v>2349</v>
      </c>
      <c r="C123" s="243" t="s">
        <v>2507</v>
      </c>
      <c r="D123" s="95" t="s">
        <v>2511</v>
      </c>
      <c r="E123" s="250"/>
      <c r="F123" s="250"/>
      <c r="G123" s="250"/>
      <c r="H123" s="250"/>
      <c r="I123" s="250"/>
      <c r="J123" s="250"/>
      <c r="K123" s="250"/>
      <c r="L123" s="241"/>
      <c r="M123" s="250"/>
      <c r="N123" s="241"/>
      <c r="O123" s="250"/>
      <c r="P123" s="250"/>
      <c r="Q123" s="153" t="s">
        <v>43</v>
      </c>
      <c r="R123" s="117" t="s">
        <v>1964</v>
      </c>
      <c r="S123" s="112"/>
      <c r="T123" s="250"/>
      <c r="U123" s="112"/>
      <c r="V123" s="112"/>
      <c r="W123" s="112"/>
      <c r="X123" s="112"/>
      <c r="Y123" s="112"/>
      <c r="Z123" s="112"/>
      <c r="AA123" s="153" t="s">
        <v>82</v>
      </c>
      <c r="AB123" s="153" t="n">
        <v>2</v>
      </c>
      <c r="AC123" s="153" t="s">
        <v>859</v>
      </c>
      <c r="AD123" s="153" t="n">
        <v>24.27889</v>
      </c>
      <c r="AE123" s="153" t="n">
        <v>75.89456</v>
      </c>
    </row>
    <row r="124" customFormat="false" ht="15" hidden="false" customHeight="false" outlineLevel="0" collapsed="false">
      <c r="A124" s="95" t="s">
        <v>39</v>
      </c>
      <c r="B124" s="95" t="s">
        <v>2349</v>
      </c>
      <c r="C124" s="243" t="s">
        <v>2507</v>
      </c>
      <c r="D124" s="95" t="s">
        <v>2511</v>
      </c>
      <c r="E124" s="250"/>
      <c r="F124" s="250"/>
      <c r="G124" s="250"/>
      <c r="H124" s="250"/>
      <c r="I124" s="250"/>
      <c r="J124" s="250"/>
      <c r="K124" s="250"/>
      <c r="L124" s="241"/>
      <c r="M124" s="250"/>
      <c r="N124" s="241"/>
      <c r="O124" s="250"/>
      <c r="P124" s="250"/>
      <c r="Q124" s="153" t="s">
        <v>43</v>
      </c>
      <c r="R124" s="117" t="s">
        <v>1964</v>
      </c>
      <c r="S124" s="112"/>
      <c r="T124" s="250"/>
      <c r="U124" s="112"/>
      <c r="V124" s="112"/>
      <c r="W124" s="112"/>
      <c r="X124" s="112"/>
      <c r="Y124" s="112"/>
      <c r="Z124" s="112"/>
      <c r="AA124" s="153" t="s">
        <v>82</v>
      </c>
      <c r="AB124" s="245" t="n">
        <v>2</v>
      </c>
      <c r="AC124" s="117" t="s">
        <v>1812</v>
      </c>
      <c r="AD124" s="10" t="n">
        <v>24.28751</v>
      </c>
      <c r="AE124" s="10" t="n">
        <v>75.90186</v>
      </c>
    </row>
    <row r="125" customFormat="false" ht="15" hidden="false" customHeight="false" outlineLevel="0" collapsed="false">
      <c r="A125" s="95" t="s">
        <v>39</v>
      </c>
      <c r="B125" s="95" t="s">
        <v>2349</v>
      </c>
      <c r="C125" s="243" t="s">
        <v>2507</v>
      </c>
      <c r="D125" s="95" t="s">
        <v>2511</v>
      </c>
      <c r="E125" s="250"/>
      <c r="F125" s="250"/>
      <c r="G125" s="250"/>
      <c r="H125" s="250"/>
      <c r="I125" s="250"/>
      <c r="J125" s="250"/>
      <c r="K125" s="250"/>
      <c r="L125" s="241"/>
      <c r="M125" s="250"/>
      <c r="N125" s="241"/>
      <c r="O125" s="250"/>
      <c r="P125" s="250"/>
      <c r="Q125" s="153" t="s">
        <v>43</v>
      </c>
      <c r="R125" s="117" t="s">
        <v>1964</v>
      </c>
      <c r="S125" s="112"/>
      <c r="T125" s="250"/>
      <c r="U125" s="112"/>
      <c r="V125" s="112"/>
      <c r="W125" s="112"/>
      <c r="X125" s="112"/>
      <c r="Y125" s="112"/>
      <c r="Z125" s="112"/>
      <c r="AA125" s="153" t="s">
        <v>82</v>
      </c>
      <c r="AB125" s="245" t="n">
        <v>2</v>
      </c>
      <c r="AC125" s="117" t="s">
        <v>1812</v>
      </c>
      <c r="AD125" s="10" t="n">
        <v>24.28848</v>
      </c>
      <c r="AE125" s="10" t="n">
        <v>75.90256</v>
      </c>
    </row>
    <row r="126" customFormat="false" ht="15" hidden="false" customHeight="false" outlineLevel="0" collapsed="false">
      <c r="A126" s="95" t="s">
        <v>39</v>
      </c>
      <c r="B126" s="95" t="s">
        <v>2349</v>
      </c>
      <c r="C126" s="243" t="s">
        <v>2507</v>
      </c>
      <c r="D126" s="95" t="s">
        <v>2513</v>
      </c>
      <c r="E126" s="95" t="n">
        <v>104936</v>
      </c>
      <c r="F126" s="95" t="n">
        <v>343.68</v>
      </c>
      <c r="G126" s="95" t="n">
        <v>199</v>
      </c>
      <c r="H126" s="95" t="n">
        <v>1108</v>
      </c>
      <c r="I126" s="95" t="n">
        <v>548</v>
      </c>
      <c r="J126" s="95" t="n">
        <v>560</v>
      </c>
      <c r="K126" s="95" t="n">
        <v>237</v>
      </c>
      <c r="L126" s="241" t="n">
        <f aca="false">K126/H126*100</f>
        <v>21.3898916967509</v>
      </c>
      <c r="M126" s="95" t="n">
        <v>0</v>
      </c>
      <c r="N126" s="241" t="n">
        <f aca="false">M126/H126*100</f>
        <v>0</v>
      </c>
      <c r="O126" s="95" t="n">
        <v>60.07</v>
      </c>
      <c r="P126" s="95" t="n">
        <v>37.66</v>
      </c>
      <c r="Q126" s="10" t="s">
        <v>45</v>
      </c>
      <c r="R126" s="117" t="s">
        <v>1964</v>
      </c>
      <c r="S126" s="112"/>
      <c r="T126" s="10" t="n">
        <v>42</v>
      </c>
      <c r="U126" s="112"/>
      <c r="V126" s="112"/>
      <c r="W126" s="112"/>
      <c r="X126" s="112"/>
      <c r="Y126" s="112"/>
      <c r="Z126" s="112"/>
      <c r="AA126" s="244" t="s">
        <v>45</v>
      </c>
      <c r="AB126" s="245" t="n">
        <v>18</v>
      </c>
      <c r="AC126" s="117" t="s">
        <v>2514</v>
      </c>
      <c r="AD126" s="10" t="n">
        <v>24.26521</v>
      </c>
      <c r="AE126" s="10" t="n">
        <v>75.869396</v>
      </c>
    </row>
    <row r="127" customFormat="false" ht="15" hidden="false" customHeight="false" outlineLevel="0" collapsed="false">
      <c r="A127" s="95" t="s">
        <v>39</v>
      </c>
      <c r="B127" s="95" t="s">
        <v>2349</v>
      </c>
      <c r="C127" s="243" t="s">
        <v>2507</v>
      </c>
      <c r="D127" s="95" t="s">
        <v>2515</v>
      </c>
      <c r="E127" s="95" t="n">
        <v>104937</v>
      </c>
      <c r="F127" s="95" t="n">
        <v>165.71</v>
      </c>
      <c r="G127" s="95" t="n">
        <v>65</v>
      </c>
      <c r="H127" s="95" t="n">
        <v>337</v>
      </c>
      <c r="I127" s="95" t="n">
        <v>177</v>
      </c>
      <c r="J127" s="95" t="n">
        <v>160</v>
      </c>
      <c r="K127" s="95" t="n">
        <v>112</v>
      </c>
      <c r="L127" s="241" t="n">
        <f aca="false">K127/H127*100</f>
        <v>33.2344213649852</v>
      </c>
      <c r="M127" s="95" t="n">
        <v>0</v>
      </c>
      <c r="N127" s="241" t="n">
        <f aca="false">M127/H127*100</f>
        <v>0</v>
      </c>
      <c r="O127" s="95" t="n">
        <v>48.65</v>
      </c>
      <c r="P127" s="95" t="n">
        <v>0</v>
      </c>
      <c r="Q127" s="10" t="s">
        <v>45</v>
      </c>
      <c r="R127" s="117" t="s">
        <v>1964</v>
      </c>
      <c r="S127" s="112"/>
      <c r="T127" s="10" t="n">
        <v>39</v>
      </c>
      <c r="U127" s="112"/>
      <c r="V127" s="112"/>
      <c r="W127" s="112"/>
      <c r="X127" s="112"/>
      <c r="Y127" s="112"/>
      <c r="Z127" s="112"/>
      <c r="AA127" s="244" t="s">
        <v>45</v>
      </c>
      <c r="AB127" s="245" t="n">
        <v>9</v>
      </c>
      <c r="AC127" s="117" t="s">
        <v>2416</v>
      </c>
      <c r="AD127" s="10" t="n">
        <v>24.2688</v>
      </c>
      <c r="AE127" s="10" t="n">
        <v>75.8463</v>
      </c>
    </row>
    <row r="128" customFormat="false" ht="15" hidden="false" customHeight="false" outlineLevel="0" collapsed="false">
      <c r="A128" s="95" t="s">
        <v>39</v>
      </c>
      <c r="B128" s="95" t="s">
        <v>2349</v>
      </c>
      <c r="C128" s="243" t="s">
        <v>2507</v>
      </c>
      <c r="D128" s="95" t="s">
        <v>2515</v>
      </c>
      <c r="E128" s="95"/>
      <c r="F128" s="95"/>
      <c r="G128" s="95"/>
      <c r="H128" s="95"/>
      <c r="I128" s="95"/>
      <c r="J128" s="95"/>
      <c r="K128" s="95"/>
      <c r="L128" s="241"/>
      <c r="M128" s="95"/>
      <c r="N128" s="241"/>
      <c r="O128" s="95"/>
      <c r="P128" s="95"/>
      <c r="Q128" s="153" t="s">
        <v>45</v>
      </c>
      <c r="R128" s="153" t="s">
        <v>1964</v>
      </c>
      <c r="S128" s="112"/>
      <c r="T128" s="153"/>
      <c r="U128" s="112"/>
      <c r="V128" s="112"/>
      <c r="W128" s="112"/>
      <c r="X128" s="112"/>
      <c r="Y128" s="112"/>
      <c r="Z128" s="112"/>
      <c r="AA128" s="153" t="s">
        <v>82</v>
      </c>
      <c r="AB128" s="153" t="n">
        <v>6.48</v>
      </c>
      <c r="AC128" s="153" t="s">
        <v>859</v>
      </c>
      <c r="AD128" s="153" t="n">
        <v>24.26426</v>
      </c>
      <c r="AE128" s="153" t="n">
        <v>75.89913</v>
      </c>
    </row>
    <row r="129" customFormat="false" ht="15" hidden="false" customHeight="false" outlineLevel="0" collapsed="false">
      <c r="A129" s="95" t="s">
        <v>39</v>
      </c>
      <c r="B129" s="95" t="s">
        <v>2349</v>
      </c>
      <c r="C129" s="243" t="s">
        <v>2507</v>
      </c>
      <c r="D129" s="95" t="s">
        <v>2515</v>
      </c>
      <c r="E129" s="95"/>
      <c r="F129" s="95"/>
      <c r="G129" s="95"/>
      <c r="H129" s="95"/>
      <c r="I129" s="95"/>
      <c r="J129" s="95"/>
      <c r="K129" s="95"/>
      <c r="L129" s="241"/>
      <c r="M129" s="95"/>
      <c r="N129" s="241"/>
      <c r="O129" s="95"/>
      <c r="P129" s="95"/>
      <c r="Q129" s="153" t="s">
        <v>43</v>
      </c>
      <c r="R129" s="117" t="s">
        <v>1964</v>
      </c>
      <c r="S129" s="112"/>
      <c r="T129" s="153"/>
      <c r="U129" s="112"/>
      <c r="V129" s="112"/>
      <c r="W129" s="112"/>
      <c r="X129" s="112"/>
      <c r="Y129" s="112"/>
      <c r="Z129" s="112"/>
      <c r="AA129" s="153" t="s">
        <v>82</v>
      </c>
      <c r="AB129" s="245" t="n">
        <v>2</v>
      </c>
      <c r="AC129" s="153" t="s">
        <v>859</v>
      </c>
      <c r="AD129" s="10" t="n">
        <v>24.27154</v>
      </c>
      <c r="AE129" s="10" t="n">
        <v>75.89797</v>
      </c>
    </row>
    <row r="130" customFormat="false" ht="15" hidden="false" customHeight="false" outlineLevel="0" collapsed="false">
      <c r="A130" s="95" t="s">
        <v>39</v>
      </c>
      <c r="B130" s="95" t="s">
        <v>2349</v>
      </c>
      <c r="C130" s="243" t="s">
        <v>2507</v>
      </c>
      <c r="D130" s="95" t="s">
        <v>2515</v>
      </c>
      <c r="E130" s="95"/>
      <c r="F130" s="95"/>
      <c r="G130" s="95"/>
      <c r="H130" s="95"/>
      <c r="I130" s="95"/>
      <c r="J130" s="95"/>
      <c r="K130" s="95"/>
      <c r="L130" s="241"/>
      <c r="M130" s="95"/>
      <c r="N130" s="241"/>
      <c r="O130" s="95"/>
      <c r="P130" s="95"/>
      <c r="Q130" s="153" t="s">
        <v>43</v>
      </c>
      <c r="R130" s="153" t="s">
        <v>2510</v>
      </c>
      <c r="S130" s="112"/>
      <c r="T130" s="153"/>
      <c r="U130" s="112"/>
      <c r="V130" s="112"/>
      <c r="W130" s="112"/>
      <c r="X130" s="112"/>
      <c r="Y130" s="112"/>
      <c r="Z130" s="112"/>
      <c r="AA130" s="153" t="s">
        <v>82</v>
      </c>
      <c r="AB130" s="153" t="n">
        <v>2</v>
      </c>
      <c r="AC130" s="153" t="s">
        <v>859</v>
      </c>
      <c r="AD130" s="153" t="n">
        <v>24.26811</v>
      </c>
      <c r="AE130" s="153" t="n">
        <v>75.89425</v>
      </c>
    </row>
    <row r="131" customFormat="false" ht="15" hidden="false" customHeight="false" outlineLevel="0" collapsed="false">
      <c r="A131" s="95" t="s">
        <v>39</v>
      </c>
      <c r="B131" s="95" t="s">
        <v>2349</v>
      </c>
      <c r="C131" s="243" t="s">
        <v>2507</v>
      </c>
      <c r="D131" s="95" t="s">
        <v>2515</v>
      </c>
      <c r="E131" s="95"/>
      <c r="F131" s="95"/>
      <c r="G131" s="95"/>
      <c r="H131" s="95"/>
      <c r="I131" s="95"/>
      <c r="J131" s="95"/>
      <c r="K131" s="95"/>
      <c r="L131" s="241"/>
      <c r="M131" s="95"/>
      <c r="N131" s="241"/>
      <c r="O131" s="95"/>
      <c r="P131" s="95"/>
      <c r="Q131" s="153" t="s">
        <v>43</v>
      </c>
      <c r="R131" s="153" t="s">
        <v>2510</v>
      </c>
      <c r="S131" s="112"/>
      <c r="T131" s="153"/>
      <c r="U131" s="112"/>
      <c r="V131" s="112"/>
      <c r="W131" s="112"/>
      <c r="X131" s="112"/>
      <c r="Y131" s="112"/>
      <c r="Z131" s="112"/>
      <c r="AA131" s="153" t="s">
        <v>82</v>
      </c>
      <c r="AB131" s="153" t="n">
        <v>2.8</v>
      </c>
      <c r="AC131" s="153" t="s">
        <v>859</v>
      </c>
      <c r="AD131" s="153" t="n">
        <v>24.26785</v>
      </c>
      <c r="AE131" s="153" t="n">
        <v>75.89356</v>
      </c>
    </row>
    <row r="132" customFormat="false" ht="15" hidden="false" customHeight="false" outlineLevel="0" collapsed="false">
      <c r="A132" s="95" t="s">
        <v>39</v>
      </c>
      <c r="B132" s="95" t="s">
        <v>2349</v>
      </c>
      <c r="C132" s="243" t="s">
        <v>2507</v>
      </c>
      <c r="D132" s="95" t="s">
        <v>2515</v>
      </c>
      <c r="E132" s="95"/>
      <c r="F132" s="95"/>
      <c r="G132" s="95"/>
      <c r="H132" s="95"/>
      <c r="I132" s="95"/>
      <c r="J132" s="95"/>
      <c r="K132" s="95"/>
      <c r="L132" s="241"/>
      <c r="M132" s="95"/>
      <c r="N132" s="241"/>
      <c r="O132" s="95"/>
      <c r="P132" s="95"/>
      <c r="Q132" s="153" t="s">
        <v>43</v>
      </c>
      <c r="R132" s="153" t="s">
        <v>2510</v>
      </c>
      <c r="S132" s="112"/>
      <c r="T132" s="153"/>
      <c r="U132" s="112"/>
      <c r="V132" s="112"/>
      <c r="W132" s="112"/>
      <c r="X132" s="112"/>
      <c r="Y132" s="112"/>
      <c r="Z132" s="112"/>
      <c r="AA132" s="153" t="s">
        <v>82</v>
      </c>
      <c r="AB132" s="153" t="n">
        <v>2.8</v>
      </c>
      <c r="AC132" s="153" t="s">
        <v>859</v>
      </c>
      <c r="AD132" s="153" t="n">
        <v>24.26883</v>
      </c>
      <c r="AE132" s="153" t="n">
        <v>75.89538</v>
      </c>
    </row>
    <row r="133" customFormat="false" ht="15" hidden="false" customHeight="false" outlineLevel="0" collapsed="false">
      <c r="A133" s="95" t="s">
        <v>39</v>
      </c>
      <c r="B133" s="95" t="s">
        <v>2349</v>
      </c>
      <c r="C133" s="243" t="s">
        <v>2507</v>
      </c>
      <c r="D133" s="95" t="s">
        <v>2516</v>
      </c>
      <c r="E133" s="95" t="n">
        <v>104938</v>
      </c>
      <c r="F133" s="95" t="n">
        <v>447.22</v>
      </c>
      <c r="G133" s="95" t="n">
        <v>99</v>
      </c>
      <c r="H133" s="95" t="n">
        <v>476</v>
      </c>
      <c r="I133" s="95" t="n">
        <v>241</v>
      </c>
      <c r="J133" s="95" t="n">
        <v>235</v>
      </c>
      <c r="K133" s="95" t="n">
        <v>13</v>
      </c>
      <c r="L133" s="241" t="n">
        <f aca="false">K133/H133*100</f>
        <v>2.73109243697479</v>
      </c>
      <c r="M133" s="95" t="n">
        <v>0</v>
      </c>
      <c r="N133" s="241"/>
      <c r="O133" s="95" t="n">
        <v>113.69</v>
      </c>
      <c r="P133" s="95" t="n">
        <v>8.5</v>
      </c>
      <c r="Q133" s="10" t="s">
        <v>45</v>
      </c>
      <c r="R133" s="117" t="s">
        <v>1964</v>
      </c>
      <c r="S133" s="112"/>
      <c r="T133" s="10" t="n">
        <v>52</v>
      </c>
      <c r="U133" s="112"/>
      <c r="V133" s="112"/>
      <c r="W133" s="112"/>
      <c r="X133" s="112"/>
      <c r="Y133" s="112"/>
      <c r="Z133" s="112"/>
      <c r="AA133" s="244" t="s">
        <v>45</v>
      </c>
      <c r="AB133" s="245" t="n">
        <v>20</v>
      </c>
      <c r="AC133" s="117" t="s">
        <v>2517</v>
      </c>
      <c r="AD133" s="10" t="n">
        <v>24.2454</v>
      </c>
      <c r="AE133" s="10" t="n">
        <v>75.8835</v>
      </c>
    </row>
    <row r="134" customFormat="false" ht="15" hidden="false" customHeight="false" outlineLevel="0" collapsed="false">
      <c r="A134" s="95" t="s">
        <v>39</v>
      </c>
      <c r="B134" s="95" t="s">
        <v>2349</v>
      </c>
      <c r="C134" s="243" t="s">
        <v>2507</v>
      </c>
      <c r="D134" s="95" t="s">
        <v>2516</v>
      </c>
      <c r="E134" s="95"/>
      <c r="F134" s="95"/>
      <c r="G134" s="95"/>
      <c r="H134" s="95"/>
      <c r="I134" s="95"/>
      <c r="J134" s="95"/>
      <c r="K134" s="95"/>
      <c r="L134" s="241"/>
      <c r="M134" s="95"/>
      <c r="N134" s="241"/>
      <c r="O134" s="95"/>
      <c r="P134" s="95"/>
      <c r="Q134" s="153" t="s">
        <v>45</v>
      </c>
      <c r="R134" s="153" t="s">
        <v>1964</v>
      </c>
      <c r="S134" s="112"/>
      <c r="T134" s="10"/>
      <c r="U134" s="112"/>
      <c r="V134" s="112"/>
      <c r="W134" s="112"/>
      <c r="X134" s="112"/>
      <c r="Y134" s="112"/>
      <c r="Z134" s="112"/>
      <c r="AA134" s="153" t="s">
        <v>150</v>
      </c>
      <c r="AB134" s="153" t="n">
        <v>23.548</v>
      </c>
      <c r="AC134" s="153" t="s">
        <v>2426</v>
      </c>
      <c r="AD134" s="153" t="n">
        <v>24.24609</v>
      </c>
      <c r="AE134" s="153" t="n">
        <v>75.84377</v>
      </c>
    </row>
    <row r="135" customFormat="false" ht="15" hidden="false" customHeight="false" outlineLevel="0" collapsed="false">
      <c r="A135" s="95" t="s">
        <v>39</v>
      </c>
      <c r="B135" s="95" t="s">
        <v>2349</v>
      </c>
      <c r="C135" s="243" t="s">
        <v>2507</v>
      </c>
      <c r="D135" s="95" t="s">
        <v>2516</v>
      </c>
      <c r="E135" s="95"/>
      <c r="F135" s="95"/>
      <c r="G135" s="95"/>
      <c r="H135" s="95"/>
      <c r="I135" s="95"/>
      <c r="J135" s="95"/>
      <c r="K135" s="95"/>
      <c r="L135" s="241"/>
      <c r="M135" s="95"/>
      <c r="N135" s="241"/>
      <c r="O135" s="95"/>
      <c r="P135" s="95"/>
      <c r="Q135" s="153" t="s">
        <v>45</v>
      </c>
      <c r="R135" s="153" t="s">
        <v>1964</v>
      </c>
      <c r="S135" s="112"/>
      <c r="T135" s="153"/>
      <c r="U135" s="112"/>
      <c r="V135" s="112"/>
      <c r="W135" s="112"/>
      <c r="X135" s="112"/>
      <c r="Y135" s="112"/>
      <c r="Z135" s="112"/>
      <c r="AA135" s="153" t="s">
        <v>150</v>
      </c>
      <c r="AB135" s="153" t="n">
        <v>2.48</v>
      </c>
      <c r="AC135" s="153" t="s">
        <v>859</v>
      </c>
      <c r="AD135" s="153" t="n">
        <v>24.25219</v>
      </c>
      <c r="AE135" s="153" t="n">
        <v>75.88902</v>
      </c>
    </row>
    <row r="136" customFormat="false" ht="15" hidden="false" customHeight="false" outlineLevel="0" collapsed="false">
      <c r="A136" s="95" t="s">
        <v>39</v>
      </c>
      <c r="B136" s="95" t="s">
        <v>2349</v>
      </c>
      <c r="C136" s="243" t="s">
        <v>2507</v>
      </c>
      <c r="D136" s="95" t="s">
        <v>2516</v>
      </c>
      <c r="E136" s="95"/>
      <c r="F136" s="95"/>
      <c r="G136" s="95"/>
      <c r="H136" s="95"/>
      <c r="I136" s="95"/>
      <c r="J136" s="95"/>
      <c r="K136" s="95"/>
      <c r="L136" s="241"/>
      <c r="M136" s="95"/>
      <c r="N136" s="241"/>
      <c r="O136" s="95"/>
      <c r="P136" s="95"/>
      <c r="Q136" s="153" t="s">
        <v>43</v>
      </c>
      <c r="R136" s="117" t="s">
        <v>1964</v>
      </c>
      <c r="S136" s="112"/>
      <c r="T136" s="153"/>
      <c r="U136" s="112"/>
      <c r="V136" s="112"/>
      <c r="W136" s="112"/>
      <c r="X136" s="112"/>
      <c r="Y136" s="112"/>
      <c r="Z136" s="112"/>
      <c r="AA136" s="153" t="s">
        <v>150</v>
      </c>
      <c r="AB136" s="10" t="n">
        <v>2.48</v>
      </c>
      <c r="AC136" s="117" t="s">
        <v>1812</v>
      </c>
      <c r="AD136" s="10" t="n">
        <v>24.25118</v>
      </c>
      <c r="AE136" s="10" t="n">
        <v>75.88842</v>
      </c>
    </row>
    <row r="137" customFormat="false" ht="15" hidden="false" customHeight="false" outlineLevel="0" collapsed="false">
      <c r="A137" s="95" t="s">
        <v>39</v>
      </c>
      <c r="B137" s="95" t="s">
        <v>2349</v>
      </c>
      <c r="C137" s="243" t="s">
        <v>2507</v>
      </c>
      <c r="D137" s="95" t="s">
        <v>2516</v>
      </c>
      <c r="E137" s="95"/>
      <c r="F137" s="95"/>
      <c r="G137" s="95"/>
      <c r="H137" s="95"/>
      <c r="I137" s="95"/>
      <c r="J137" s="95"/>
      <c r="K137" s="95"/>
      <c r="L137" s="241"/>
      <c r="M137" s="95"/>
      <c r="N137" s="241"/>
      <c r="O137" s="95"/>
      <c r="P137" s="95"/>
      <c r="Q137" s="153" t="s">
        <v>43</v>
      </c>
      <c r="R137" s="153" t="s">
        <v>2510</v>
      </c>
      <c r="S137" s="112"/>
      <c r="T137" s="153"/>
      <c r="U137" s="112"/>
      <c r="V137" s="112"/>
      <c r="W137" s="112"/>
      <c r="X137" s="112"/>
      <c r="Y137" s="112"/>
      <c r="Z137" s="112"/>
      <c r="AA137" s="153" t="s">
        <v>150</v>
      </c>
      <c r="AB137" s="245" t="n">
        <v>2</v>
      </c>
      <c r="AC137" s="153" t="s">
        <v>859</v>
      </c>
      <c r="AD137" s="10" t="n">
        <v>24.24978</v>
      </c>
      <c r="AE137" s="10" t="n">
        <v>75.88751</v>
      </c>
    </row>
    <row r="138" customFormat="false" ht="15" hidden="false" customHeight="false" outlineLevel="0" collapsed="false">
      <c r="A138" s="95" t="s">
        <v>39</v>
      </c>
      <c r="B138" s="95" t="s">
        <v>2349</v>
      </c>
      <c r="C138" s="243" t="s">
        <v>2507</v>
      </c>
      <c r="D138" s="95" t="s">
        <v>1749</v>
      </c>
      <c r="E138" s="95" t="n">
        <v>104931</v>
      </c>
      <c r="F138" s="95" t="n">
        <v>333.09</v>
      </c>
      <c r="G138" s="95" t="n">
        <v>44</v>
      </c>
      <c r="H138" s="95" t="n">
        <v>220</v>
      </c>
      <c r="I138" s="95" t="n">
        <v>119</v>
      </c>
      <c r="J138" s="95" t="n">
        <v>101</v>
      </c>
      <c r="K138" s="95" t="n">
        <v>0</v>
      </c>
      <c r="L138" s="241" t="n">
        <f aca="false">K138/H138*100</f>
        <v>0</v>
      </c>
      <c r="M138" s="95" t="n">
        <v>0</v>
      </c>
      <c r="N138" s="241" t="n">
        <f aca="false">M138/H138*100</f>
        <v>0</v>
      </c>
      <c r="O138" s="95" t="n">
        <v>34.75</v>
      </c>
      <c r="P138" s="95" t="n">
        <v>87.73</v>
      </c>
      <c r="Q138" s="10" t="s">
        <v>45</v>
      </c>
      <c r="R138" s="231" t="s">
        <v>1964</v>
      </c>
      <c r="S138" s="112"/>
      <c r="T138" s="10" t="n">
        <v>18</v>
      </c>
      <c r="U138" s="112"/>
      <c r="V138" s="112"/>
      <c r="W138" s="112"/>
      <c r="X138" s="112"/>
      <c r="Y138" s="112"/>
      <c r="Z138" s="112"/>
      <c r="AA138" s="244" t="s">
        <v>45</v>
      </c>
      <c r="AB138" s="245" t="n">
        <v>8</v>
      </c>
      <c r="AC138" s="117" t="s">
        <v>2518</v>
      </c>
      <c r="AD138" s="10" t="n">
        <v>24.2234</v>
      </c>
      <c r="AE138" s="10" t="n">
        <v>75.8789</v>
      </c>
    </row>
    <row r="139" customFormat="false" ht="15" hidden="false" customHeight="false" outlineLevel="0" collapsed="false">
      <c r="A139" s="95" t="s">
        <v>39</v>
      </c>
      <c r="B139" s="95" t="s">
        <v>2349</v>
      </c>
      <c r="C139" s="243" t="s">
        <v>2519</v>
      </c>
      <c r="D139" s="95" t="s">
        <v>2520</v>
      </c>
      <c r="E139" s="95" t="n">
        <v>104889</v>
      </c>
      <c r="F139" s="95" t="n">
        <v>221</v>
      </c>
      <c r="G139" s="95" t="n">
        <v>165</v>
      </c>
      <c r="H139" s="95" t="n">
        <v>801</v>
      </c>
      <c r="I139" s="95" t="n">
        <v>358</v>
      </c>
      <c r="J139" s="95" t="n">
        <v>443</v>
      </c>
      <c r="K139" s="95" t="n">
        <v>57</v>
      </c>
      <c r="L139" s="241" t="n">
        <f aca="false">K139/H139*100</f>
        <v>7.11610486891386</v>
      </c>
      <c r="M139" s="95" t="n">
        <v>0</v>
      </c>
      <c r="N139" s="241" t="n">
        <f aca="false">M139/H139*100</f>
        <v>0</v>
      </c>
      <c r="O139" s="95" t="n">
        <v>15</v>
      </c>
      <c r="P139" s="95" t="n">
        <v>0</v>
      </c>
      <c r="Q139" s="251"/>
      <c r="R139" s="251"/>
      <c r="S139" s="112"/>
      <c r="T139" s="251"/>
      <c r="U139" s="112"/>
      <c r="V139" s="112"/>
      <c r="W139" s="112"/>
      <c r="X139" s="112"/>
      <c r="Y139" s="112"/>
      <c r="Z139" s="112"/>
      <c r="AA139" s="251"/>
      <c r="AB139" s="251"/>
      <c r="AC139" s="95"/>
      <c r="AD139" s="95"/>
      <c r="AE139" s="252"/>
    </row>
    <row r="140" customFormat="false" ht="15" hidden="false" customHeight="false" outlineLevel="0" collapsed="false">
      <c r="A140" s="95" t="s">
        <v>39</v>
      </c>
      <c r="B140" s="95" t="s">
        <v>2349</v>
      </c>
      <c r="C140" s="243" t="s">
        <v>2519</v>
      </c>
      <c r="D140" s="95" t="s">
        <v>2521</v>
      </c>
      <c r="E140" s="95" t="n">
        <v>104892</v>
      </c>
      <c r="F140" s="95" t="n">
        <v>978</v>
      </c>
      <c r="G140" s="95" t="n">
        <v>507</v>
      </c>
      <c r="H140" s="95" t="n">
        <v>2722</v>
      </c>
      <c r="I140" s="95" t="n">
        <v>1417</v>
      </c>
      <c r="J140" s="95" t="n">
        <v>1305</v>
      </c>
      <c r="K140" s="95" t="n">
        <v>1214</v>
      </c>
      <c r="L140" s="241" t="n">
        <f aca="false">K140/H140*100</f>
        <v>44.5995591476855</v>
      </c>
      <c r="M140" s="95" t="n">
        <v>48</v>
      </c>
      <c r="N140" s="241" t="n">
        <f aca="false">M140/H140*100</f>
        <v>1.7634092578986</v>
      </c>
      <c r="O140" s="95" t="n">
        <v>66</v>
      </c>
      <c r="P140" s="95" t="n">
        <v>0</v>
      </c>
      <c r="Q140" s="132" t="s">
        <v>45</v>
      </c>
      <c r="R140" s="227" t="n">
        <v>44905</v>
      </c>
      <c r="S140" s="112"/>
      <c r="T140" s="133" t="n">
        <v>165</v>
      </c>
      <c r="U140" s="112"/>
      <c r="V140" s="112"/>
      <c r="W140" s="112"/>
      <c r="X140" s="112"/>
      <c r="Y140" s="112"/>
      <c r="Z140" s="112"/>
      <c r="AA140" s="244" t="s">
        <v>45</v>
      </c>
      <c r="AB140" s="133" t="n">
        <v>10</v>
      </c>
      <c r="AC140" s="134" t="s">
        <v>2397</v>
      </c>
      <c r="AD140" s="134" t="n">
        <v>24.451404</v>
      </c>
      <c r="AE140" s="134" t="n">
        <v>75.801445</v>
      </c>
    </row>
    <row r="141" customFormat="false" ht="15" hidden="false" customHeight="false" outlineLevel="0" collapsed="false">
      <c r="A141" s="95" t="s">
        <v>39</v>
      </c>
      <c r="B141" s="95" t="s">
        <v>2349</v>
      </c>
      <c r="C141" s="243" t="s">
        <v>2519</v>
      </c>
      <c r="D141" s="95" t="s">
        <v>2522</v>
      </c>
      <c r="E141" s="95" t="n">
        <v>104893</v>
      </c>
      <c r="F141" s="95" t="n">
        <v>164</v>
      </c>
      <c r="G141" s="95" t="n">
        <v>202</v>
      </c>
      <c r="H141" s="95" t="n">
        <v>1074</v>
      </c>
      <c r="I141" s="95" t="n">
        <v>528</v>
      </c>
      <c r="J141" s="95" t="n">
        <v>546</v>
      </c>
      <c r="K141" s="95" t="n">
        <v>57</v>
      </c>
      <c r="L141" s="241" t="n">
        <f aca="false">K141/H141*100</f>
        <v>5.3072625698324</v>
      </c>
      <c r="M141" s="95" t="n">
        <v>0</v>
      </c>
      <c r="N141" s="241" t="n">
        <f aca="false">M141/H141*100</f>
        <v>0</v>
      </c>
      <c r="O141" s="95" t="n">
        <v>23</v>
      </c>
      <c r="P141" s="95" t="n">
        <v>0</v>
      </c>
      <c r="Q141" s="132" t="s">
        <v>45</v>
      </c>
      <c r="R141" s="227" t="n">
        <v>44905</v>
      </c>
      <c r="S141" s="112"/>
      <c r="T141" s="244" t="n">
        <v>100</v>
      </c>
      <c r="U141" s="112"/>
      <c r="V141" s="112"/>
      <c r="W141" s="112"/>
      <c r="X141" s="112"/>
      <c r="Y141" s="112"/>
      <c r="Z141" s="112"/>
      <c r="AA141" s="244" t="s">
        <v>45</v>
      </c>
      <c r="AB141" s="244" t="n">
        <v>5</v>
      </c>
      <c r="AC141" s="134" t="s">
        <v>2457</v>
      </c>
      <c r="AD141" s="134" t="n">
        <v>24.448914</v>
      </c>
      <c r="AE141" s="134" t="n">
        <v>75.779913</v>
      </c>
    </row>
    <row r="142" customFormat="false" ht="15" hidden="false" customHeight="false" outlineLevel="0" collapsed="false">
      <c r="A142" s="95" t="s">
        <v>39</v>
      </c>
      <c r="B142" s="95" t="s">
        <v>2349</v>
      </c>
      <c r="C142" s="243" t="s">
        <v>2523</v>
      </c>
      <c r="D142" s="95" t="s">
        <v>1198</v>
      </c>
      <c r="E142" s="95" t="n">
        <v>104961</v>
      </c>
      <c r="F142" s="95" t="n">
        <v>286.58</v>
      </c>
      <c r="G142" s="95" t="n">
        <v>149</v>
      </c>
      <c r="H142" s="95" t="n">
        <v>701</v>
      </c>
      <c r="I142" s="95" t="n">
        <v>334</v>
      </c>
      <c r="J142" s="95" t="n">
        <v>367</v>
      </c>
      <c r="K142" s="95" t="n">
        <v>483</v>
      </c>
      <c r="L142" s="241" t="n">
        <f aca="false">K142/H142*100</f>
        <v>68.9015691868759</v>
      </c>
      <c r="M142" s="95" t="n">
        <v>7</v>
      </c>
      <c r="N142" s="241" t="n">
        <f aca="false">M142/H142*100</f>
        <v>0.998573466476462</v>
      </c>
      <c r="O142" s="95" t="n">
        <v>31.32</v>
      </c>
      <c r="P142" s="95" t="n">
        <v>0</v>
      </c>
      <c r="Q142" s="153" t="s">
        <v>43</v>
      </c>
      <c r="R142" s="153" t="s">
        <v>2524</v>
      </c>
      <c r="S142" s="112"/>
      <c r="T142" s="153" t="n">
        <v>31.2712</v>
      </c>
      <c r="U142" s="112"/>
      <c r="V142" s="112"/>
      <c r="W142" s="112"/>
      <c r="X142" s="112"/>
      <c r="Y142" s="112"/>
      <c r="Z142" s="112"/>
      <c r="AA142" s="153" t="s">
        <v>47</v>
      </c>
      <c r="AB142" s="153"/>
      <c r="AC142" s="253" t="s">
        <v>859</v>
      </c>
      <c r="AD142" s="153" t="n">
        <v>24.15338</v>
      </c>
      <c r="AE142" s="153" t="n">
        <v>75.867913</v>
      </c>
    </row>
    <row r="143" customFormat="false" ht="15" hidden="false" customHeight="false" outlineLevel="0" collapsed="false">
      <c r="A143" s="95" t="s">
        <v>39</v>
      </c>
      <c r="B143" s="95" t="s">
        <v>2349</v>
      </c>
      <c r="C143" s="243" t="s">
        <v>2523</v>
      </c>
      <c r="D143" s="95" t="s">
        <v>2052</v>
      </c>
      <c r="E143" s="95" t="n">
        <v>104965</v>
      </c>
      <c r="F143" s="95" t="n">
        <v>1045.34</v>
      </c>
      <c r="G143" s="95" t="n">
        <v>775</v>
      </c>
      <c r="H143" s="95" t="n">
        <v>3800</v>
      </c>
      <c r="I143" s="95" t="n">
        <v>1972</v>
      </c>
      <c r="J143" s="95" t="n">
        <v>1828</v>
      </c>
      <c r="K143" s="95" t="n">
        <v>912</v>
      </c>
      <c r="L143" s="241" t="n">
        <f aca="false">K143/H143*100</f>
        <v>24</v>
      </c>
      <c r="M143" s="95" t="n">
        <v>2</v>
      </c>
      <c r="N143" s="241" t="n">
        <f aca="false">M143/H143*100</f>
        <v>0.0526315789473684</v>
      </c>
      <c r="O143" s="95" t="n">
        <v>86.49</v>
      </c>
      <c r="P143" s="95" t="n">
        <v>1.55</v>
      </c>
      <c r="Q143" s="153" t="s">
        <v>43</v>
      </c>
      <c r="R143" s="153" t="s">
        <v>2524</v>
      </c>
      <c r="S143" s="112"/>
      <c r="T143" s="153" t="n">
        <v>86.4666</v>
      </c>
      <c r="U143" s="112"/>
      <c r="V143" s="112"/>
      <c r="W143" s="112"/>
      <c r="X143" s="112"/>
      <c r="Y143" s="112"/>
      <c r="Z143" s="112"/>
      <c r="AA143" s="153" t="s">
        <v>47</v>
      </c>
      <c r="AB143" s="153"/>
      <c r="AC143" s="253" t="s">
        <v>859</v>
      </c>
      <c r="AD143" s="153" t="n">
        <v>24.1129</v>
      </c>
      <c r="AE143" s="153" t="n">
        <v>75.8574</v>
      </c>
    </row>
    <row r="144" customFormat="false" ht="15" hidden="false" customHeight="false" outlineLevel="0" collapsed="false">
      <c r="A144" s="95" t="s">
        <v>39</v>
      </c>
      <c r="B144" s="95" t="s">
        <v>2349</v>
      </c>
      <c r="C144" s="243" t="s">
        <v>2523</v>
      </c>
      <c r="D144" s="95" t="s">
        <v>2525</v>
      </c>
      <c r="E144" s="95" t="n">
        <v>104966</v>
      </c>
      <c r="F144" s="95" t="n">
        <v>211.11</v>
      </c>
      <c r="G144" s="95" t="n">
        <v>87</v>
      </c>
      <c r="H144" s="95" t="n">
        <v>429</v>
      </c>
      <c r="I144" s="95" t="n">
        <v>221</v>
      </c>
      <c r="J144" s="95" t="n">
        <v>208</v>
      </c>
      <c r="K144" s="95" t="n">
        <v>152</v>
      </c>
      <c r="L144" s="241" t="n">
        <f aca="false">K144/H144*100</f>
        <v>35.4312354312354</v>
      </c>
      <c r="M144" s="95" t="n">
        <v>0</v>
      </c>
      <c r="N144" s="241" t="n">
        <f aca="false">M144/H144*100</f>
        <v>0</v>
      </c>
      <c r="O144" s="95" t="n">
        <v>41.31</v>
      </c>
      <c r="P144" s="95" t="n">
        <v>0</v>
      </c>
      <c r="Q144" s="153" t="s">
        <v>43</v>
      </c>
      <c r="R144" s="153" t="s">
        <v>2524</v>
      </c>
      <c r="S144" s="112"/>
      <c r="T144" s="153" t="n">
        <v>41.2859</v>
      </c>
      <c r="U144" s="112"/>
      <c r="V144" s="112"/>
      <c r="W144" s="112"/>
      <c r="X144" s="112"/>
      <c r="Y144" s="112"/>
      <c r="Z144" s="112"/>
      <c r="AA144" s="153" t="s">
        <v>47</v>
      </c>
      <c r="AB144" s="153"/>
      <c r="AC144" s="253" t="s">
        <v>859</v>
      </c>
      <c r="AD144" s="153" t="n">
        <v>24.1434</v>
      </c>
      <c r="AE144" s="153" t="n">
        <v>75.8618</v>
      </c>
    </row>
    <row r="145" customFormat="false" ht="15" hidden="false" customHeight="false" outlineLevel="0" collapsed="false">
      <c r="A145" s="95" t="s">
        <v>39</v>
      </c>
      <c r="B145" s="95" t="s">
        <v>2349</v>
      </c>
      <c r="C145" s="243" t="s">
        <v>2523</v>
      </c>
      <c r="D145" s="95" t="s">
        <v>2526</v>
      </c>
      <c r="E145" s="95" t="n">
        <v>104967</v>
      </c>
      <c r="F145" s="95" t="n">
        <v>411.63</v>
      </c>
      <c r="G145" s="95" t="n">
        <v>253</v>
      </c>
      <c r="H145" s="95" t="n">
        <v>1302</v>
      </c>
      <c r="I145" s="95" t="n">
        <v>674</v>
      </c>
      <c r="J145" s="95" t="n">
        <v>628</v>
      </c>
      <c r="K145" s="95" t="n">
        <v>250</v>
      </c>
      <c r="L145" s="241" t="n">
        <f aca="false">K145/H145*100</f>
        <v>19.2012288786482</v>
      </c>
      <c r="M145" s="95" t="n">
        <v>1</v>
      </c>
      <c r="N145" s="241" t="n">
        <f aca="false">M145/H145*100</f>
        <v>0.0768049155145929</v>
      </c>
      <c r="O145" s="95" t="n">
        <v>80.54</v>
      </c>
      <c r="P145" s="95" t="n">
        <v>0</v>
      </c>
      <c r="Q145" s="153" t="s">
        <v>43</v>
      </c>
      <c r="R145" s="153" t="s">
        <v>2524</v>
      </c>
      <c r="S145" s="112"/>
      <c r="T145" s="153" t="n">
        <v>80.4601</v>
      </c>
      <c r="U145" s="112"/>
      <c r="V145" s="112"/>
      <c r="W145" s="112"/>
      <c r="X145" s="112"/>
      <c r="Y145" s="112"/>
      <c r="Z145" s="112"/>
      <c r="AA145" s="153" t="s">
        <v>47</v>
      </c>
      <c r="AB145" s="153"/>
      <c r="AC145" s="253" t="s">
        <v>859</v>
      </c>
      <c r="AD145" s="153" t="n">
        <v>24.1128</v>
      </c>
      <c r="AE145" s="153" t="n">
        <v>75.8443</v>
      </c>
    </row>
    <row r="146" customFormat="false" ht="21" hidden="false" customHeight="false" outlineLevel="0" collapsed="false">
      <c r="A146" s="95" t="s">
        <v>39</v>
      </c>
      <c r="B146" s="95" t="s">
        <v>2349</v>
      </c>
      <c r="C146" s="243" t="s">
        <v>2523</v>
      </c>
      <c r="D146" s="95" t="s">
        <v>1083</v>
      </c>
      <c r="E146" s="95" t="n">
        <v>104970</v>
      </c>
      <c r="F146" s="95" t="n">
        <v>303.16</v>
      </c>
      <c r="G146" s="95"/>
      <c r="H146" s="95" t="n">
        <v>0</v>
      </c>
      <c r="I146" s="95"/>
      <c r="J146" s="95"/>
      <c r="K146" s="95"/>
      <c r="L146" s="241"/>
      <c r="M146" s="95"/>
      <c r="N146" s="241"/>
      <c r="O146" s="95" t="n">
        <v>0</v>
      </c>
      <c r="P146" s="95" t="n">
        <v>127.62</v>
      </c>
      <c r="Q146" s="248"/>
      <c r="R146" s="248"/>
      <c r="S146" s="112"/>
      <c r="T146" s="254"/>
      <c r="U146" s="112"/>
      <c r="V146" s="112"/>
      <c r="W146" s="112"/>
      <c r="X146" s="112"/>
      <c r="Y146" s="112"/>
      <c r="Z146" s="112"/>
      <c r="AA146" s="249"/>
      <c r="AB146" s="249"/>
      <c r="AC146" s="95"/>
      <c r="AD146" s="95"/>
      <c r="AE146" s="95"/>
    </row>
    <row r="147" customFormat="false" ht="21" hidden="false" customHeight="false" outlineLevel="0" collapsed="false">
      <c r="A147" s="95" t="s">
        <v>39</v>
      </c>
      <c r="B147" s="95" t="s">
        <v>2349</v>
      </c>
      <c r="C147" s="243" t="s">
        <v>2527</v>
      </c>
      <c r="D147" s="95" t="s">
        <v>281</v>
      </c>
      <c r="E147" s="95" t="n">
        <v>104844</v>
      </c>
      <c r="F147" s="95" t="n">
        <v>383.26</v>
      </c>
      <c r="G147" s="95"/>
      <c r="H147" s="95" t="n">
        <v>0</v>
      </c>
      <c r="I147" s="95"/>
      <c r="J147" s="95"/>
      <c r="K147" s="95"/>
      <c r="L147" s="241"/>
      <c r="M147" s="95"/>
      <c r="N147" s="241"/>
      <c r="O147" s="95" t="n">
        <v>17.54</v>
      </c>
      <c r="P147" s="95" t="n">
        <v>0</v>
      </c>
      <c r="Q147" s="248"/>
      <c r="R147" s="248"/>
      <c r="S147" s="112"/>
      <c r="T147" s="254"/>
      <c r="U147" s="112"/>
      <c r="V147" s="112"/>
      <c r="W147" s="112"/>
      <c r="X147" s="112"/>
      <c r="Y147" s="112"/>
      <c r="Z147" s="112"/>
      <c r="AA147" s="249"/>
      <c r="AB147" s="249"/>
      <c r="AC147" s="95"/>
      <c r="AD147" s="95"/>
      <c r="AE147" s="95"/>
    </row>
    <row r="148" customFormat="false" ht="15" hidden="false" customHeight="false" outlineLevel="0" collapsed="false">
      <c r="A148" s="95" t="s">
        <v>39</v>
      </c>
      <c r="B148" s="95" t="s">
        <v>2349</v>
      </c>
      <c r="C148" s="243" t="s">
        <v>2527</v>
      </c>
      <c r="D148" s="95" t="s">
        <v>2528</v>
      </c>
      <c r="E148" s="95" t="n">
        <v>104850</v>
      </c>
      <c r="F148" s="95" t="n">
        <v>1026.25</v>
      </c>
      <c r="G148" s="95" t="n">
        <v>436</v>
      </c>
      <c r="H148" s="95" t="n">
        <v>2511</v>
      </c>
      <c r="I148" s="95" t="n">
        <v>1277</v>
      </c>
      <c r="J148" s="95" t="n">
        <v>1234</v>
      </c>
      <c r="K148" s="95" t="n">
        <v>323</v>
      </c>
      <c r="L148" s="241" t="n">
        <f aca="false">K148/H148*100</f>
        <v>12.863401035444</v>
      </c>
      <c r="M148" s="95" t="n">
        <v>44</v>
      </c>
      <c r="N148" s="241" t="n">
        <f aca="false">M148/H148*100</f>
        <v>1.75228992433294</v>
      </c>
      <c r="O148" s="95" t="n">
        <v>60.06</v>
      </c>
      <c r="P148" s="95" t="n">
        <v>0</v>
      </c>
      <c r="Q148" s="153" t="s">
        <v>45</v>
      </c>
      <c r="R148" s="153" t="s">
        <v>1037</v>
      </c>
      <c r="S148" s="112"/>
      <c r="T148" s="153" t="n">
        <v>36.4934</v>
      </c>
      <c r="U148" s="112"/>
      <c r="V148" s="112"/>
      <c r="W148" s="112"/>
      <c r="X148" s="112"/>
      <c r="Y148" s="112"/>
      <c r="Z148" s="112"/>
      <c r="AA148" s="153" t="s">
        <v>272</v>
      </c>
      <c r="AB148" s="153" t="n">
        <v>0</v>
      </c>
      <c r="AC148" s="172" t="s">
        <v>859</v>
      </c>
      <c r="AD148" s="153"/>
      <c r="AE148" s="153"/>
    </row>
    <row r="149" customFormat="false" ht="15" hidden="false" customHeight="false" outlineLevel="0" collapsed="false">
      <c r="A149" s="95" t="s">
        <v>39</v>
      </c>
      <c r="B149" s="95" t="s">
        <v>2349</v>
      </c>
      <c r="C149" s="243" t="s">
        <v>2527</v>
      </c>
      <c r="D149" s="95" t="s">
        <v>2529</v>
      </c>
      <c r="E149" s="95" t="n">
        <v>104851</v>
      </c>
      <c r="F149" s="95" t="n">
        <v>740.99</v>
      </c>
      <c r="G149" s="95" t="n">
        <v>253</v>
      </c>
      <c r="H149" s="95" t="n">
        <v>1293</v>
      </c>
      <c r="I149" s="95" t="n">
        <v>669</v>
      </c>
      <c r="J149" s="95" t="n">
        <v>624</v>
      </c>
      <c r="K149" s="95" t="n">
        <v>349</v>
      </c>
      <c r="L149" s="241" t="n">
        <f aca="false">K149/H149*100</f>
        <v>26.9914926527456</v>
      </c>
      <c r="M149" s="95" t="n">
        <v>40</v>
      </c>
      <c r="N149" s="241" t="n">
        <f aca="false">M149/H149*100</f>
        <v>3.09358081979892</v>
      </c>
      <c r="O149" s="95" t="n">
        <v>43.3</v>
      </c>
      <c r="P149" s="95" t="n">
        <v>0</v>
      </c>
      <c r="Q149" s="153" t="s">
        <v>45</v>
      </c>
      <c r="R149" s="153" t="s">
        <v>1037</v>
      </c>
      <c r="S149" s="112"/>
      <c r="T149" s="153" t="n">
        <v>43.3853</v>
      </c>
      <c r="U149" s="112"/>
      <c r="V149" s="112"/>
      <c r="W149" s="112"/>
      <c r="X149" s="112"/>
      <c r="Y149" s="112"/>
      <c r="Z149" s="112"/>
      <c r="AA149" s="153" t="s">
        <v>272</v>
      </c>
      <c r="AB149" s="153" t="n">
        <v>0</v>
      </c>
      <c r="AC149" s="172" t="s">
        <v>859</v>
      </c>
      <c r="AD149" s="153"/>
      <c r="AE149" s="153"/>
    </row>
    <row r="150" customFormat="false" ht="15" hidden="false" customHeight="false" outlineLevel="0" collapsed="false">
      <c r="A150" s="95" t="s">
        <v>39</v>
      </c>
      <c r="B150" s="95" t="s">
        <v>2349</v>
      </c>
      <c r="C150" s="243" t="s">
        <v>2527</v>
      </c>
      <c r="D150" s="95" t="s">
        <v>498</v>
      </c>
      <c r="E150" s="95" t="n">
        <v>104845</v>
      </c>
      <c r="F150" s="95" t="n">
        <v>218.3</v>
      </c>
      <c r="G150" s="95"/>
      <c r="H150" s="95" t="n">
        <v>0</v>
      </c>
      <c r="I150" s="95"/>
      <c r="J150" s="95"/>
      <c r="K150" s="95"/>
      <c r="L150" s="241"/>
      <c r="M150" s="95"/>
      <c r="N150" s="241"/>
      <c r="O150" s="95" t="n">
        <v>0</v>
      </c>
      <c r="P150" s="95" t="n">
        <v>0</v>
      </c>
      <c r="Q150" s="153" t="s">
        <v>45</v>
      </c>
      <c r="R150" s="153" t="s">
        <v>1037</v>
      </c>
      <c r="S150" s="112"/>
      <c r="T150" s="153" t="n">
        <v>14.9337</v>
      </c>
      <c r="U150" s="112"/>
      <c r="V150" s="112"/>
      <c r="W150" s="112"/>
      <c r="X150" s="112"/>
      <c r="Y150" s="112"/>
      <c r="Z150" s="112"/>
      <c r="AA150" s="153" t="s">
        <v>272</v>
      </c>
      <c r="AB150" s="153" t="n">
        <v>0</v>
      </c>
      <c r="AC150" s="172" t="s">
        <v>859</v>
      </c>
      <c r="AD150" s="153"/>
      <c r="AE150" s="153"/>
    </row>
    <row r="151" customFormat="false" ht="15" hidden="false" customHeight="false" outlineLevel="0" collapsed="false">
      <c r="A151" s="95" t="s">
        <v>39</v>
      </c>
      <c r="B151" s="95" t="s">
        <v>2349</v>
      </c>
      <c r="C151" s="243" t="s">
        <v>2527</v>
      </c>
      <c r="D151" s="95" t="s">
        <v>1553</v>
      </c>
      <c r="E151" s="95" t="n">
        <v>104846</v>
      </c>
      <c r="F151" s="95" t="n">
        <v>607.9</v>
      </c>
      <c r="G151" s="95" t="n">
        <v>398</v>
      </c>
      <c r="H151" s="95" t="n">
        <v>1835</v>
      </c>
      <c r="I151" s="95" t="n">
        <v>964</v>
      </c>
      <c r="J151" s="95" t="n">
        <v>871</v>
      </c>
      <c r="K151" s="95" t="n">
        <v>457</v>
      </c>
      <c r="L151" s="241" t="n">
        <f aca="false">K151/H151*100</f>
        <v>24.9046321525886</v>
      </c>
      <c r="M151" s="95" t="n">
        <v>0</v>
      </c>
      <c r="N151" s="241" t="n">
        <f aca="false">M151/H151*100</f>
        <v>0</v>
      </c>
      <c r="O151" s="95" t="n">
        <v>111.16</v>
      </c>
      <c r="P151" s="95" t="n">
        <v>0</v>
      </c>
      <c r="Q151" s="153" t="s">
        <v>45</v>
      </c>
      <c r="R151" s="153" t="s">
        <v>1037</v>
      </c>
      <c r="S151" s="112"/>
      <c r="T151" s="153" t="n">
        <v>20.4595</v>
      </c>
      <c r="U151" s="112"/>
      <c r="V151" s="112"/>
      <c r="W151" s="112"/>
      <c r="X151" s="112"/>
      <c r="Y151" s="112"/>
      <c r="Z151" s="112"/>
      <c r="AA151" s="153" t="s">
        <v>272</v>
      </c>
      <c r="AB151" s="153" t="n">
        <v>0</v>
      </c>
      <c r="AC151" s="172" t="s">
        <v>859</v>
      </c>
      <c r="AD151" s="153"/>
      <c r="AE151" s="153"/>
    </row>
    <row r="152" customFormat="false" ht="15" hidden="false" customHeight="false" outlineLevel="0" collapsed="false">
      <c r="A152" s="95" t="s">
        <v>39</v>
      </c>
      <c r="B152" s="95" t="s">
        <v>2349</v>
      </c>
      <c r="C152" s="243" t="s">
        <v>2530</v>
      </c>
      <c r="D152" s="95" t="s">
        <v>2531</v>
      </c>
      <c r="E152" s="95" t="n">
        <v>104902</v>
      </c>
      <c r="F152" s="95" t="n">
        <v>465.08</v>
      </c>
      <c r="G152" s="95" t="n">
        <v>88</v>
      </c>
      <c r="H152" s="95" t="n">
        <v>547</v>
      </c>
      <c r="I152" s="95" t="n">
        <v>269</v>
      </c>
      <c r="J152" s="95" t="n">
        <v>278</v>
      </c>
      <c r="K152" s="95" t="n">
        <v>0</v>
      </c>
      <c r="L152" s="241" t="n">
        <f aca="false">K152/H152*100</f>
        <v>0</v>
      </c>
      <c r="M152" s="95" t="n">
        <v>0</v>
      </c>
      <c r="N152" s="241" t="n">
        <f aca="false">M152/H152*100</f>
        <v>0</v>
      </c>
      <c r="O152" s="95" t="n">
        <v>48.46</v>
      </c>
      <c r="P152" s="95" t="n">
        <v>108.4</v>
      </c>
      <c r="Q152" s="24" t="s">
        <v>45</v>
      </c>
      <c r="R152" s="246" t="n">
        <v>44693</v>
      </c>
      <c r="S152" s="112"/>
      <c r="T152" s="245" t="n">
        <v>1</v>
      </c>
      <c r="U152" s="112"/>
      <c r="V152" s="112"/>
      <c r="W152" s="112"/>
      <c r="X152" s="112"/>
      <c r="Y152" s="112"/>
      <c r="Z152" s="112"/>
      <c r="AA152" s="244" t="s">
        <v>45</v>
      </c>
      <c r="AB152" s="245" t="n">
        <v>3</v>
      </c>
      <c r="AC152" s="117" t="s">
        <v>2532</v>
      </c>
      <c r="AD152" s="245" t="n">
        <v>24.345111</v>
      </c>
      <c r="AE152" s="245" t="n">
        <v>75.78978</v>
      </c>
    </row>
    <row r="153" customFormat="false" ht="15" hidden="false" customHeight="false" outlineLevel="0" collapsed="false">
      <c r="A153" s="95" t="s">
        <v>39</v>
      </c>
      <c r="B153" s="95" t="s">
        <v>2349</v>
      </c>
      <c r="C153" s="243" t="s">
        <v>2530</v>
      </c>
      <c r="D153" s="95" t="s">
        <v>2531</v>
      </c>
      <c r="E153" s="95"/>
      <c r="F153" s="95"/>
      <c r="G153" s="95"/>
      <c r="H153" s="95"/>
      <c r="I153" s="95"/>
      <c r="J153" s="95"/>
      <c r="K153" s="95"/>
      <c r="L153" s="241"/>
      <c r="M153" s="95"/>
      <c r="N153" s="241"/>
      <c r="O153" s="95"/>
      <c r="P153" s="95"/>
      <c r="Q153" s="153" t="s">
        <v>45</v>
      </c>
      <c r="R153" s="171" t="n">
        <v>44693</v>
      </c>
      <c r="S153" s="112"/>
      <c r="T153" s="245"/>
      <c r="U153" s="112"/>
      <c r="V153" s="112"/>
      <c r="W153" s="112"/>
      <c r="X153" s="112"/>
      <c r="Y153" s="112"/>
      <c r="Z153" s="112"/>
      <c r="AA153" s="153" t="s">
        <v>150</v>
      </c>
      <c r="AB153" s="153" t="n">
        <v>2.424</v>
      </c>
      <c r="AC153" s="153" t="s">
        <v>2426</v>
      </c>
      <c r="AD153" s="153" t="n">
        <v>24.34305</v>
      </c>
      <c r="AE153" s="153" t="n">
        <v>75.7698</v>
      </c>
    </row>
    <row r="154" customFormat="false" ht="15" hidden="false" customHeight="false" outlineLevel="0" collapsed="false">
      <c r="A154" s="95" t="s">
        <v>39</v>
      </c>
      <c r="B154" s="95" t="s">
        <v>2349</v>
      </c>
      <c r="C154" s="243" t="s">
        <v>2530</v>
      </c>
      <c r="D154" s="95" t="s">
        <v>2533</v>
      </c>
      <c r="E154" s="95" t="n">
        <v>104918</v>
      </c>
      <c r="F154" s="95" t="n">
        <v>2221.89</v>
      </c>
      <c r="G154" s="95" t="n">
        <v>615</v>
      </c>
      <c r="H154" s="95" t="n">
        <v>3314</v>
      </c>
      <c r="I154" s="95" t="n">
        <v>1696</v>
      </c>
      <c r="J154" s="95" t="n">
        <v>1618</v>
      </c>
      <c r="K154" s="95" t="n">
        <v>185</v>
      </c>
      <c r="L154" s="241" t="n">
        <f aca="false">K154/H154*100</f>
        <v>5.5823777911889</v>
      </c>
      <c r="M154" s="95" t="n">
        <v>22</v>
      </c>
      <c r="N154" s="241" t="n">
        <f aca="false">M154/H154*100</f>
        <v>0.663850331925166</v>
      </c>
      <c r="O154" s="95" t="n">
        <v>296.85</v>
      </c>
      <c r="P154" s="95" t="n">
        <v>423.76</v>
      </c>
      <c r="Q154" s="24" t="s">
        <v>45</v>
      </c>
      <c r="R154" s="246" t="n">
        <v>44693</v>
      </c>
      <c r="S154" s="112"/>
      <c r="T154" s="245" t="n">
        <v>99</v>
      </c>
      <c r="U154" s="112"/>
      <c r="V154" s="112"/>
      <c r="W154" s="112"/>
      <c r="X154" s="112"/>
      <c r="Y154" s="112"/>
      <c r="Z154" s="112"/>
      <c r="AA154" s="244" t="s">
        <v>45</v>
      </c>
      <c r="AB154" s="245" t="n">
        <v>3</v>
      </c>
      <c r="AC154" s="117" t="s">
        <v>2534</v>
      </c>
      <c r="AD154" s="245" t="n">
        <v>24.33866</v>
      </c>
      <c r="AE154" s="245" t="n">
        <v>75.78567</v>
      </c>
    </row>
    <row r="155" customFormat="false" ht="15" hidden="false" customHeight="false" outlineLevel="0" collapsed="false">
      <c r="A155" s="95" t="s">
        <v>39</v>
      </c>
      <c r="B155" s="95" t="s">
        <v>2349</v>
      </c>
      <c r="C155" s="243" t="s">
        <v>2530</v>
      </c>
      <c r="D155" s="95" t="s">
        <v>2533</v>
      </c>
      <c r="E155" s="153"/>
      <c r="F155" s="153"/>
      <c r="G155" s="153"/>
      <c r="H155" s="153"/>
      <c r="I155" s="153"/>
      <c r="J155" s="153"/>
      <c r="K155" s="153"/>
      <c r="L155" s="241"/>
      <c r="M155" s="153"/>
      <c r="N155" s="241"/>
      <c r="O155" s="153"/>
      <c r="P155" s="153"/>
      <c r="Q155" s="153" t="s">
        <v>45</v>
      </c>
      <c r="R155" s="171" t="n">
        <v>44693</v>
      </c>
      <c r="S155" s="112"/>
      <c r="T155" s="153"/>
      <c r="U155" s="112"/>
      <c r="V155" s="112"/>
      <c r="W155" s="112"/>
      <c r="X155" s="112"/>
      <c r="Y155" s="112"/>
      <c r="Z155" s="112"/>
      <c r="AA155" s="153" t="s">
        <v>150</v>
      </c>
      <c r="AB155" s="153" t="n">
        <v>69.06</v>
      </c>
      <c r="AC155" s="153" t="s">
        <v>1489</v>
      </c>
      <c r="AD155" s="153" t="n">
        <v>24.33362</v>
      </c>
      <c r="AE155" s="153" t="n">
        <v>75.78151</v>
      </c>
    </row>
    <row r="156" customFormat="false" ht="15" hidden="false" customHeight="false" outlineLevel="0" collapsed="false">
      <c r="A156" s="95" t="s">
        <v>39</v>
      </c>
      <c r="B156" s="95" t="s">
        <v>2349</v>
      </c>
      <c r="C156" s="243" t="s">
        <v>2530</v>
      </c>
      <c r="D156" s="95" t="s">
        <v>2533</v>
      </c>
      <c r="E156" s="153"/>
      <c r="F156" s="153"/>
      <c r="G156" s="153"/>
      <c r="H156" s="153"/>
      <c r="I156" s="153"/>
      <c r="J156" s="153"/>
      <c r="K156" s="153"/>
      <c r="L156" s="241"/>
      <c r="M156" s="153"/>
      <c r="N156" s="241"/>
      <c r="O156" s="153"/>
      <c r="P156" s="153"/>
      <c r="Q156" s="153" t="s">
        <v>45</v>
      </c>
      <c r="R156" s="171" t="n">
        <v>44693</v>
      </c>
      <c r="S156" s="112"/>
      <c r="T156" s="153"/>
      <c r="U156" s="112"/>
      <c r="V156" s="112"/>
      <c r="W156" s="112"/>
      <c r="X156" s="112"/>
      <c r="Y156" s="112"/>
      <c r="Z156" s="112"/>
      <c r="AA156" s="153" t="s">
        <v>150</v>
      </c>
      <c r="AB156" s="153" t="n">
        <v>1.812</v>
      </c>
      <c r="AC156" s="153" t="s">
        <v>2535</v>
      </c>
      <c r="AD156" s="153" t="n">
        <v>24.3287</v>
      </c>
      <c r="AE156" s="153" t="n">
        <v>75.80406</v>
      </c>
    </row>
    <row r="157" customFormat="false" ht="15" hidden="false" customHeight="false" outlineLevel="0" collapsed="false">
      <c r="A157" s="95" t="s">
        <v>39</v>
      </c>
      <c r="B157" s="95" t="s">
        <v>2349</v>
      </c>
      <c r="C157" s="243" t="s">
        <v>2530</v>
      </c>
      <c r="D157" s="95" t="s">
        <v>2250</v>
      </c>
      <c r="E157" s="95" t="n">
        <v>104921</v>
      </c>
      <c r="F157" s="95" t="n">
        <v>177.11</v>
      </c>
      <c r="G157" s="95" t="n">
        <v>103</v>
      </c>
      <c r="H157" s="95" t="n">
        <v>499</v>
      </c>
      <c r="I157" s="95" t="n">
        <v>260</v>
      </c>
      <c r="J157" s="95" t="n">
        <v>239</v>
      </c>
      <c r="K157" s="95" t="n">
        <v>173</v>
      </c>
      <c r="L157" s="241" t="n">
        <f aca="false">K157/H157*100</f>
        <v>34.6693386773547</v>
      </c>
      <c r="M157" s="95" t="n">
        <v>0</v>
      </c>
      <c r="N157" s="241" t="n">
        <f aca="false">M157/H157*100</f>
        <v>0</v>
      </c>
      <c r="O157" s="95" t="n">
        <v>1.78</v>
      </c>
      <c r="P157" s="95" t="n">
        <v>28.05</v>
      </c>
      <c r="Q157" s="24" t="s">
        <v>150</v>
      </c>
      <c r="R157" s="246" t="n">
        <v>44693</v>
      </c>
      <c r="S157" s="112"/>
      <c r="T157" s="245" t="n">
        <v>1.63</v>
      </c>
      <c r="U157" s="112"/>
      <c r="V157" s="112"/>
      <c r="W157" s="112"/>
      <c r="X157" s="112"/>
      <c r="Y157" s="112"/>
      <c r="Z157" s="112"/>
      <c r="AA157" s="244" t="s">
        <v>45</v>
      </c>
      <c r="AB157" s="245" t="n">
        <v>1</v>
      </c>
      <c r="AC157" s="117" t="s">
        <v>2536</v>
      </c>
      <c r="AD157" s="245" t="n">
        <v>24.32747</v>
      </c>
      <c r="AE157" s="245" t="n">
        <v>75.868123</v>
      </c>
    </row>
    <row r="158" customFormat="false" ht="15" hidden="false" customHeight="false" outlineLevel="0" collapsed="false">
      <c r="A158" s="95" t="s">
        <v>39</v>
      </c>
      <c r="B158" s="95" t="s">
        <v>2349</v>
      </c>
      <c r="C158" s="243" t="s">
        <v>2530</v>
      </c>
      <c r="D158" s="95" t="s">
        <v>1765</v>
      </c>
      <c r="E158" s="95" t="n">
        <v>104919</v>
      </c>
      <c r="F158" s="95" t="n">
        <v>538</v>
      </c>
      <c r="G158" s="95" t="n">
        <v>192</v>
      </c>
      <c r="H158" s="95" t="n">
        <v>861</v>
      </c>
      <c r="I158" s="95" t="n">
        <v>431</v>
      </c>
      <c r="J158" s="95" t="n">
        <v>430</v>
      </c>
      <c r="K158" s="95" t="n">
        <v>80</v>
      </c>
      <c r="L158" s="241" t="n">
        <f aca="false">K158/H158*100</f>
        <v>9.29152148664344</v>
      </c>
      <c r="M158" s="95" t="n">
        <v>0</v>
      </c>
      <c r="N158" s="241" t="n">
        <f aca="false">M158/H158*100</f>
        <v>0</v>
      </c>
      <c r="O158" s="95" t="n">
        <v>55</v>
      </c>
      <c r="P158" s="95" t="n">
        <v>0</v>
      </c>
      <c r="Q158" s="24" t="s">
        <v>45</v>
      </c>
      <c r="R158" s="246" t="n">
        <v>44693</v>
      </c>
      <c r="S158" s="112"/>
      <c r="T158" s="245" t="n">
        <v>4</v>
      </c>
      <c r="U158" s="112"/>
      <c r="V158" s="112"/>
      <c r="W158" s="112"/>
      <c r="X158" s="112"/>
      <c r="Y158" s="112"/>
      <c r="Z158" s="112"/>
      <c r="AA158" s="244" t="s">
        <v>45</v>
      </c>
      <c r="AB158" s="245" t="n">
        <v>4</v>
      </c>
      <c r="AC158" s="117" t="s">
        <v>2408</v>
      </c>
      <c r="AD158" s="245" t="n">
        <v>24.315948</v>
      </c>
      <c r="AE158" s="245" t="n">
        <v>75.78126</v>
      </c>
    </row>
    <row r="159" customFormat="false" ht="15" hidden="false" customHeight="false" outlineLevel="0" collapsed="false">
      <c r="A159" s="95" t="s">
        <v>39</v>
      </c>
      <c r="B159" s="95" t="s">
        <v>2349</v>
      </c>
      <c r="C159" s="243" t="s">
        <v>2537</v>
      </c>
      <c r="D159" s="95" t="s">
        <v>2538</v>
      </c>
      <c r="E159" s="95" t="n">
        <v>104838</v>
      </c>
      <c r="F159" s="95" t="n">
        <v>241.55</v>
      </c>
      <c r="G159" s="95" t="n">
        <v>38</v>
      </c>
      <c r="H159" s="95" t="n">
        <v>232</v>
      </c>
      <c r="I159" s="95" t="n">
        <v>115</v>
      </c>
      <c r="J159" s="95" t="n">
        <v>117</v>
      </c>
      <c r="K159" s="95" t="n">
        <v>21</v>
      </c>
      <c r="L159" s="241" t="n">
        <f aca="false">K159/H159*100</f>
        <v>9.05172413793103</v>
      </c>
      <c r="M159" s="95" t="n">
        <v>0</v>
      </c>
      <c r="N159" s="241" t="n">
        <f aca="false">M159/H159*100</f>
        <v>0</v>
      </c>
      <c r="O159" s="95" t="n">
        <v>25.93</v>
      </c>
      <c r="P159" s="95" t="n">
        <v>0</v>
      </c>
      <c r="Q159" s="153" t="s">
        <v>45</v>
      </c>
      <c r="R159" s="153" t="s">
        <v>2539</v>
      </c>
      <c r="S159" s="112"/>
      <c r="T159" s="153" t="n">
        <v>25.4544</v>
      </c>
      <c r="U159" s="112"/>
      <c r="V159" s="112"/>
      <c r="W159" s="112"/>
      <c r="X159" s="112"/>
      <c r="Y159" s="112"/>
      <c r="Z159" s="112"/>
      <c r="AA159" s="153" t="s">
        <v>82</v>
      </c>
      <c r="AB159" s="153" t="n">
        <v>0.2528</v>
      </c>
      <c r="AC159" s="153" t="s">
        <v>859</v>
      </c>
      <c r="AD159" s="153" t="n">
        <v>24.512873</v>
      </c>
      <c r="AE159" s="153" t="n">
        <v>75.89717</v>
      </c>
    </row>
    <row r="160" customFormat="false" ht="15" hidden="false" customHeight="false" outlineLevel="0" collapsed="false">
      <c r="A160" s="95" t="s">
        <v>39</v>
      </c>
      <c r="B160" s="95" t="s">
        <v>2349</v>
      </c>
      <c r="C160" s="243" t="s">
        <v>2537</v>
      </c>
      <c r="D160" s="95" t="s">
        <v>2540</v>
      </c>
      <c r="E160" s="95" t="n">
        <v>104840</v>
      </c>
      <c r="F160" s="95" t="n">
        <v>271.29</v>
      </c>
      <c r="G160" s="95" t="n">
        <v>51</v>
      </c>
      <c r="H160" s="95" t="n">
        <v>293</v>
      </c>
      <c r="I160" s="95" t="n">
        <v>146</v>
      </c>
      <c r="J160" s="95" t="n">
        <v>147</v>
      </c>
      <c r="K160" s="95" t="n">
        <v>292</v>
      </c>
      <c r="L160" s="241" t="n">
        <f aca="false">K160/H160*100</f>
        <v>99.6587030716723</v>
      </c>
      <c r="M160" s="95" t="n">
        <v>0</v>
      </c>
      <c r="N160" s="241" t="n">
        <f aca="false">M160/H160*100</f>
        <v>0</v>
      </c>
      <c r="O160" s="95" t="n">
        <v>15.31</v>
      </c>
      <c r="P160" s="95" t="n">
        <v>0</v>
      </c>
      <c r="Q160" s="153" t="s">
        <v>45</v>
      </c>
      <c r="R160" s="153" t="s">
        <v>2539</v>
      </c>
      <c r="S160" s="112"/>
      <c r="T160" s="190"/>
      <c r="U160" s="112"/>
      <c r="V160" s="112"/>
      <c r="W160" s="112"/>
      <c r="X160" s="112"/>
      <c r="Y160" s="112"/>
      <c r="Z160" s="112"/>
      <c r="AA160" s="95"/>
      <c r="AB160" s="95"/>
      <c r="AC160" s="153" t="s">
        <v>859</v>
      </c>
      <c r="AD160" s="153" t="n">
        <v>24.540722</v>
      </c>
      <c r="AE160" s="153" t="n">
        <v>75.920013</v>
      </c>
    </row>
    <row r="161" customFormat="false" ht="15" hidden="false" customHeight="false" outlineLevel="0" collapsed="false">
      <c r="A161" s="95" t="s">
        <v>39</v>
      </c>
      <c r="B161" s="95" t="s">
        <v>2349</v>
      </c>
      <c r="C161" s="243" t="s">
        <v>2537</v>
      </c>
      <c r="D161" s="95" t="s">
        <v>2541</v>
      </c>
      <c r="E161" s="95" t="n">
        <v>104842</v>
      </c>
      <c r="F161" s="95" t="n">
        <v>479.16</v>
      </c>
      <c r="G161" s="95" t="n">
        <v>388</v>
      </c>
      <c r="H161" s="95" t="n">
        <v>1743</v>
      </c>
      <c r="I161" s="95" t="n">
        <v>934</v>
      </c>
      <c r="J161" s="95" t="n">
        <v>809</v>
      </c>
      <c r="K161" s="95" t="n">
        <v>398</v>
      </c>
      <c r="L161" s="241" t="n">
        <f aca="false">K161/H161*100</f>
        <v>22.8341939185313</v>
      </c>
      <c r="M161" s="95" t="n">
        <v>679</v>
      </c>
      <c r="N161" s="241" t="n">
        <f aca="false">M161/H161*100</f>
        <v>38.9558232931727</v>
      </c>
      <c r="O161" s="95" t="n">
        <v>30.13</v>
      </c>
      <c r="P161" s="95" t="n">
        <v>0</v>
      </c>
      <c r="Q161" s="95"/>
      <c r="R161" s="95"/>
      <c r="S161" s="112"/>
      <c r="T161" s="190"/>
      <c r="U161" s="112"/>
      <c r="V161" s="112"/>
      <c r="W161" s="112"/>
      <c r="X161" s="112"/>
      <c r="Y161" s="112"/>
      <c r="Z161" s="112"/>
      <c r="AA161" s="95"/>
      <c r="AB161" s="95"/>
      <c r="AC161" s="95"/>
      <c r="AD161" s="95"/>
      <c r="AE161" s="95"/>
    </row>
    <row r="162" customFormat="false" ht="15" hidden="false" customHeight="false" outlineLevel="0" collapsed="false">
      <c r="A162" s="95" t="s">
        <v>39</v>
      </c>
      <c r="B162" s="95" t="s">
        <v>2349</v>
      </c>
      <c r="C162" s="243" t="s">
        <v>2537</v>
      </c>
      <c r="D162" s="95" t="s">
        <v>2542</v>
      </c>
      <c r="E162" s="95" t="n">
        <v>104843</v>
      </c>
      <c r="F162" s="95" t="n">
        <v>481.14</v>
      </c>
      <c r="G162" s="95" t="n">
        <v>124</v>
      </c>
      <c r="H162" s="95" t="n">
        <v>770</v>
      </c>
      <c r="I162" s="95" t="n">
        <v>394</v>
      </c>
      <c r="J162" s="95" t="n">
        <v>376</v>
      </c>
      <c r="K162" s="95" t="n">
        <v>78</v>
      </c>
      <c r="L162" s="241" t="n">
        <f aca="false">K162/H162*100</f>
        <v>10.1298701298701</v>
      </c>
      <c r="M162" s="95" t="n">
        <v>187</v>
      </c>
      <c r="N162" s="241" t="n">
        <f aca="false">M162/H162*100</f>
        <v>24.2857142857143</v>
      </c>
      <c r="O162" s="95" t="n">
        <v>28.05</v>
      </c>
      <c r="P162" s="95" t="n">
        <v>0</v>
      </c>
      <c r="Q162" s="153" t="s">
        <v>45</v>
      </c>
      <c r="R162" s="153" t="s">
        <v>2539</v>
      </c>
      <c r="S162" s="112"/>
      <c r="T162" s="153" t="n">
        <v>7.6249</v>
      </c>
      <c r="U162" s="112"/>
      <c r="V162" s="112"/>
      <c r="W162" s="112"/>
      <c r="X162" s="112"/>
      <c r="Y162" s="112"/>
      <c r="Z162" s="112"/>
      <c r="AA162" s="153" t="s">
        <v>82</v>
      </c>
      <c r="AB162" s="153" t="n">
        <v>0.421</v>
      </c>
      <c r="AC162" s="153" t="s">
        <v>859</v>
      </c>
      <c r="AD162" s="153" t="n">
        <v>24.537882</v>
      </c>
      <c r="AE162" s="153" t="n">
        <v>75.962385</v>
      </c>
    </row>
    <row r="163" customFormat="false" ht="15" hidden="false" customHeight="false" outlineLevel="0" collapsed="false">
      <c r="A163" s="95" t="s">
        <v>39</v>
      </c>
      <c r="B163" s="95" t="s">
        <v>2349</v>
      </c>
      <c r="C163" s="243" t="s">
        <v>2537</v>
      </c>
      <c r="D163" s="95" t="s">
        <v>2543</v>
      </c>
      <c r="E163" s="95" t="n">
        <v>104852</v>
      </c>
      <c r="F163" s="95" t="n">
        <v>835.92</v>
      </c>
      <c r="G163" s="95" t="n">
        <v>277</v>
      </c>
      <c r="H163" s="95" t="n">
        <v>1503</v>
      </c>
      <c r="I163" s="95" t="n">
        <v>786</v>
      </c>
      <c r="J163" s="95" t="n">
        <v>717</v>
      </c>
      <c r="K163" s="95" t="n">
        <v>397</v>
      </c>
      <c r="L163" s="241" t="n">
        <f aca="false">K163/H163*100</f>
        <v>26.4138389886893</v>
      </c>
      <c r="M163" s="95" t="n">
        <v>89</v>
      </c>
      <c r="N163" s="241" t="n">
        <f aca="false">M163/H163*100</f>
        <v>5.92149035262808</v>
      </c>
      <c r="O163" s="95" t="n">
        <v>74.27</v>
      </c>
      <c r="P163" s="95" t="n">
        <v>0</v>
      </c>
      <c r="Q163" s="153" t="s">
        <v>45</v>
      </c>
      <c r="R163" s="153" t="s">
        <v>2539</v>
      </c>
      <c r="S163" s="112"/>
      <c r="T163" s="153" t="n">
        <v>26.1625</v>
      </c>
      <c r="U163" s="112"/>
      <c r="V163" s="112"/>
      <c r="W163" s="112"/>
      <c r="X163" s="112"/>
      <c r="Y163" s="112"/>
      <c r="Z163" s="112"/>
      <c r="AA163" s="153" t="s">
        <v>82</v>
      </c>
      <c r="AB163" s="153" t="n">
        <v>0.3516</v>
      </c>
      <c r="AC163" s="153" t="s">
        <v>859</v>
      </c>
      <c r="AD163" s="153" t="n">
        <v>24.540722</v>
      </c>
      <c r="AE163" s="153" t="n">
        <v>75.920013</v>
      </c>
    </row>
    <row r="164" customFormat="false" ht="15" hidden="false" customHeight="false" outlineLevel="0" collapsed="false">
      <c r="A164" s="95" t="s">
        <v>39</v>
      </c>
      <c r="B164" s="95" t="s">
        <v>2349</v>
      </c>
      <c r="C164" s="243" t="s">
        <v>2537</v>
      </c>
      <c r="D164" s="95" t="s">
        <v>1499</v>
      </c>
      <c r="E164" s="95" t="n">
        <v>104841</v>
      </c>
      <c r="F164" s="95" t="n">
        <v>100.92</v>
      </c>
      <c r="G164" s="95"/>
      <c r="H164" s="95" t="n">
        <v>0</v>
      </c>
      <c r="I164" s="95"/>
      <c r="J164" s="95"/>
      <c r="K164" s="95"/>
      <c r="L164" s="241"/>
      <c r="M164" s="95"/>
      <c r="N164" s="241"/>
      <c r="O164" s="95" t="n">
        <v>0</v>
      </c>
      <c r="P164" s="95" t="n">
        <v>0</v>
      </c>
      <c r="Q164" s="153" t="s">
        <v>45</v>
      </c>
      <c r="R164" s="153" t="s">
        <v>2539</v>
      </c>
      <c r="S164" s="112"/>
      <c r="T164" s="153" t="n">
        <v>15.313</v>
      </c>
      <c r="U164" s="112"/>
      <c r="V164" s="112"/>
      <c r="W164" s="112"/>
      <c r="X164" s="112"/>
      <c r="Y164" s="112"/>
      <c r="Z164" s="112"/>
      <c r="AA164" s="153" t="s">
        <v>82</v>
      </c>
      <c r="AB164" s="153" t="n">
        <v>0.3238</v>
      </c>
      <c r="AC164" s="153" t="s">
        <v>859</v>
      </c>
      <c r="AD164" s="153" t="n">
        <v>24.52691</v>
      </c>
      <c r="AE164" s="153" t="n">
        <v>75.927281</v>
      </c>
    </row>
    <row r="165" customFormat="false" ht="15" hidden="false" customHeight="false" outlineLevel="0" collapsed="false">
      <c r="A165" s="95" t="s">
        <v>39</v>
      </c>
      <c r="B165" s="95" t="s">
        <v>2349</v>
      </c>
      <c r="C165" s="243" t="s">
        <v>2544</v>
      </c>
      <c r="D165" s="95" t="s">
        <v>2545</v>
      </c>
      <c r="E165" s="95" t="n">
        <v>104940</v>
      </c>
      <c r="F165" s="95" t="n">
        <v>745.85</v>
      </c>
      <c r="G165" s="95" t="n">
        <v>479</v>
      </c>
      <c r="H165" s="95" t="n">
        <v>2449</v>
      </c>
      <c r="I165" s="95" t="n">
        <v>1268</v>
      </c>
      <c r="J165" s="95" t="n">
        <v>1181</v>
      </c>
      <c r="K165" s="95" t="n">
        <v>685</v>
      </c>
      <c r="L165" s="241" t="n">
        <f aca="false">K165/H165*100</f>
        <v>27.970600244998</v>
      </c>
      <c r="M165" s="95" t="n">
        <v>24</v>
      </c>
      <c r="N165" s="241" t="n">
        <f aca="false">M165/H165*100</f>
        <v>0.979991833401388</v>
      </c>
      <c r="O165" s="95" t="n">
        <v>99.16</v>
      </c>
      <c r="P165" s="95" t="n">
        <v>46.29</v>
      </c>
      <c r="Q165" s="24" t="s">
        <v>45</v>
      </c>
      <c r="R165" s="246" t="n">
        <v>44602</v>
      </c>
      <c r="S165" s="112"/>
      <c r="T165" s="245" t="n">
        <v>101</v>
      </c>
      <c r="U165" s="112"/>
      <c r="V165" s="112"/>
      <c r="W165" s="112"/>
      <c r="X165" s="112"/>
      <c r="Y165" s="112"/>
      <c r="Z165" s="112"/>
      <c r="AA165" s="244" t="s">
        <v>45</v>
      </c>
      <c r="AB165" s="245" t="n">
        <v>20</v>
      </c>
      <c r="AC165" s="117" t="s">
        <v>2546</v>
      </c>
      <c r="AD165" s="245" t="n">
        <v>24.215038</v>
      </c>
      <c r="AE165" s="245" t="n">
        <v>75.845312</v>
      </c>
    </row>
    <row r="166" customFormat="false" ht="15" hidden="false" customHeight="false" outlineLevel="0" collapsed="false">
      <c r="A166" s="95" t="s">
        <v>39</v>
      </c>
      <c r="B166" s="95" t="s">
        <v>2349</v>
      </c>
      <c r="C166" s="243" t="s">
        <v>2544</v>
      </c>
      <c r="D166" s="95" t="s">
        <v>2547</v>
      </c>
      <c r="E166" s="95" t="n">
        <v>104941</v>
      </c>
      <c r="F166" s="95" t="n">
        <v>146.35</v>
      </c>
      <c r="G166" s="95" t="n">
        <v>71</v>
      </c>
      <c r="H166" s="95" t="n">
        <v>407</v>
      </c>
      <c r="I166" s="95" t="n">
        <v>209</v>
      </c>
      <c r="J166" s="95" t="n">
        <v>198</v>
      </c>
      <c r="K166" s="95" t="n">
        <v>72</v>
      </c>
      <c r="L166" s="241" t="n">
        <f aca="false">K166/H166*100</f>
        <v>17.6904176904177</v>
      </c>
      <c r="M166" s="95" t="n">
        <v>0</v>
      </c>
      <c r="N166" s="241" t="n">
        <f aca="false">M166/H166*100</f>
        <v>0</v>
      </c>
      <c r="O166" s="95" t="n">
        <v>20.87</v>
      </c>
      <c r="P166" s="95" t="n">
        <v>0</v>
      </c>
      <c r="Q166" s="255"/>
      <c r="R166" s="245"/>
      <c r="S166" s="112"/>
      <c r="T166" s="245"/>
      <c r="U166" s="112"/>
      <c r="V166" s="112"/>
      <c r="W166" s="112"/>
      <c r="X166" s="112"/>
      <c r="Y166" s="112"/>
      <c r="Z166" s="112"/>
      <c r="AA166" s="245"/>
      <c r="AB166" s="245"/>
      <c r="AC166" s="95"/>
      <c r="AD166" s="95"/>
      <c r="AE166" s="245"/>
    </row>
    <row r="167" customFormat="false" ht="15" hidden="false" customHeight="false" outlineLevel="0" collapsed="false">
      <c r="A167" s="95" t="s">
        <v>39</v>
      </c>
      <c r="B167" s="95" t="s">
        <v>2349</v>
      </c>
      <c r="C167" s="243" t="s">
        <v>2544</v>
      </c>
      <c r="D167" s="95" t="s">
        <v>2548</v>
      </c>
      <c r="E167" s="95" t="n">
        <v>104942</v>
      </c>
      <c r="F167" s="95" t="n">
        <v>1113.19</v>
      </c>
      <c r="G167" s="95" t="n">
        <v>370</v>
      </c>
      <c r="H167" s="95" t="n">
        <v>2017</v>
      </c>
      <c r="I167" s="95" t="n">
        <v>1052</v>
      </c>
      <c r="J167" s="95" t="n">
        <v>965</v>
      </c>
      <c r="K167" s="95" t="n">
        <v>576</v>
      </c>
      <c r="L167" s="241" t="n">
        <f aca="false">K167/H167*100</f>
        <v>28.5572632622707</v>
      </c>
      <c r="M167" s="95" t="n">
        <v>4</v>
      </c>
      <c r="N167" s="241" t="n">
        <f aca="false">M167/H167*100</f>
        <v>0.198314328210213</v>
      </c>
      <c r="O167" s="95" t="n">
        <v>83.81</v>
      </c>
      <c r="P167" s="95" t="n">
        <v>34.84</v>
      </c>
      <c r="Q167" s="24" t="s">
        <v>45</v>
      </c>
      <c r="R167" s="246" t="n">
        <v>44602</v>
      </c>
      <c r="S167" s="112"/>
      <c r="T167" s="245" t="n">
        <v>96</v>
      </c>
      <c r="U167" s="112"/>
      <c r="V167" s="112"/>
      <c r="W167" s="112"/>
      <c r="X167" s="112"/>
      <c r="Y167" s="112"/>
      <c r="Z167" s="112"/>
      <c r="AA167" s="244" t="s">
        <v>45</v>
      </c>
      <c r="AB167" s="245" t="n">
        <v>20</v>
      </c>
      <c r="AC167" s="117" t="s">
        <v>2549</v>
      </c>
      <c r="AD167" s="245" t="n">
        <v>24.235035</v>
      </c>
      <c r="AE167" s="245" t="n">
        <v>75.855311</v>
      </c>
    </row>
    <row r="168" customFormat="false" ht="15" hidden="false" customHeight="false" outlineLevel="0" collapsed="false">
      <c r="A168" s="95" t="s">
        <v>39</v>
      </c>
      <c r="B168" s="95" t="s">
        <v>2349</v>
      </c>
      <c r="C168" s="243" t="s">
        <v>2544</v>
      </c>
      <c r="D168" s="95" t="s">
        <v>2548</v>
      </c>
      <c r="E168" s="95"/>
      <c r="F168" s="95"/>
      <c r="G168" s="95"/>
      <c r="H168" s="95"/>
      <c r="I168" s="95"/>
      <c r="J168" s="95"/>
      <c r="K168" s="95"/>
      <c r="L168" s="241"/>
      <c r="M168" s="95"/>
      <c r="N168" s="241"/>
      <c r="O168" s="95"/>
      <c r="P168" s="95"/>
      <c r="Q168" s="24" t="s">
        <v>43</v>
      </c>
      <c r="R168" s="246" t="n">
        <v>44602</v>
      </c>
      <c r="S168" s="112"/>
      <c r="T168" s="245"/>
      <c r="U168" s="112"/>
      <c r="V168" s="112"/>
      <c r="W168" s="112"/>
      <c r="X168" s="112"/>
      <c r="Y168" s="112"/>
      <c r="Z168" s="112"/>
      <c r="AA168" s="244" t="s">
        <v>45</v>
      </c>
      <c r="AB168" s="247" t="n">
        <v>15</v>
      </c>
      <c r="AC168" s="117" t="s">
        <v>2550</v>
      </c>
      <c r="AD168" s="245" t="n">
        <v>24.21549</v>
      </c>
      <c r="AE168" s="245" t="n">
        <v>75.84071</v>
      </c>
    </row>
    <row r="169" customFormat="false" ht="15" hidden="false" customHeight="false" outlineLevel="0" collapsed="false">
      <c r="A169" s="95" t="s">
        <v>39</v>
      </c>
      <c r="B169" s="95" t="s">
        <v>2349</v>
      </c>
      <c r="C169" s="243" t="s">
        <v>2544</v>
      </c>
      <c r="D169" s="95" t="s">
        <v>71</v>
      </c>
      <c r="E169" s="95" t="n">
        <v>104939</v>
      </c>
      <c r="F169" s="95" t="n">
        <v>346.5</v>
      </c>
      <c r="G169" s="95" t="n">
        <v>137</v>
      </c>
      <c r="H169" s="95" t="n">
        <v>594</v>
      </c>
      <c r="I169" s="95" t="n">
        <v>304</v>
      </c>
      <c r="J169" s="95" t="n">
        <v>290</v>
      </c>
      <c r="K169" s="95" t="n">
        <v>144</v>
      </c>
      <c r="L169" s="241" t="n">
        <f aca="false">K169/H169*100</f>
        <v>24.2424242424242</v>
      </c>
      <c r="M169" s="95" t="n">
        <v>29</v>
      </c>
      <c r="N169" s="241" t="n">
        <f aca="false">M169/H169*100</f>
        <v>4.88215488215488</v>
      </c>
      <c r="O169" s="95" t="n">
        <v>26.3</v>
      </c>
      <c r="P169" s="95" t="n">
        <v>0</v>
      </c>
      <c r="Q169" s="24" t="s">
        <v>45</v>
      </c>
      <c r="R169" s="246" t="n">
        <v>44602</v>
      </c>
      <c r="S169" s="112"/>
      <c r="T169" s="245" t="n">
        <v>196</v>
      </c>
      <c r="U169" s="112"/>
      <c r="V169" s="112"/>
      <c r="W169" s="112"/>
      <c r="X169" s="112"/>
      <c r="Y169" s="112"/>
      <c r="Z169" s="112"/>
      <c r="AA169" s="244" t="s">
        <v>45</v>
      </c>
      <c r="AB169" s="245" t="n">
        <v>15</v>
      </c>
      <c r="AC169" s="117" t="s">
        <v>2551</v>
      </c>
      <c r="AD169" s="245" t="n">
        <v>24.121535</v>
      </c>
      <c r="AE169" s="245" t="n">
        <v>75.855086</v>
      </c>
    </row>
    <row r="170" customFormat="false" ht="15" hidden="false" customHeight="false" outlineLevel="0" collapsed="false">
      <c r="A170" s="95" t="s">
        <v>39</v>
      </c>
      <c r="B170" s="95" t="s">
        <v>2349</v>
      </c>
      <c r="C170" s="243" t="s">
        <v>2544</v>
      </c>
      <c r="D170" s="95" t="s">
        <v>2552</v>
      </c>
      <c r="E170" s="95" t="n">
        <v>104948</v>
      </c>
      <c r="F170" s="95" t="n">
        <v>2527.42</v>
      </c>
      <c r="G170" s="95" t="n">
        <v>386</v>
      </c>
      <c r="H170" s="95" t="n">
        <v>2007</v>
      </c>
      <c r="I170" s="95" t="n">
        <v>1073</v>
      </c>
      <c r="J170" s="95" t="n">
        <v>934</v>
      </c>
      <c r="K170" s="95" t="n">
        <v>555</v>
      </c>
      <c r="L170" s="241" t="n">
        <f aca="false">K170/H170*100</f>
        <v>27.6532137518685</v>
      </c>
      <c r="M170" s="95" t="n">
        <v>0</v>
      </c>
      <c r="N170" s="241" t="n">
        <f aca="false">M170/H170*100</f>
        <v>0</v>
      </c>
      <c r="O170" s="95" t="n">
        <v>44.8</v>
      </c>
      <c r="P170" s="95" t="n">
        <v>1313.12</v>
      </c>
      <c r="Q170" s="149" t="s">
        <v>45</v>
      </c>
      <c r="R170" s="166" t="n">
        <v>44875</v>
      </c>
      <c r="S170" s="112"/>
      <c r="T170" s="167" t="n">
        <v>15</v>
      </c>
      <c r="U170" s="112"/>
      <c r="V170" s="112"/>
      <c r="W170" s="112"/>
      <c r="X170" s="112"/>
      <c r="Y170" s="112"/>
      <c r="Z170" s="112"/>
      <c r="AA170" s="167" t="s">
        <v>45</v>
      </c>
      <c r="AB170" s="167" t="n">
        <v>4</v>
      </c>
      <c r="AC170" s="151" t="s">
        <v>1486</v>
      </c>
      <c r="AD170" s="151" t="n">
        <v>24.13962</v>
      </c>
      <c r="AE170" s="151" t="n">
        <v>75.764106</v>
      </c>
    </row>
    <row r="171" customFormat="false" ht="15" hidden="false" customHeight="false" outlineLevel="0" collapsed="false">
      <c r="A171" s="95" t="s">
        <v>39</v>
      </c>
      <c r="B171" s="95" t="s">
        <v>2349</v>
      </c>
      <c r="C171" s="243" t="s">
        <v>2544</v>
      </c>
      <c r="D171" s="95" t="s">
        <v>2553</v>
      </c>
      <c r="E171" s="95" t="n">
        <v>104950</v>
      </c>
      <c r="F171" s="95" t="n">
        <v>648.79</v>
      </c>
      <c r="G171" s="95" t="n">
        <v>335</v>
      </c>
      <c r="H171" s="95" t="n">
        <v>1781</v>
      </c>
      <c r="I171" s="95" t="n">
        <v>916</v>
      </c>
      <c r="J171" s="95" t="n">
        <v>865</v>
      </c>
      <c r="K171" s="95" t="n">
        <v>405</v>
      </c>
      <c r="L171" s="241" t="n">
        <f aca="false">K171/H171*100</f>
        <v>22.7400336889388</v>
      </c>
      <c r="M171" s="95" t="n">
        <v>1</v>
      </c>
      <c r="N171" s="241" t="n">
        <f aca="false">M171/H171*100</f>
        <v>0.0561482313307131</v>
      </c>
      <c r="O171" s="95" t="n">
        <v>81.25</v>
      </c>
      <c r="P171" s="95" t="n">
        <v>0</v>
      </c>
      <c r="Q171" s="149" t="s">
        <v>45</v>
      </c>
      <c r="R171" s="166" t="n">
        <v>44875</v>
      </c>
      <c r="S171" s="112"/>
      <c r="T171" s="167" t="n">
        <v>7</v>
      </c>
      <c r="U171" s="112"/>
      <c r="V171" s="112"/>
      <c r="W171" s="112"/>
      <c r="X171" s="112"/>
      <c r="Y171" s="112"/>
      <c r="Z171" s="112"/>
      <c r="AA171" s="167" t="s">
        <v>45</v>
      </c>
      <c r="AB171" s="167" t="n">
        <v>2</v>
      </c>
      <c r="AC171" s="151" t="s">
        <v>2554</v>
      </c>
      <c r="AD171" s="151" t="n">
        <v>24.185214</v>
      </c>
      <c r="AE171" s="151" t="n">
        <v>75.794381</v>
      </c>
    </row>
    <row r="172" customFormat="false" ht="15" hidden="false" customHeight="false" outlineLevel="0" collapsed="false">
      <c r="A172" s="95" t="s">
        <v>39</v>
      </c>
      <c r="B172" s="95" t="s">
        <v>2349</v>
      </c>
      <c r="C172" s="243" t="s">
        <v>2555</v>
      </c>
      <c r="D172" s="95" t="s">
        <v>2556</v>
      </c>
      <c r="E172" s="95" t="n">
        <v>104872</v>
      </c>
      <c r="F172" s="95" t="n">
        <v>1277.04</v>
      </c>
      <c r="G172" s="95" t="n">
        <v>409</v>
      </c>
      <c r="H172" s="95" t="n">
        <v>2431</v>
      </c>
      <c r="I172" s="95" t="n">
        <v>1233</v>
      </c>
      <c r="J172" s="95" t="n">
        <v>1198</v>
      </c>
      <c r="K172" s="95" t="n">
        <v>477</v>
      </c>
      <c r="L172" s="241" t="n">
        <f aca="false">K172/H172*100</f>
        <v>19.6215549156726</v>
      </c>
      <c r="M172" s="95" t="n">
        <v>172</v>
      </c>
      <c r="N172" s="241" t="n">
        <f aca="false">M172/H172*100</f>
        <v>7.07527766351296</v>
      </c>
      <c r="O172" s="95" t="n">
        <v>85.11</v>
      </c>
      <c r="P172" s="95" t="n">
        <v>0</v>
      </c>
      <c r="Q172" s="153" t="s">
        <v>45</v>
      </c>
      <c r="R172" s="153" t="s">
        <v>2557</v>
      </c>
      <c r="S172" s="112"/>
      <c r="T172" s="153" t="n">
        <v>86.6203</v>
      </c>
      <c r="U172" s="112"/>
      <c r="V172" s="112"/>
      <c r="W172" s="112"/>
      <c r="X172" s="112"/>
      <c r="Y172" s="112"/>
      <c r="Z172" s="112"/>
      <c r="AA172" s="153" t="s">
        <v>272</v>
      </c>
      <c r="AB172" s="153" t="n">
        <v>0</v>
      </c>
      <c r="AC172" s="153" t="s">
        <v>859</v>
      </c>
      <c r="AD172" s="153" t="n">
        <v>24.422487</v>
      </c>
      <c r="AE172" s="153" t="n">
        <v>75.900868</v>
      </c>
    </row>
    <row r="173" customFormat="false" ht="15" hidden="false" customHeight="false" outlineLevel="0" collapsed="false">
      <c r="A173" s="95" t="s">
        <v>39</v>
      </c>
      <c r="B173" s="95" t="s">
        <v>2349</v>
      </c>
      <c r="C173" s="243" t="s">
        <v>2555</v>
      </c>
      <c r="D173" s="95" t="s">
        <v>2556</v>
      </c>
      <c r="E173" s="95"/>
      <c r="F173" s="95"/>
      <c r="G173" s="95"/>
      <c r="H173" s="95"/>
      <c r="I173" s="95"/>
      <c r="J173" s="95"/>
      <c r="K173" s="95"/>
      <c r="L173" s="241"/>
      <c r="M173" s="95"/>
      <c r="N173" s="241"/>
      <c r="O173" s="95"/>
      <c r="P173" s="95"/>
      <c r="Q173" s="153" t="s">
        <v>45</v>
      </c>
      <c r="R173" s="153" t="s">
        <v>2557</v>
      </c>
      <c r="S173" s="112"/>
      <c r="T173" s="153"/>
      <c r="U173" s="112"/>
      <c r="V173" s="112" t="s">
        <v>43</v>
      </c>
      <c r="W173" s="112"/>
      <c r="X173" s="112"/>
      <c r="Y173" s="112"/>
      <c r="Z173" s="112"/>
      <c r="AA173" s="153" t="s">
        <v>82</v>
      </c>
      <c r="AB173" s="153" t="n">
        <v>15</v>
      </c>
      <c r="AC173" s="153" t="s">
        <v>859</v>
      </c>
      <c r="AD173" s="153" t="n">
        <v>24.426775</v>
      </c>
      <c r="AE173" s="153" t="n">
        <v>75.894563</v>
      </c>
    </row>
    <row r="174" customFormat="false" ht="15" hidden="false" customHeight="false" outlineLevel="0" collapsed="false">
      <c r="A174" s="95" t="s">
        <v>39</v>
      </c>
      <c r="B174" s="95" t="s">
        <v>2349</v>
      </c>
      <c r="C174" s="243" t="s">
        <v>2555</v>
      </c>
      <c r="D174" s="95" t="s">
        <v>2556</v>
      </c>
      <c r="E174" s="95"/>
      <c r="F174" s="95"/>
      <c r="G174" s="95"/>
      <c r="H174" s="95"/>
      <c r="I174" s="95"/>
      <c r="J174" s="95"/>
      <c r="K174" s="95"/>
      <c r="L174" s="241"/>
      <c r="M174" s="95"/>
      <c r="N174" s="241"/>
      <c r="O174" s="95"/>
      <c r="P174" s="95"/>
      <c r="Q174" s="153" t="s">
        <v>45</v>
      </c>
      <c r="R174" s="153" t="s">
        <v>2557</v>
      </c>
      <c r="S174" s="112"/>
      <c r="T174" s="153"/>
      <c r="U174" s="112"/>
      <c r="V174" s="112"/>
      <c r="W174" s="112"/>
      <c r="X174" s="112"/>
      <c r="Y174" s="112"/>
      <c r="Z174" s="112"/>
      <c r="AA174" s="153" t="s">
        <v>82</v>
      </c>
      <c r="AB174" s="153" t="n">
        <v>61</v>
      </c>
      <c r="AC174" s="153" t="s">
        <v>859</v>
      </c>
      <c r="AD174" s="153" t="n">
        <v>24.4274</v>
      </c>
      <c r="AE174" s="153" t="n">
        <v>75.895158</v>
      </c>
    </row>
    <row r="175" customFormat="false" ht="15" hidden="false" customHeight="false" outlineLevel="0" collapsed="false">
      <c r="A175" s="95" t="s">
        <v>39</v>
      </c>
      <c r="B175" s="95" t="s">
        <v>2349</v>
      </c>
      <c r="C175" s="243" t="s">
        <v>2555</v>
      </c>
      <c r="D175" s="95" t="s">
        <v>2558</v>
      </c>
      <c r="E175" s="95" t="n">
        <v>104873</v>
      </c>
      <c r="F175" s="95" t="n">
        <v>557.94</v>
      </c>
      <c r="G175" s="95" t="n">
        <v>364</v>
      </c>
      <c r="H175" s="95" t="n">
        <v>1651</v>
      </c>
      <c r="I175" s="95" t="n">
        <v>850</v>
      </c>
      <c r="J175" s="95" t="n">
        <v>801</v>
      </c>
      <c r="K175" s="95" t="n">
        <v>982</v>
      </c>
      <c r="L175" s="241" t="n">
        <f aca="false">K175/H175*100</f>
        <v>59.4791035735918</v>
      </c>
      <c r="M175" s="95" t="n">
        <v>20</v>
      </c>
      <c r="N175" s="241" t="n">
        <f aca="false">M175/H175*100</f>
        <v>1.21138703815869</v>
      </c>
      <c r="O175" s="95" t="n">
        <v>75.31</v>
      </c>
      <c r="P175" s="95" t="n">
        <v>0</v>
      </c>
      <c r="Q175" s="153" t="s">
        <v>45</v>
      </c>
      <c r="R175" s="153" t="s">
        <v>2557</v>
      </c>
      <c r="S175" s="112"/>
      <c r="T175" s="153" t="n">
        <v>72.0768</v>
      </c>
      <c r="U175" s="112"/>
      <c r="V175" s="112"/>
      <c r="W175" s="112"/>
      <c r="X175" s="112"/>
      <c r="Y175" s="112"/>
      <c r="Z175" s="112"/>
      <c r="AA175" s="153" t="s">
        <v>272</v>
      </c>
      <c r="AB175" s="153" t="n">
        <v>0</v>
      </c>
      <c r="AC175" s="153" t="s">
        <v>859</v>
      </c>
      <c r="AD175" s="153" t="n">
        <v>24.412704</v>
      </c>
      <c r="AE175" s="153" t="n">
        <v>75.869388</v>
      </c>
    </row>
    <row r="176" customFormat="false" ht="15" hidden="false" customHeight="false" outlineLevel="0" collapsed="false">
      <c r="A176" s="95" t="s">
        <v>39</v>
      </c>
      <c r="B176" s="95" t="s">
        <v>2349</v>
      </c>
      <c r="C176" s="243" t="s">
        <v>2555</v>
      </c>
      <c r="D176" s="95" t="s">
        <v>70</v>
      </c>
      <c r="E176" s="95" t="n">
        <v>104876</v>
      </c>
      <c r="F176" s="95" t="n">
        <v>236.37</v>
      </c>
      <c r="G176" s="95" t="n">
        <v>122</v>
      </c>
      <c r="H176" s="95" t="n">
        <v>662</v>
      </c>
      <c r="I176" s="95" t="n">
        <v>347</v>
      </c>
      <c r="J176" s="95" t="n">
        <v>315</v>
      </c>
      <c r="K176" s="95" t="n">
        <v>173</v>
      </c>
      <c r="L176" s="241" t="n">
        <f aca="false">K176/H176*100</f>
        <v>26.1329305135952</v>
      </c>
      <c r="M176" s="95" t="n">
        <v>0</v>
      </c>
      <c r="N176" s="241" t="n">
        <f aca="false">M176/H176*100</f>
        <v>0</v>
      </c>
      <c r="O176" s="95" t="n">
        <v>10.23</v>
      </c>
      <c r="P176" s="95" t="n">
        <v>0</v>
      </c>
      <c r="Q176" s="153" t="s">
        <v>45</v>
      </c>
      <c r="R176" s="153" t="s">
        <v>2557</v>
      </c>
      <c r="S176" s="112"/>
      <c r="T176" s="153" t="n">
        <v>17.4754</v>
      </c>
      <c r="U176" s="112"/>
      <c r="V176" s="112"/>
      <c r="W176" s="112"/>
      <c r="X176" s="112"/>
      <c r="Y176" s="112"/>
      <c r="Z176" s="112"/>
      <c r="AA176" s="153" t="s">
        <v>82</v>
      </c>
      <c r="AB176" s="153" t="n">
        <v>5</v>
      </c>
      <c r="AC176" s="153" t="s">
        <v>859</v>
      </c>
      <c r="AD176" s="153" t="n">
        <v>24.405847</v>
      </c>
      <c r="AE176" s="153" t="n">
        <v>75.921254</v>
      </c>
    </row>
    <row r="177" customFormat="false" ht="15" hidden="false" customHeight="false" outlineLevel="0" collapsed="false">
      <c r="A177" s="95" t="s">
        <v>39</v>
      </c>
      <c r="B177" s="95" t="s">
        <v>2349</v>
      </c>
      <c r="C177" s="243" t="s">
        <v>2559</v>
      </c>
      <c r="D177" s="95" t="s">
        <v>2560</v>
      </c>
      <c r="E177" s="95" t="n">
        <v>104949</v>
      </c>
      <c r="F177" s="95" t="n">
        <v>654.45</v>
      </c>
      <c r="G177" s="95" t="n">
        <v>299</v>
      </c>
      <c r="H177" s="95" t="n">
        <v>1578</v>
      </c>
      <c r="I177" s="95" t="n">
        <v>802</v>
      </c>
      <c r="J177" s="95" t="n">
        <v>776</v>
      </c>
      <c r="K177" s="95" t="n">
        <v>301</v>
      </c>
      <c r="L177" s="241" t="n">
        <f aca="false">K177/H177*100</f>
        <v>19.0747782002535</v>
      </c>
      <c r="M177" s="95" t="n">
        <v>0</v>
      </c>
      <c r="N177" s="241" t="n">
        <f aca="false">M177/H177*100</f>
        <v>0</v>
      </c>
      <c r="O177" s="95" t="n">
        <v>84.87</v>
      </c>
      <c r="P177" s="95" t="n">
        <v>132.35</v>
      </c>
      <c r="Q177" s="10" t="s">
        <v>150</v>
      </c>
      <c r="R177" s="117" t="s">
        <v>1636</v>
      </c>
      <c r="S177" s="112"/>
      <c r="T177" s="10" t="n">
        <v>30</v>
      </c>
      <c r="U177" s="112"/>
      <c r="V177" s="112"/>
      <c r="W177" s="112"/>
      <c r="X177" s="112"/>
      <c r="Y177" s="112"/>
      <c r="Z177" s="112"/>
      <c r="AA177" s="244" t="s">
        <v>45</v>
      </c>
      <c r="AB177" s="245" t="n">
        <v>55</v>
      </c>
      <c r="AC177" s="117" t="s">
        <v>1811</v>
      </c>
      <c r="AD177" s="10" t="n">
        <v>24.151488</v>
      </c>
      <c r="AE177" s="10" t="n">
        <v>75.505737</v>
      </c>
    </row>
    <row r="178" customFormat="false" ht="15" hidden="false" customHeight="false" outlineLevel="0" collapsed="false">
      <c r="A178" s="95" t="s">
        <v>39</v>
      </c>
      <c r="B178" s="95" t="s">
        <v>2349</v>
      </c>
      <c r="C178" s="243" t="s">
        <v>2559</v>
      </c>
      <c r="D178" s="95" t="s">
        <v>924</v>
      </c>
      <c r="E178" s="95" t="n">
        <v>104955</v>
      </c>
      <c r="F178" s="95" t="n">
        <v>207.94</v>
      </c>
      <c r="G178" s="95" t="n">
        <v>174</v>
      </c>
      <c r="H178" s="95" t="n">
        <v>993</v>
      </c>
      <c r="I178" s="95" t="n">
        <v>496</v>
      </c>
      <c r="J178" s="95" t="n">
        <v>497</v>
      </c>
      <c r="K178" s="95" t="n">
        <v>203</v>
      </c>
      <c r="L178" s="241" t="n">
        <f aca="false">K178/H178*100</f>
        <v>20.4431017119839</v>
      </c>
      <c r="M178" s="95" t="n">
        <v>0</v>
      </c>
      <c r="N178" s="241" t="n">
        <f aca="false">M178/H178*100</f>
        <v>0</v>
      </c>
      <c r="O178" s="95" t="n">
        <v>8.75</v>
      </c>
      <c r="P178" s="95" t="n">
        <v>0</v>
      </c>
      <c r="Q178" s="132" t="s">
        <v>45</v>
      </c>
      <c r="R178" s="132" t="s">
        <v>2561</v>
      </c>
      <c r="S178" s="112"/>
      <c r="T178" s="244" t="n">
        <v>2</v>
      </c>
      <c r="U178" s="112"/>
      <c r="V178" s="112"/>
      <c r="W178" s="112"/>
      <c r="X178" s="112"/>
      <c r="Y178" s="112"/>
      <c r="Z178" s="112"/>
      <c r="AA178" s="244" t="s">
        <v>45</v>
      </c>
      <c r="AB178" s="244" t="n">
        <v>5</v>
      </c>
      <c r="AC178" s="134" t="s">
        <v>2562</v>
      </c>
      <c r="AD178" s="134" t="n">
        <v>24.130859</v>
      </c>
      <c r="AE178" s="134" t="n">
        <v>75.794423</v>
      </c>
    </row>
    <row r="179" customFormat="false" ht="15" hidden="false" customHeight="false" outlineLevel="0" collapsed="false">
      <c r="A179" s="95" t="s">
        <v>39</v>
      </c>
      <c r="B179" s="95" t="s">
        <v>2349</v>
      </c>
      <c r="C179" s="243" t="s">
        <v>2559</v>
      </c>
      <c r="D179" s="95" t="s">
        <v>2563</v>
      </c>
      <c r="E179" s="95" t="n">
        <v>104956</v>
      </c>
      <c r="F179" s="95" t="n">
        <v>165.04</v>
      </c>
      <c r="G179" s="95" t="n">
        <v>29</v>
      </c>
      <c r="H179" s="95" t="n">
        <v>132</v>
      </c>
      <c r="I179" s="95" t="n">
        <v>68</v>
      </c>
      <c r="J179" s="95" t="n">
        <v>64</v>
      </c>
      <c r="K179" s="95" t="n">
        <v>61</v>
      </c>
      <c r="L179" s="241" t="n">
        <f aca="false">K179/H179*100</f>
        <v>46.2121212121212</v>
      </c>
      <c r="M179" s="95" t="n">
        <v>0</v>
      </c>
      <c r="N179" s="241" t="n">
        <f aca="false">M179/H179*100</f>
        <v>0</v>
      </c>
      <c r="O179" s="95" t="n">
        <v>59.4</v>
      </c>
      <c r="P179" s="95" t="n">
        <v>10</v>
      </c>
      <c r="Q179" s="10" t="s">
        <v>150</v>
      </c>
      <c r="R179" s="117" t="s">
        <v>1636</v>
      </c>
      <c r="S179" s="112"/>
      <c r="T179" s="10" t="n">
        <v>5</v>
      </c>
      <c r="U179" s="112"/>
      <c r="V179" s="112"/>
      <c r="W179" s="112"/>
      <c r="X179" s="112"/>
      <c r="Y179" s="112"/>
      <c r="Z179" s="112"/>
      <c r="AA179" s="244" t="s">
        <v>45</v>
      </c>
      <c r="AB179" s="245" t="n">
        <v>14</v>
      </c>
      <c r="AC179" s="117" t="s">
        <v>2479</v>
      </c>
      <c r="AD179" s="10" t="n">
        <v>24.13254</v>
      </c>
      <c r="AE179" s="10" t="n">
        <v>75.795899</v>
      </c>
    </row>
    <row r="180" customFormat="false" ht="15" hidden="false" customHeight="false" outlineLevel="0" collapsed="false">
      <c r="A180" s="95" t="s">
        <v>39</v>
      </c>
      <c r="B180" s="95" t="s">
        <v>2349</v>
      </c>
      <c r="C180" s="243" t="s">
        <v>2559</v>
      </c>
      <c r="D180" s="95" t="s">
        <v>2564</v>
      </c>
      <c r="E180" s="95" t="n">
        <v>104958</v>
      </c>
      <c r="F180" s="95" t="n">
        <v>245.26</v>
      </c>
      <c r="G180" s="95" t="n">
        <v>214</v>
      </c>
      <c r="H180" s="95" t="n">
        <v>1042</v>
      </c>
      <c r="I180" s="95" t="n">
        <v>541</v>
      </c>
      <c r="J180" s="95" t="n">
        <v>501</v>
      </c>
      <c r="K180" s="95" t="n">
        <v>362</v>
      </c>
      <c r="L180" s="241" t="n">
        <f aca="false">K180/H180*100</f>
        <v>34.7408829174664</v>
      </c>
      <c r="M180" s="95" t="n">
        <v>0</v>
      </c>
      <c r="N180" s="241" t="n">
        <f aca="false">M180/H180*100</f>
        <v>0</v>
      </c>
      <c r="O180" s="95" t="n">
        <v>0</v>
      </c>
      <c r="P180" s="95" t="n">
        <v>0</v>
      </c>
      <c r="Q180" s="132" t="s">
        <v>45</v>
      </c>
      <c r="R180" s="132" t="s">
        <v>2561</v>
      </c>
      <c r="S180" s="112"/>
      <c r="T180" s="244" t="n">
        <v>18</v>
      </c>
      <c r="U180" s="112"/>
      <c r="V180" s="112"/>
      <c r="W180" s="112"/>
      <c r="X180" s="112"/>
      <c r="Y180" s="112"/>
      <c r="Z180" s="112"/>
      <c r="AA180" s="244" t="s">
        <v>45</v>
      </c>
      <c r="AB180" s="244" t="n">
        <v>8</v>
      </c>
      <c r="AC180" s="134" t="s">
        <v>1486</v>
      </c>
      <c r="AD180" s="134" t="n">
        <v>24.107387</v>
      </c>
      <c r="AE180" s="134" t="n">
        <v>75.803364</v>
      </c>
    </row>
    <row r="181" customFormat="false" ht="15" hidden="false" customHeight="false" outlineLevel="0" collapsed="false">
      <c r="A181" s="95" t="s">
        <v>39</v>
      </c>
      <c r="B181" s="95" t="s">
        <v>2349</v>
      </c>
      <c r="C181" s="243" t="s">
        <v>2559</v>
      </c>
      <c r="D181" s="95" t="s">
        <v>2464</v>
      </c>
      <c r="E181" s="95" t="n">
        <v>104959</v>
      </c>
      <c r="F181" s="95" t="n">
        <v>340.16</v>
      </c>
      <c r="G181" s="95" t="n">
        <v>104</v>
      </c>
      <c r="H181" s="95" t="n">
        <v>455</v>
      </c>
      <c r="I181" s="95" t="n">
        <v>238</v>
      </c>
      <c r="J181" s="95" t="n">
        <v>217</v>
      </c>
      <c r="K181" s="95" t="n">
        <v>19</v>
      </c>
      <c r="L181" s="241" t="n">
        <f aca="false">K181/H181*100</f>
        <v>4.17582417582418</v>
      </c>
      <c r="M181" s="95" t="n">
        <v>3</v>
      </c>
      <c r="N181" s="241" t="n">
        <f aca="false">M181/H181*100</f>
        <v>0.659340659340659</v>
      </c>
      <c r="O181" s="95" t="n">
        <v>12.58</v>
      </c>
      <c r="P181" s="95" t="n">
        <v>0</v>
      </c>
      <c r="Q181" s="132" t="s">
        <v>45</v>
      </c>
      <c r="R181" s="132" t="s">
        <v>2561</v>
      </c>
      <c r="S181" s="112"/>
      <c r="T181" s="244" t="n">
        <v>35</v>
      </c>
      <c r="U181" s="112"/>
      <c r="V181" s="112"/>
      <c r="W181" s="112"/>
      <c r="X181" s="112"/>
      <c r="Y181" s="112"/>
      <c r="Z181" s="112"/>
      <c r="AA181" s="244" t="s">
        <v>45</v>
      </c>
      <c r="AB181" s="244" t="n">
        <v>10</v>
      </c>
      <c r="AC181" s="134" t="s">
        <v>2565</v>
      </c>
      <c r="AD181" s="134" t="n">
        <v>24.141972</v>
      </c>
      <c r="AE181" s="134" t="n">
        <v>75.828769</v>
      </c>
    </row>
    <row r="182" customFormat="false" ht="15" hidden="false" customHeight="false" outlineLevel="0" collapsed="false">
      <c r="A182" s="95" t="s">
        <v>39</v>
      </c>
      <c r="B182" s="95" t="s">
        <v>2349</v>
      </c>
      <c r="C182" s="243" t="s">
        <v>2559</v>
      </c>
      <c r="D182" s="95" t="s">
        <v>2566</v>
      </c>
      <c r="E182" s="95" t="n">
        <v>104968</v>
      </c>
      <c r="F182" s="95" t="n">
        <v>295.24</v>
      </c>
      <c r="G182" s="95" t="n">
        <v>54</v>
      </c>
      <c r="H182" s="95" t="n">
        <v>282</v>
      </c>
      <c r="I182" s="95" t="n">
        <v>136</v>
      </c>
      <c r="J182" s="95" t="n">
        <v>146</v>
      </c>
      <c r="K182" s="95" t="n">
        <v>85</v>
      </c>
      <c r="L182" s="241" t="n">
        <f aca="false">K182/H182*100</f>
        <v>30.1418439716312</v>
      </c>
      <c r="M182" s="95" t="n">
        <v>1</v>
      </c>
      <c r="N182" s="241" t="n">
        <f aca="false">M182/H182*100</f>
        <v>0.354609929078014</v>
      </c>
      <c r="O182" s="95" t="n">
        <v>19.49</v>
      </c>
      <c r="P182" s="95" t="n">
        <v>21.89</v>
      </c>
      <c r="Q182" s="132" t="s">
        <v>45</v>
      </c>
      <c r="R182" s="132" t="s">
        <v>2561</v>
      </c>
      <c r="S182" s="112"/>
      <c r="T182" s="244" t="n">
        <v>44</v>
      </c>
      <c r="U182" s="112"/>
      <c r="V182" s="112"/>
      <c r="W182" s="112"/>
      <c r="X182" s="112"/>
      <c r="Y182" s="112"/>
      <c r="Z182" s="112"/>
      <c r="AA182" s="244" t="s">
        <v>45</v>
      </c>
      <c r="AB182" s="244" t="n">
        <v>15</v>
      </c>
      <c r="AC182" s="134" t="s">
        <v>2567</v>
      </c>
      <c r="AD182" s="134" t="n">
        <v>24.120775</v>
      </c>
      <c r="AE182" s="134" t="n">
        <v>75.829246</v>
      </c>
    </row>
    <row r="183" customFormat="false" ht="15" hidden="false" customHeight="false" outlineLevel="0" collapsed="false">
      <c r="A183" s="95" t="s">
        <v>39</v>
      </c>
      <c r="B183" s="95" t="s">
        <v>2349</v>
      </c>
      <c r="C183" s="243" t="s">
        <v>2559</v>
      </c>
      <c r="D183" s="95" t="s">
        <v>1095</v>
      </c>
      <c r="E183" s="95" t="n">
        <v>104957</v>
      </c>
      <c r="F183" s="95" t="n">
        <v>156.99</v>
      </c>
      <c r="G183" s="95" t="n">
        <v>43</v>
      </c>
      <c r="H183" s="95" t="n">
        <v>167</v>
      </c>
      <c r="I183" s="95" t="n">
        <v>89</v>
      </c>
      <c r="J183" s="95" t="n">
        <v>78</v>
      </c>
      <c r="K183" s="95" t="n">
        <v>121</v>
      </c>
      <c r="L183" s="241" t="n">
        <f aca="false">K183/H183*100</f>
        <v>72.4550898203593</v>
      </c>
      <c r="M183" s="95" t="n">
        <v>0</v>
      </c>
      <c r="N183" s="241" t="n">
        <f aca="false">M183/H183*100</f>
        <v>0</v>
      </c>
      <c r="O183" s="95" t="n">
        <v>7.56</v>
      </c>
      <c r="P183" s="95" t="n">
        <v>31.97</v>
      </c>
      <c r="Q183" s="132" t="s">
        <v>45</v>
      </c>
      <c r="R183" s="132" t="s">
        <v>2561</v>
      </c>
      <c r="S183" s="112"/>
      <c r="T183" s="244" t="n">
        <v>30</v>
      </c>
      <c r="U183" s="112"/>
      <c r="V183" s="112"/>
      <c r="W183" s="112"/>
      <c r="X183" s="112"/>
      <c r="Y183" s="112"/>
      <c r="Z183" s="112"/>
      <c r="AA183" s="244" t="s">
        <v>45</v>
      </c>
      <c r="AB183" s="244" t="n">
        <v>42</v>
      </c>
      <c r="AC183" s="134" t="s">
        <v>2568</v>
      </c>
      <c r="AD183" s="134" t="n">
        <v>24.105714</v>
      </c>
      <c r="AE183" s="134" t="n">
        <v>75.80175</v>
      </c>
    </row>
    <row r="184" customFormat="false" ht="15" hidden="false" customHeight="false" outlineLevel="0" collapsed="false">
      <c r="A184" s="95" t="s">
        <v>39</v>
      </c>
      <c r="B184" s="95" t="s">
        <v>2349</v>
      </c>
      <c r="C184" s="243" t="s">
        <v>2559</v>
      </c>
      <c r="D184" s="95" t="s">
        <v>1095</v>
      </c>
      <c r="E184" s="95" t="n">
        <v>104957</v>
      </c>
      <c r="F184" s="95" t="n">
        <v>156.99</v>
      </c>
      <c r="G184" s="95" t="n">
        <v>43</v>
      </c>
      <c r="H184" s="95" t="n">
        <v>167</v>
      </c>
      <c r="I184" s="95" t="n">
        <v>89</v>
      </c>
      <c r="J184" s="95" t="n">
        <v>78</v>
      </c>
      <c r="K184" s="95" t="n">
        <v>121</v>
      </c>
      <c r="L184" s="241" t="n">
        <f aca="false">K184/H184*100</f>
        <v>72.4550898203593</v>
      </c>
      <c r="M184" s="95" t="n">
        <v>0</v>
      </c>
      <c r="N184" s="241" t="n">
        <f aca="false">M184/H184*100</f>
        <v>0</v>
      </c>
      <c r="O184" s="95" t="n">
        <v>7.56</v>
      </c>
      <c r="P184" s="95" t="n">
        <v>31.97</v>
      </c>
      <c r="Q184" s="95"/>
      <c r="R184" s="95"/>
      <c r="S184" s="112"/>
      <c r="T184" s="95"/>
      <c r="U184" s="112"/>
      <c r="V184" s="112"/>
      <c r="W184" s="112"/>
      <c r="X184" s="112"/>
      <c r="Y184" s="112"/>
      <c r="Z184" s="112"/>
      <c r="AA184" s="95"/>
      <c r="AB184" s="95"/>
      <c r="AC184" s="95"/>
      <c r="AD184" s="95"/>
      <c r="AE184" s="95"/>
    </row>
    <row r="185" customFormat="false" ht="15" hidden="false" customHeight="false" outlineLevel="0" collapsed="false">
      <c r="A185" s="95" t="s">
        <v>39</v>
      </c>
      <c r="B185" s="95" t="s">
        <v>2349</v>
      </c>
      <c r="C185" s="243" t="s">
        <v>2519</v>
      </c>
      <c r="D185" s="134" t="s">
        <v>2569</v>
      </c>
      <c r="E185" s="95"/>
      <c r="F185" s="95"/>
      <c r="G185" s="95"/>
      <c r="H185" s="95"/>
      <c r="I185" s="95"/>
      <c r="J185" s="95"/>
      <c r="K185" s="95"/>
      <c r="L185" s="241"/>
      <c r="M185" s="95"/>
      <c r="N185" s="241"/>
      <c r="O185" s="95"/>
      <c r="P185" s="94"/>
      <c r="Q185" s="132" t="s">
        <v>45</v>
      </c>
      <c r="R185" s="227" t="n">
        <v>44905</v>
      </c>
      <c r="S185" s="112"/>
      <c r="T185" s="133" t="n">
        <v>25</v>
      </c>
      <c r="U185" s="112"/>
      <c r="V185" s="112"/>
      <c r="W185" s="112"/>
      <c r="X185" s="112"/>
      <c r="Y185" s="112"/>
      <c r="Z185" s="112"/>
      <c r="AA185" s="244" t="s">
        <v>45</v>
      </c>
      <c r="AB185" s="133" t="n">
        <v>8</v>
      </c>
      <c r="AC185" s="134" t="s">
        <v>2397</v>
      </c>
      <c r="AD185" s="134" t="n">
        <v>24.437015</v>
      </c>
      <c r="AE185" s="134" t="n">
        <v>75.805364</v>
      </c>
    </row>
    <row r="186" customFormat="false" ht="15" hidden="false" customHeight="false" outlineLevel="0" collapsed="false">
      <c r="A186" s="95" t="s">
        <v>39</v>
      </c>
      <c r="B186" s="95" t="s">
        <v>2349</v>
      </c>
      <c r="C186" s="243" t="s">
        <v>2527</v>
      </c>
      <c r="D186" s="153" t="s">
        <v>376</v>
      </c>
      <c r="E186" s="172"/>
      <c r="F186" s="172"/>
      <c r="G186" s="172"/>
      <c r="H186" s="172"/>
      <c r="I186" s="172"/>
      <c r="J186" s="172"/>
      <c r="K186" s="172"/>
      <c r="L186" s="241"/>
      <c r="M186" s="172"/>
      <c r="N186" s="241"/>
      <c r="O186" s="172"/>
      <c r="P186" s="94"/>
      <c r="Q186" s="153" t="s">
        <v>45</v>
      </c>
      <c r="R186" s="153" t="s">
        <v>1037</v>
      </c>
      <c r="S186" s="112"/>
      <c r="T186" s="153" t="n">
        <v>25.6059</v>
      </c>
      <c r="U186" s="112"/>
      <c r="V186" s="112" t="s">
        <v>43</v>
      </c>
      <c r="W186" s="112"/>
      <c r="X186" s="112"/>
      <c r="Y186" s="112"/>
      <c r="Z186" s="112"/>
      <c r="AA186" s="153" t="s">
        <v>272</v>
      </c>
      <c r="AB186" s="153" t="n">
        <v>0</v>
      </c>
      <c r="AC186" s="172" t="s">
        <v>859</v>
      </c>
      <c r="AD186" s="153"/>
      <c r="AE186" s="153"/>
    </row>
    <row r="187" customFormat="false" ht="15" hidden="false" customHeight="false" outlineLevel="0" collapsed="false">
      <c r="A187" s="95" t="s">
        <v>39</v>
      </c>
      <c r="B187" s="95" t="s">
        <v>2349</v>
      </c>
      <c r="C187" s="243" t="s">
        <v>2530</v>
      </c>
      <c r="D187" s="95" t="s">
        <v>1765</v>
      </c>
      <c r="E187" s="172"/>
      <c r="F187" s="172"/>
      <c r="G187" s="172"/>
      <c r="H187" s="172"/>
      <c r="I187" s="172"/>
      <c r="J187" s="172"/>
      <c r="K187" s="172"/>
      <c r="L187" s="241"/>
      <c r="M187" s="172"/>
      <c r="N187" s="241"/>
      <c r="O187" s="172"/>
      <c r="P187" s="94"/>
      <c r="Q187" s="153" t="s">
        <v>45</v>
      </c>
      <c r="R187" s="171" t="n">
        <v>44693</v>
      </c>
      <c r="S187" s="112"/>
      <c r="T187" s="153"/>
      <c r="U187" s="112"/>
      <c r="V187" s="112"/>
      <c r="W187" s="112"/>
      <c r="X187" s="112"/>
      <c r="Y187" s="112"/>
      <c r="Z187" s="112"/>
      <c r="AA187" s="153" t="s">
        <v>150</v>
      </c>
      <c r="AB187" s="153" t="n">
        <v>25.416</v>
      </c>
      <c r="AC187" s="153" t="s">
        <v>1489</v>
      </c>
      <c r="AD187" s="153" t="n">
        <v>24.30677</v>
      </c>
      <c r="AE187" s="153" t="n">
        <v>75.78205</v>
      </c>
    </row>
    <row r="188" customFormat="false" ht="15" hidden="false" customHeight="false" outlineLevel="0" collapsed="false">
      <c r="A188" s="95" t="s">
        <v>39</v>
      </c>
      <c r="B188" s="95" t="s">
        <v>2349</v>
      </c>
      <c r="C188" s="243" t="s">
        <v>2530</v>
      </c>
      <c r="D188" s="95" t="s">
        <v>1765</v>
      </c>
      <c r="E188" s="172"/>
      <c r="F188" s="172"/>
      <c r="G188" s="172"/>
      <c r="H188" s="172"/>
      <c r="I188" s="172"/>
      <c r="J188" s="172"/>
      <c r="K188" s="172"/>
      <c r="L188" s="241"/>
      <c r="M188" s="172"/>
      <c r="N188" s="241"/>
      <c r="O188" s="172"/>
      <c r="P188" s="94"/>
      <c r="Q188" s="153" t="s">
        <v>45</v>
      </c>
      <c r="R188" s="171" t="n">
        <v>44693</v>
      </c>
      <c r="S188" s="112"/>
      <c r="T188" s="153"/>
      <c r="U188" s="112"/>
      <c r="V188" s="112"/>
      <c r="W188" s="112"/>
      <c r="X188" s="112"/>
      <c r="Y188" s="112"/>
      <c r="Z188" s="112"/>
      <c r="AA188" s="153" t="s">
        <v>82</v>
      </c>
      <c r="AB188" s="153" t="n">
        <v>46</v>
      </c>
      <c r="AC188" s="153" t="s">
        <v>859</v>
      </c>
      <c r="AD188" s="153" t="n">
        <v>24.300105</v>
      </c>
      <c r="AE188" s="153" t="n">
        <v>75.779428</v>
      </c>
    </row>
    <row r="189" customFormat="false" ht="15" hidden="false" customHeight="false" outlineLevel="0" collapsed="false">
      <c r="A189" s="95" t="s">
        <v>39</v>
      </c>
      <c r="B189" s="95" t="s">
        <v>2349</v>
      </c>
      <c r="C189" s="243" t="s">
        <v>2544</v>
      </c>
      <c r="D189" s="95" t="s">
        <v>2553</v>
      </c>
      <c r="E189" s="172"/>
      <c r="F189" s="172"/>
      <c r="G189" s="172"/>
      <c r="H189" s="172"/>
      <c r="I189" s="172"/>
      <c r="J189" s="172"/>
      <c r="K189" s="172"/>
      <c r="L189" s="241"/>
      <c r="M189" s="172"/>
      <c r="N189" s="241"/>
      <c r="O189" s="172"/>
      <c r="P189" s="94"/>
      <c r="Q189" s="172" t="s">
        <v>45</v>
      </c>
      <c r="R189" s="173" t="n">
        <v>44875</v>
      </c>
      <c r="S189" s="112"/>
      <c r="T189" s="153"/>
      <c r="U189" s="112"/>
      <c r="V189" s="112"/>
      <c r="W189" s="112"/>
      <c r="X189" s="112"/>
      <c r="Y189" s="112"/>
      <c r="Z189" s="112"/>
      <c r="AA189" s="153" t="s">
        <v>82</v>
      </c>
      <c r="AB189" s="153" t="n">
        <v>1.348</v>
      </c>
      <c r="AC189" s="153" t="s">
        <v>2570</v>
      </c>
      <c r="AD189" s="153" t="n">
        <v>24.16048</v>
      </c>
      <c r="AE189" s="153" t="n">
        <v>75.80537</v>
      </c>
    </row>
    <row r="190" customFormat="false" ht="15" hidden="false" customHeight="false" outlineLevel="0" collapsed="false">
      <c r="A190" s="95" t="s">
        <v>39</v>
      </c>
      <c r="B190" s="95" t="s">
        <v>2349</v>
      </c>
      <c r="C190" s="243" t="s">
        <v>2409</v>
      </c>
      <c r="D190" s="95" t="s">
        <v>1338</v>
      </c>
      <c r="E190" s="172"/>
      <c r="F190" s="172"/>
      <c r="G190" s="172"/>
      <c r="H190" s="172"/>
      <c r="I190" s="172"/>
      <c r="J190" s="172"/>
      <c r="K190" s="172"/>
      <c r="L190" s="241"/>
      <c r="M190" s="172"/>
      <c r="N190" s="241"/>
      <c r="O190" s="172"/>
      <c r="P190" s="94"/>
      <c r="Q190" s="153" t="s">
        <v>45</v>
      </c>
      <c r="R190" s="153" t="s">
        <v>2410</v>
      </c>
      <c r="S190" s="112"/>
      <c r="T190" s="153"/>
      <c r="U190" s="112"/>
      <c r="V190" s="112"/>
      <c r="W190" s="112"/>
      <c r="X190" s="112"/>
      <c r="Y190" s="112"/>
      <c r="Z190" s="112"/>
      <c r="AA190" s="153" t="s">
        <v>82</v>
      </c>
      <c r="AB190" s="153" t="n">
        <v>12</v>
      </c>
      <c r="AC190" s="153" t="s">
        <v>859</v>
      </c>
      <c r="AD190" s="153" t="n">
        <v>24.463294</v>
      </c>
      <c r="AE190" s="153" t="n">
        <v>75.963303</v>
      </c>
    </row>
    <row r="191" customFormat="false" ht="15" hidden="false" customHeight="false" outlineLevel="0" collapsed="false">
      <c r="A191" s="95" t="s">
        <v>39</v>
      </c>
      <c r="B191" s="95" t="s">
        <v>2349</v>
      </c>
      <c r="C191" s="95"/>
      <c r="D191" s="95"/>
      <c r="E191" s="95"/>
      <c r="F191" s="95"/>
      <c r="G191" s="95"/>
      <c r="H191" s="95"/>
      <c r="I191" s="95"/>
      <c r="J191" s="95"/>
      <c r="K191" s="95"/>
      <c r="L191" s="241"/>
      <c r="M191" s="95"/>
      <c r="N191" s="241"/>
      <c r="O191" s="95"/>
      <c r="P191" s="94"/>
      <c r="Q191" s="95"/>
      <c r="R191" s="95"/>
      <c r="S191" s="112"/>
      <c r="T191" s="95"/>
      <c r="U191" s="112"/>
      <c r="V191" s="112"/>
      <c r="W191" s="112"/>
      <c r="X191" s="112"/>
      <c r="Y191" s="112"/>
      <c r="Z191" s="112"/>
      <c r="AA191" s="95"/>
      <c r="AB191" s="95"/>
      <c r="AC191" s="95"/>
      <c r="AD191" s="95"/>
      <c r="AE191" s="95"/>
    </row>
    <row r="192" customFormat="false" ht="15" hidden="false" customHeight="false" outlineLevel="0" collapsed="false">
      <c r="A192" s="95" t="s">
        <v>39</v>
      </c>
      <c r="B192" s="95" t="s">
        <v>2349</v>
      </c>
      <c r="C192" s="243" t="s">
        <v>2507</v>
      </c>
      <c r="D192" s="95" t="s">
        <v>1749</v>
      </c>
      <c r="E192" s="95"/>
      <c r="F192" s="95"/>
      <c r="G192" s="95"/>
      <c r="H192" s="95"/>
      <c r="I192" s="95"/>
      <c r="J192" s="95"/>
      <c r="K192" s="95"/>
      <c r="L192" s="241"/>
      <c r="M192" s="95"/>
      <c r="N192" s="241"/>
      <c r="O192" s="95"/>
      <c r="P192" s="94"/>
      <c r="Q192" s="153" t="s">
        <v>45</v>
      </c>
      <c r="R192" s="153" t="s">
        <v>1964</v>
      </c>
      <c r="S192" s="112"/>
      <c r="T192" s="153"/>
      <c r="U192" s="112"/>
      <c r="V192" s="112"/>
      <c r="W192" s="112"/>
      <c r="X192" s="112"/>
      <c r="Y192" s="112"/>
      <c r="Z192" s="112"/>
      <c r="AA192" s="153" t="s">
        <v>82</v>
      </c>
      <c r="AB192" s="153" t="n">
        <v>2</v>
      </c>
      <c r="AC192" s="153" t="s">
        <v>859</v>
      </c>
      <c r="AD192" s="153" t="n">
        <v>24.28077</v>
      </c>
      <c r="AE192" s="153" t="n">
        <v>75.88486</v>
      </c>
    </row>
    <row r="193" customFormat="false" ht="15" hidden="false" customHeight="false" outlineLevel="0" collapsed="false">
      <c r="A193" s="95" t="s">
        <v>39</v>
      </c>
      <c r="B193" s="95" t="s">
        <v>2349</v>
      </c>
      <c r="C193" s="243" t="s">
        <v>2507</v>
      </c>
      <c r="D193" s="95" t="s">
        <v>1749</v>
      </c>
      <c r="E193" s="95"/>
      <c r="F193" s="95"/>
      <c r="G193" s="95"/>
      <c r="H193" s="95"/>
      <c r="I193" s="95"/>
      <c r="J193" s="95"/>
      <c r="K193" s="95"/>
      <c r="L193" s="241"/>
      <c r="M193" s="95"/>
      <c r="N193" s="241"/>
      <c r="O193" s="95"/>
      <c r="P193" s="94"/>
      <c r="Q193" s="153" t="s">
        <v>45</v>
      </c>
      <c r="R193" s="153" t="s">
        <v>1964</v>
      </c>
      <c r="S193" s="112"/>
      <c r="T193" s="153"/>
      <c r="U193" s="112"/>
      <c r="V193" s="112"/>
      <c r="W193" s="112"/>
      <c r="X193" s="112"/>
      <c r="Y193" s="112"/>
      <c r="Z193" s="112"/>
      <c r="AA193" s="153" t="s">
        <v>82</v>
      </c>
      <c r="AB193" s="153" t="n">
        <v>2.48</v>
      </c>
      <c r="AC193" s="153" t="s">
        <v>859</v>
      </c>
      <c r="AD193" s="153" t="n">
        <v>24.29182</v>
      </c>
      <c r="AE193" s="153" t="n">
        <v>75.88507</v>
      </c>
    </row>
    <row r="194" customFormat="false" ht="15" hidden="false" customHeight="false" outlineLevel="0" collapsed="false">
      <c r="A194" s="95" t="s">
        <v>39</v>
      </c>
      <c r="B194" s="95" t="s">
        <v>2349</v>
      </c>
      <c r="C194" s="243" t="s">
        <v>2361</v>
      </c>
      <c r="D194" s="95" t="s">
        <v>2368</v>
      </c>
      <c r="E194" s="95"/>
      <c r="F194" s="95"/>
      <c r="G194" s="95"/>
      <c r="H194" s="95"/>
      <c r="I194" s="95"/>
      <c r="J194" s="95"/>
      <c r="K194" s="95"/>
      <c r="L194" s="241"/>
      <c r="M194" s="95"/>
      <c r="N194" s="241"/>
      <c r="O194" s="95"/>
      <c r="P194" s="94"/>
      <c r="Q194" s="10" t="s">
        <v>43</v>
      </c>
      <c r="R194" s="117" t="s">
        <v>1547</v>
      </c>
      <c r="S194" s="112"/>
      <c r="T194" s="153"/>
      <c r="U194" s="112"/>
      <c r="V194" s="112"/>
      <c r="W194" s="112"/>
      <c r="X194" s="112"/>
      <c r="Y194" s="112"/>
      <c r="Z194" s="112"/>
      <c r="AA194" s="244" t="s">
        <v>45</v>
      </c>
      <c r="AB194" s="245" t="n">
        <v>2</v>
      </c>
      <c r="AC194" s="153" t="s">
        <v>859</v>
      </c>
      <c r="AD194" s="10" t="n">
        <v>24.31124</v>
      </c>
      <c r="AE194" s="10" t="n">
        <v>75.86588</v>
      </c>
    </row>
    <row r="195" customFormat="false" ht="15" hidden="false" customHeight="false" outlineLevel="0" collapsed="false">
      <c r="A195" s="95" t="s">
        <v>39</v>
      </c>
      <c r="B195" s="95" t="s">
        <v>2349</v>
      </c>
      <c r="C195" s="243" t="s">
        <v>2507</v>
      </c>
      <c r="D195" s="95" t="s">
        <v>2513</v>
      </c>
      <c r="E195" s="95"/>
      <c r="F195" s="95"/>
      <c r="G195" s="95"/>
      <c r="H195" s="95"/>
      <c r="I195" s="95"/>
      <c r="J195" s="95"/>
      <c r="K195" s="95"/>
      <c r="L195" s="241"/>
      <c r="M195" s="95"/>
      <c r="N195" s="241"/>
      <c r="O195" s="95"/>
      <c r="P195" s="94"/>
      <c r="Q195" s="153" t="s">
        <v>43</v>
      </c>
      <c r="R195" s="117" t="s">
        <v>1964</v>
      </c>
      <c r="S195" s="112"/>
      <c r="T195" s="153"/>
      <c r="U195" s="112"/>
      <c r="V195" s="112"/>
      <c r="W195" s="112"/>
      <c r="X195" s="112"/>
      <c r="Y195" s="112"/>
      <c r="Z195" s="112"/>
      <c r="AA195" s="244" t="s">
        <v>45</v>
      </c>
      <c r="AB195" s="245" t="n">
        <v>2.48</v>
      </c>
      <c r="AC195" s="117" t="s">
        <v>1812</v>
      </c>
      <c r="AD195" s="10" t="n">
        <v>24.26658</v>
      </c>
      <c r="AE195" s="10" t="n">
        <v>75.86768</v>
      </c>
    </row>
    <row r="196" customFormat="false" ht="15" hidden="false" customHeight="false" outlineLevel="0" collapsed="false">
      <c r="A196" s="95" t="s">
        <v>39</v>
      </c>
      <c r="B196" s="95" t="s">
        <v>2349</v>
      </c>
      <c r="C196" s="243" t="s">
        <v>2361</v>
      </c>
      <c r="D196" s="95" t="s">
        <v>2368</v>
      </c>
      <c r="E196" s="95"/>
      <c r="F196" s="95"/>
      <c r="G196" s="95"/>
      <c r="H196" s="95"/>
      <c r="I196" s="95"/>
      <c r="J196" s="95"/>
      <c r="K196" s="95"/>
      <c r="L196" s="241"/>
      <c r="M196" s="95"/>
      <c r="N196" s="241"/>
      <c r="O196" s="95"/>
      <c r="P196" s="94"/>
      <c r="Q196" s="153" t="s">
        <v>43</v>
      </c>
      <c r="R196" s="117" t="s">
        <v>1547</v>
      </c>
      <c r="S196" s="112"/>
      <c r="T196" s="153"/>
      <c r="U196" s="112"/>
      <c r="V196" s="112" t="s">
        <v>49</v>
      </c>
      <c r="W196" s="112" t="s">
        <v>43</v>
      </c>
      <c r="X196" s="112" t="s">
        <v>43</v>
      </c>
      <c r="Y196" s="112" t="s">
        <v>43</v>
      </c>
      <c r="Z196" s="112"/>
      <c r="AA196" s="244" t="s">
        <v>45</v>
      </c>
      <c r="AB196" s="245" t="n">
        <v>2.48</v>
      </c>
      <c r="AC196" s="153" t="s">
        <v>859</v>
      </c>
      <c r="AD196" s="10" t="n">
        <v>24.31007</v>
      </c>
      <c r="AE196" s="10" t="n">
        <v>75.87586</v>
      </c>
    </row>
    <row r="197" customFormat="false" ht="15" hidden="false" customHeight="false" outlineLevel="0" collapsed="false">
      <c r="A197" s="95" t="s">
        <v>39</v>
      </c>
      <c r="B197" s="95" t="s">
        <v>2349</v>
      </c>
      <c r="C197" s="243" t="s">
        <v>2361</v>
      </c>
      <c r="D197" s="95" t="s">
        <v>2364</v>
      </c>
      <c r="E197" s="95"/>
      <c r="F197" s="95"/>
      <c r="G197" s="95"/>
      <c r="H197" s="95"/>
      <c r="I197" s="95"/>
      <c r="J197" s="95"/>
      <c r="K197" s="95"/>
      <c r="L197" s="241"/>
      <c r="M197" s="95"/>
      <c r="N197" s="241"/>
      <c r="O197" s="95"/>
      <c r="P197" s="94"/>
      <c r="Q197" s="153" t="s">
        <v>43</v>
      </c>
      <c r="R197" s="117" t="s">
        <v>1547</v>
      </c>
      <c r="S197" s="112"/>
      <c r="T197" s="153"/>
      <c r="U197" s="112"/>
      <c r="V197" s="112" t="s">
        <v>49</v>
      </c>
      <c r="W197" s="112" t="s">
        <v>43</v>
      </c>
      <c r="X197" s="112" t="s">
        <v>43</v>
      </c>
      <c r="Y197" s="112" t="s">
        <v>43</v>
      </c>
      <c r="Z197" s="112"/>
      <c r="AA197" s="244" t="s">
        <v>45</v>
      </c>
      <c r="AB197" s="245" t="n">
        <v>2.48</v>
      </c>
      <c r="AC197" s="117" t="s">
        <v>859</v>
      </c>
      <c r="AD197" s="10" t="n">
        <v>24.31514</v>
      </c>
      <c r="AE197" s="10" t="n">
        <v>75.9141</v>
      </c>
    </row>
    <row r="198" customFormat="false" ht="15" hidden="false" customHeight="false" outlineLevel="0" collapsed="false">
      <c r="A198" s="95" t="s">
        <v>39</v>
      </c>
      <c r="B198" s="95" t="s">
        <v>2349</v>
      </c>
      <c r="C198" s="190" t="s">
        <v>2361</v>
      </c>
      <c r="D198" s="95" t="s">
        <v>2364</v>
      </c>
      <c r="E198" s="95"/>
      <c r="F198" s="95"/>
      <c r="G198" s="95"/>
      <c r="H198" s="95"/>
      <c r="I198" s="95"/>
      <c r="J198" s="95"/>
      <c r="K198" s="95"/>
      <c r="L198" s="241"/>
      <c r="M198" s="95"/>
      <c r="N198" s="241"/>
      <c r="O198" s="95"/>
      <c r="P198" s="94"/>
      <c r="Q198" s="153" t="s">
        <v>43</v>
      </c>
      <c r="R198" s="117" t="s">
        <v>1547</v>
      </c>
      <c r="S198" s="112"/>
      <c r="T198" s="153"/>
      <c r="U198" s="112"/>
      <c r="V198" s="112"/>
      <c r="W198" s="112"/>
      <c r="X198" s="112"/>
      <c r="Y198" s="112"/>
      <c r="Z198" s="112"/>
      <c r="AA198" s="244" t="s">
        <v>45</v>
      </c>
      <c r="AB198" s="245" t="n">
        <v>2.48</v>
      </c>
      <c r="AC198" s="117" t="s">
        <v>859</v>
      </c>
      <c r="AD198" s="10" t="n">
        <v>24.31706</v>
      </c>
      <c r="AE198" s="10" t="n">
        <v>75.91502</v>
      </c>
    </row>
    <row r="199" s="110" customFormat="true" ht="15" hidden="false" customHeight="false" outlineLevel="0" collapsed="false">
      <c r="A199" s="94"/>
      <c r="B199" s="95"/>
      <c r="C199" s="256"/>
      <c r="D199" s="94"/>
      <c r="E199" s="95"/>
      <c r="F199" s="94"/>
      <c r="G199" s="94"/>
      <c r="H199" s="94"/>
      <c r="I199" s="94"/>
      <c r="J199" s="94"/>
      <c r="K199" s="94"/>
      <c r="L199" s="257"/>
      <c r="M199" s="94"/>
      <c r="N199" s="241"/>
      <c r="O199" s="94"/>
      <c r="P199" s="94"/>
      <c r="Q199" s="153"/>
      <c r="R199" s="118"/>
      <c r="S199" s="112"/>
      <c r="T199" s="153"/>
      <c r="U199" s="112"/>
      <c r="V199" s="112"/>
      <c r="W199" s="112"/>
      <c r="X199" s="112"/>
      <c r="Y199" s="112"/>
      <c r="Z199" s="112"/>
      <c r="AA199" s="112"/>
      <c r="AB199" s="244"/>
      <c r="AC199" s="245"/>
      <c r="AD199" s="10"/>
      <c r="AE199" s="10"/>
    </row>
    <row r="200" s="110" customFormat="true" ht="15" hidden="false" customHeight="false" outlineLevel="0" collapsed="false">
      <c r="A200" s="102"/>
      <c r="B200" s="103"/>
      <c r="C200" s="258"/>
      <c r="D200" s="102"/>
      <c r="E200" s="103"/>
      <c r="F200" s="102"/>
      <c r="G200" s="102"/>
      <c r="H200" s="102"/>
      <c r="I200" s="102"/>
      <c r="J200" s="102"/>
      <c r="K200" s="102"/>
      <c r="L200" s="259"/>
      <c r="M200" s="102"/>
      <c r="N200" s="259"/>
      <c r="O200" s="102"/>
      <c r="P200" s="102"/>
      <c r="Q200" s="260"/>
      <c r="R200" s="261"/>
    </row>
    <row r="201" s="110" customFormat="true" ht="15" hidden="false" customHeight="false" outlineLevel="0" collapsed="false">
      <c r="A201" s="102"/>
      <c r="B201" s="103"/>
      <c r="C201" s="258"/>
      <c r="D201" s="102"/>
      <c r="E201" s="103"/>
      <c r="F201" s="102"/>
      <c r="G201" s="102"/>
      <c r="H201" s="102"/>
      <c r="I201" s="102"/>
      <c r="J201" s="102"/>
      <c r="K201" s="102"/>
      <c r="L201" s="259"/>
      <c r="M201" s="102"/>
      <c r="N201" s="259"/>
      <c r="O201" s="102"/>
      <c r="P201" s="102"/>
      <c r="Q201" s="260"/>
      <c r="R201" s="261"/>
    </row>
    <row r="202" s="110" customFormat="true" ht="15" hidden="false" customHeight="false" outlineLevel="0" collapsed="false">
      <c r="A202" s="102"/>
      <c r="B202" s="103"/>
      <c r="C202" s="258"/>
      <c r="D202" s="102"/>
      <c r="E202" s="103"/>
      <c r="F202" s="102"/>
      <c r="G202" s="102"/>
      <c r="H202" s="102"/>
      <c r="I202" s="102"/>
      <c r="J202" s="102"/>
      <c r="K202" s="102"/>
      <c r="L202" s="259"/>
      <c r="M202" s="102"/>
      <c r="N202" s="259"/>
      <c r="O202" s="102"/>
      <c r="P202" s="102"/>
      <c r="Q202" s="260"/>
      <c r="R202" s="261"/>
    </row>
    <row r="203" s="110" customFormat="true" ht="15" hidden="false" customHeight="false" outlineLevel="0" collapsed="false">
      <c r="A203" s="102"/>
      <c r="B203" s="103"/>
      <c r="C203" s="258"/>
      <c r="D203" s="102"/>
      <c r="E203" s="103"/>
      <c r="F203" s="102"/>
      <c r="G203" s="102"/>
      <c r="H203" s="102"/>
      <c r="I203" s="102"/>
      <c r="J203" s="102"/>
      <c r="K203" s="102"/>
      <c r="L203" s="259"/>
      <c r="M203" s="102"/>
      <c r="N203" s="259"/>
      <c r="O203" s="102"/>
      <c r="P203" s="102"/>
      <c r="Q203" s="262"/>
      <c r="R203" s="263"/>
    </row>
    <row r="204" s="110" customFormat="true" ht="15" hidden="false" customHeight="false" outlineLevel="0" collapsed="false">
      <c r="A204" s="102"/>
      <c r="B204" s="103"/>
      <c r="C204" s="258"/>
      <c r="D204" s="102"/>
      <c r="E204" s="103"/>
      <c r="F204" s="102"/>
      <c r="G204" s="102"/>
      <c r="H204" s="102"/>
      <c r="I204" s="102"/>
      <c r="J204" s="102"/>
      <c r="K204" s="102"/>
      <c r="L204" s="259"/>
      <c r="M204" s="102"/>
      <c r="N204" s="259"/>
      <c r="O204" s="102"/>
      <c r="P204" s="102"/>
      <c r="Q204" s="264"/>
      <c r="R204" s="264"/>
    </row>
    <row r="205" s="110" customFormat="true" ht="15" hidden="false" customHeight="false" outlineLevel="0" collapsed="false">
      <c r="A205" s="102"/>
      <c r="B205" s="103"/>
      <c r="C205" s="258"/>
      <c r="D205" s="102"/>
      <c r="E205" s="103"/>
      <c r="F205" s="102"/>
      <c r="G205" s="102"/>
      <c r="H205" s="102"/>
      <c r="I205" s="102"/>
      <c r="J205" s="102"/>
      <c r="K205" s="102"/>
      <c r="L205" s="259"/>
      <c r="M205" s="102"/>
      <c r="N205" s="259"/>
      <c r="O205" s="102"/>
      <c r="P205" s="102"/>
      <c r="Q205" s="262"/>
      <c r="R205" s="263"/>
    </row>
    <row r="206" s="110" customFormat="true" ht="15" hidden="false" customHeight="false" outlineLevel="0" collapsed="false">
      <c r="A206" s="102"/>
      <c r="B206" s="103"/>
      <c r="C206" s="258"/>
      <c r="D206" s="102"/>
      <c r="E206" s="103"/>
      <c r="F206" s="102"/>
      <c r="G206" s="102"/>
      <c r="H206" s="102"/>
      <c r="I206" s="102"/>
      <c r="J206" s="102"/>
      <c r="K206" s="102"/>
      <c r="L206" s="259"/>
      <c r="M206" s="102"/>
      <c r="N206" s="259"/>
      <c r="O206" s="102"/>
      <c r="P206" s="102"/>
      <c r="Q206" s="264"/>
      <c r="R206" s="264"/>
    </row>
    <row r="207" s="110" customFormat="true" ht="15" hidden="false" customHeight="false" outlineLevel="0" collapsed="false">
      <c r="A207" s="102"/>
      <c r="B207" s="103"/>
      <c r="C207" s="258"/>
      <c r="D207" s="102"/>
      <c r="E207" s="103"/>
      <c r="F207" s="102"/>
      <c r="G207" s="102"/>
      <c r="H207" s="102"/>
      <c r="I207" s="102"/>
      <c r="J207" s="102"/>
      <c r="K207" s="102"/>
      <c r="L207" s="259"/>
      <c r="M207" s="102"/>
      <c r="N207" s="259"/>
      <c r="O207" s="102"/>
      <c r="P207" s="102"/>
      <c r="Q207" s="264"/>
      <c r="R207" s="264"/>
    </row>
    <row r="208" s="110" customFormat="true" ht="15" hidden="false" customHeight="false" outlineLevel="0" collapsed="false">
      <c r="A208" s="102"/>
      <c r="B208" s="103"/>
      <c r="C208" s="258"/>
      <c r="D208" s="102"/>
      <c r="E208" s="103"/>
      <c r="F208" s="102"/>
      <c r="G208" s="102"/>
      <c r="H208" s="102"/>
      <c r="I208" s="102"/>
      <c r="J208" s="102"/>
      <c r="K208" s="102"/>
      <c r="L208" s="259"/>
      <c r="M208" s="102"/>
      <c r="N208" s="259"/>
      <c r="O208" s="102"/>
      <c r="P208" s="102"/>
      <c r="Q208" s="264"/>
      <c r="R208" s="264"/>
    </row>
    <row r="209" s="110" customFormat="true" ht="15" hidden="false" customHeight="false" outlineLevel="0" collapsed="false">
      <c r="A209" s="102"/>
      <c r="B209" s="103"/>
      <c r="C209" s="258"/>
      <c r="D209" s="102"/>
      <c r="E209" s="103"/>
      <c r="F209" s="102"/>
      <c r="G209" s="102"/>
      <c r="H209" s="102"/>
      <c r="I209" s="102"/>
      <c r="J209" s="102"/>
      <c r="K209" s="102"/>
      <c r="L209" s="259"/>
      <c r="M209" s="102"/>
      <c r="N209" s="259"/>
      <c r="O209" s="102"/>
      <c r="P209" s="102"/>
      <c r="Q209" s="264"/>
      <c r="R209" s="264"/>
      <c r="U209" s="107"/>
      <c r="V209" s="107"/>
      <c r="W209" s="107"/>
      <c r="X209" s="107"/>
      <c r="Y209" s="107"/>
      <c r="Z209" s="107"/>
    </row>
    <row r="210" s="107" customFormat="true" ht="15" hidden="false" customHeight="false" outlineLevel="0" collapsed="false">
      <c r="B210" s="262"/>
      <c r="C210" s="265"/>
      <c r="E210" s="262"/>
      <c r="L210" s="266"/>
      <c r="N210" s="266"/>
      <c r="Q210" s="262"/>
    </row>
    <row r="211" s="110" customFormat="true" ht="15" hidden="false" customHeight="false" outlineLevel="0" collapsed="false">
      <c r="L211" s="259"/>
      <c r="N211" s="259"/>
      <c r="Q211" s="264"/>
      <c r="R211" s="267"/>
    </row>
    <row r="212" s="110" customFormat="true" ht="15" hidden="false" customHeight="false" outlineLevel="0" collapsed="false">
      <c r="L212" s="259"/>
      <c r="N212" s="259"/>
      <c r="Q212" s="260"/>
      <c r="R212" s="261"/>
    </row>
    <row r="213" s="110" customFormat="true" ht="15" hidden="false" customHeight="false" outlineLevel="0" collapsed="false">
      <c r="L213" s="259"/>
      <c r="N213" s="259"/>
      <c r="Q213" s="260"/>
      <c r="R213" s="268"/>
    </row>
    <row r="214" s="110" customFormat="true" ht="15" hidden="false" customHeight="false" outlineLevel="0" collapsed="false">
      <c r="L214" s="259"/>
      <c r="N214" s="259"/>
      <c r="Q214" s="260"/>
      <c r="R214" s="268"/>
    </row>
    <row r="215" s="110" customFormat="true" ht="15" hidden="false" customHeight="false" outlineLevel="0" collapsed="false">
      <c r="L215" s="259"/>
      <c r="N215" s="259"/>
      <c r="Q215" s="269"/>
      <c r="R215" s="270"/>
    </row>
    <row r="216" s="110" customFormat="true" ht="15" hidden="false" customHeight="false" outlineLevel="0" collapsed="false">
      <c r="L216" s="259"/>
      <c r="N216" s="259"/>
      <c r="Q216" s="260"/>
      <c r="R216" s="261"/>
    </row>
    <row r="217" s="110" customFormat="true" ht="15" hidden="false" customHeight="false" outlineLevel="0" collapsed="false">
      <c r="L217" s="259"/>
      <c r="N217" s="259"/>
      <c r="Q217" s="103"/>
      <c r="R217" s="103"/>
    </row>
    <row r="218" s="110" customFormat="true" ht="15" hidden="false" customHeight="false" outlineLevel="0" collapsed="false">
      <c r="L218" s="259"/>
      <c r="N218" s="259"/>
      <c r="Q218" s="260"/>
      <c r="R218" s="261"/>
    </row>
    <row r="219" s="110" customFormat="true" ht="15" hidden="false" customHeight="false" outlineLevel="0" collapsed="false">
      <c r="L219" s="259"/>
      <c r="N219" s="259"/>
      <c r="Q219" s="260"/>
      <c r="R219" s="261"/>
    </row>
    <row r="220" s="110" customFormat="true" ht="15" hidden="false" customHeight="false" outlineLevel="0" collapsed="false">
      <c r="L220" s="259"/>
      <c r="N220" s="259"/>
      <c r="Q220" s="262"/>
      <c r="R220" s="263"/>
    </row>
    <row r="221" s="110" customFormat="true" ht="15" hidden="false" customHeight="false" outlineLevel="0" collapsed="false">
      <c r="L221" s="259"/>
      <c r="N221" s="259"/>
      <c r="Q221" s="260"/>
      <c r="R221" s="263"/>
    </row>
    <row r="222" s="110" customFormat="true" ht="15" hidden="false" customHeight="false" outlineLevel="0" collapsed="false">
      <c r="L222" s="259"/>
      <c r="N222" s="259"/>
      <c r="Q222" s="260"/>
      <c r="R222" s="263"/>
    </row>
    <row r="223" s="110" customFormat="true" ht="15" hidden="false" customHeight="false" outlineLevel="0" collapsed="false">
      <c r="L223" s="259"/>
      <c r="N223" s="259"/>
      <c r="Q223" s="260"/>
      <c r="R223" s="263"/>
    </row>
    <row r="224" s="110" customFormat="true" ht="15" hidden="false" customHeight="false" outlineLevel="0" collapsed="false">
      <c r="L224" s="259"/>
      <c r="N224" s="259"/>
      <c r="Q224" s="260"/>
      <c r="R224" s="263"/>
    </row>
    <row r="225" s="110" customFormat="true" ht="15" hidden="false" customHeight="false" outlineLevel="0" collapsed="false">
      <c r="L225" s="259"/>
      <c r="N225" s="259"/>
    </row>
    <row r="226" s="110" customFormat="true" ht="15" hidden="false" customHeight="false" outlineLevel="0" collapsed="false">
      <c r="L226" s="259"/>
      <c r="N226" s="259"/>
    </row>
    <row r="227" s="110" customFormat="true" ht="15" hidden="false" customHeight="false" outlineLevel="0" collapsed="false">
      <c r="L227" s="259"/>
      <c r="N227" s="259"/>
    </row>
    <row r="228" s="110" customFormat="true" ht="15" hidden="false" customHeight="false" outlineLevel="0" collapsed="false">
      <c r="L228" s="259"/>
      <c r="N228" s="259"/>
    </row>
    <row r="229" s="110" customFormat="true" ht="15" hidden="false" customHeight="false" outlineLevel="0" collapsed="false">
      <c r="L229" s="259"/>
      <c r="N229" s="259"/>
    </row>
    <row r="230" s="110" customFormat="true" ht="15" hidden="false" customHeight="false" outlineLevel="0" collapsed="false">
      <c r="L230" s="259"/>
      <c r="N230" s="259"/>
    </row>
    <row r="231" s="110" customFormat="true" ht="15" hidden="false" customHeight="false" outlineLevel="0" collapsed="false">
      <c r="L231" s="259"/>
      <c r="N231" s="259"/>
    </row>
    <row r="232" s="110" customFormat="true" ht="15" hidden="false" customHeight="false" outlineLevel="0" collapsed="false">
      <c r="L232" s="259"/>
      <c r="N232" s="259"/>
    </row>
    <row r="233" s="110" customFormat="true" ht="15" hidden="false" customHeight="false" outlineLevel="0" collapsed="false">
      <c r="L233" s="259"/>
      <c r="N233" s="259"/>
    </row>
    <row r="234" s="110" customFormat="true" ht="15" hidden="false" customHeight="false" outlineLevel="0" collapsed="false">
      <c r="L234" s="259"/>
      <c r="N234" s="259"/>
    </row>
    <row r="235" s="110" customFormat="true" ht="15" hidden="false" customHeight="false" outlineLevel="0" collapsed="false">
      <c r="L235" s="259"/>
      <c r="N235" s="259"/>
    </row>
    <row r="236" s="110" customFormat="true" ht="15" hidden="false" customHeight="false" outlineLevel="0" collapsed="false">
      <c r="L236" s="259"/>
      <c r="N236" s="259"/>
    </row>
    <row r="237" s="110" customFormat="true" ht="15" hidden="false" customHeight="false" outlineLevel="0" collapsed="false">
      <c r="L237" s="259"/>
      <c r="N237" s="259"/>
    </row>
    <row r="238" s="110" customFormat="true" ht="15" hidden="false" customHeight="false" outlineLevel="0" collapsed="false">
      <c r="L238" s="259"/>
      <c r="N238" s="259"/>
    </row>
    <row r="239" s="110" customFormat="true" ht="15" hidden="false" customHeight="false" outlineLevel="0" collapsed="false">
      <c r="L239" s="259"/>
      <c r="N239" s="259"/>
    </row>
    <row r="240" s="110" customFormat="true" ht="15" hidden="false" customHeight="false" outlineLevel="0" collapsed="false">
      <c r="L240" s="259"/>
      <c r="N240" s="259"/>
    </row>
    <row r="241" s="110" customFormat="true" ht="15" hidden="false" customHeight="false" outlineLevel="0" collapsed="false">
      <c r="L241" s="259"/>
      <c r="N241" s="259"/>
    </row>
  </sheetData>
  <mergeCells count="3">
    <mergeCell ref="K2:L2"/>
    <mergeCell ref="M2:N2"/>
    <mergeCell ref="AD2:AE2"/>
  </mergeCells>
  <conditionalFormatting sqref="E186:K190 AC74">
    <cfRule type="expression" priority="2" aboveAverage="0" equalAverage="0" bottom="0" percent="0" rank="0" text="" dxfId="202">
      <formula>AND(COUNTIF($A$169:$A$65574, E74)+COUNTIF($A$64:$A$67, E74)+COUNTIF($A$2:$A$6, E74)+COUNTIF($A$10:$A$62, E74)+COUNTIF($B$9, E74)+COUNTIF($A$8, E74)+COUNTIF($A$92:$A$143, E74)&gt;1,NOT(ISBLANK(E74)))</formula>
    </cfRule>
  </conditionalFormatting>
  <conditionalFormatting sqref="M186:M190">
    <cfRule type="expression" priority="3" aboveAverage="0" equalAverage="0" bottom="0" percent="0" rank="0" text="" dxfId="203">
      <formula>AND(COUNTIF($A$169:$A$65574, M186)+COUNTIF($A$64:$A$67, M186)+COUNTIF($A$2:$A$6, M186)+COUNTIF($A$10:$A$62, M186)+COUNTIF($B$9, M186)+COUNTIF($A$8, M186)+COUNTIF($A$92:$A$143, M186)&gt;1,NOT(ISBLANK(M186)))</formula>
    </cfRule>
  </conditionalFormatting>
  <conditionalFormatting sqref="O186:O190">
    <cfRule type="expression" priority="4" aboveAverage="0" equalAverage="0" bottom="0" percent="0" rank="0" text="" dxfId="204">
      <formula>AND(COUNTIF($A$169:$A$65574, O186)+COUNTIF($A$64:$A$67, O186)+COUNTIF($A$2:$A$6, O186)+COUNTIF($A$10:$A$62, O186)+COUNTIF($B$9, O186)+COUNTIF($A$8, O186)+COUNTIF($A$92:$A$143, O186)&gt;1,NOT(ISBLANK(O186)))</formula>
    </cfRule>
  </conditionalFormatting>
  <conditionalFormatting sqref="AC78 AC183 AC73 AC63:AC71 AC6:AC9 AC4 AC16:AC19">
    <cfRule type="expression" priority="5" aboveAverage="0" equalAverage="0" bottom="0" percent="0" rank="0" text="" dxfId="205">
      <formula>AND(COUNTIF($A$169:$A$65575, AC4)+COUNTIF($A$64:$A$67, AC4)+COUNTIF($A$2:$A$6, AC4)+COUNTIF($A$10:$A$62, AC4)+COUNTIF($B$9, AC4)+COUNTIF($A$8, AC4)+COUNTIF($A$92:$A$143, AC4)&gt;1,NOT(ISBLANK(AC4)))</formula>
    </cfRule>
  </conditionalFormatting>
  <conditionalFormatting sqref="AC186">
    <cfRule type="expression" priority="6" aboveAverage="0" equalAverage="0" bottom="0" percent="0" rank="0" text="" dxfId="206">
      <formula>AND(COUNTIF($A$169:$A$65574, AC186)+COUNTIF($A$64:$A$67, AC186)+COUNTIF($A$2:$A$6, AC186)+COUNTIF($A$10:$A$62, AC186)+COUNTIF($B$9, AC186)+COUNTIF($A$8, AC186)+COUNTIF($A$92:$A$143, AC186)&gt;1,NOT(ISBLANK(AC186)))</formula>
    </cfRule>
  </conditionalFormatting>
  <conditionalFormatting sqref="AC151">
    <cfRule type="expression" priority="7" aboveAverage="0" equalAverage="0" bottom="0" percent="0" rank="0" text="" dxfId="207">
      <formula>AND(COUNTIF($A$169:$A$65574, AC151)+COUNTIF($A$64:$A$67, AC151)+COUNTIF($A$2:$A$6, AC151)+COUNTIF($A$10:$A$62, AC151)+COUNTIF($B$9, AC151)+COUNTIF($A$8, AC151)+COUNTIF($A$92:$A$143, AC151)&gt;1,NOT(ISBLANK(AC151)))</formula>
    </cfRule>
  </conditionalFormatting>
  <conditionalFormatting sqref="AC149">
    <cfRule type="expression" priority="8" aboveAverage="0" equalAverage="0" bottom="0" percent="0" rank="0" text="" dxfId="208">
      <formula>AND(COUNTIF($A$169:$A$65574, AC149)+COUNTIF($A$64:$A$67, AC149)+COUNTIF($A$2:$A$6, AC149)+COUNTIF($A$10:$A$62, AC149)+COUNTIF($B$9, AC149)+COUNTIF($A$8, AC149)+COUNTIF($A$92:$A$143, AC149)&gt;1,NOT(ISBLANK(AC149)))</formula>
    </cfRule>
  </conditionalFormatting>
  <conditionalFormatting sqref="AC150">
    <cfRule type="expression" priority="9" aboveAverage="0" equalAverage="0" bottom="0" percent="0" rank="0" text="" dxfId="209">
      <formula>AND(COUNTIF($A$169:$A$65574, AC150)+COUNTIF($A$64:$A$67, AC150)+COUNTIF($A$2:$A$6, AC150)+COUNTIF($A$10:$A$62, AC150)+COUNTIF($B$9, AC150)+COUNTIF($A$8, AC150)+COUNTIF($A$92:$A$143, AC150)&gt;1,NOT(ISBLANK(AC150)))</formula>
    </cfRule>
  </conditionalFormatting>
  <conditionalFormatting sqref="AC148">
    <cfRule type="expression" priority="10" aboveAverage="0" equalAverage="0" bottom="0" percent="0" rank="0" text="" dxfId="210">
      <formula>AND(COUNTIF($A$169:$A$65574, AC148)+COUNTIF($A$64:$A$67, AC148)+COUNTIF($A$2:$A$6, AC148)+COUNTIF($A$10:$A$62, AC148)+COUNTIF($B$9, AC148)+COUNTIF($A$8, AC148)+COUNTIF($A$92:$A$143, AC148)&gt;1,NOT(ISBLANK(AC148)))</formula>
    </cfRule>
  </conditionalFormatting>
  <conditionalFormatting sqref="AC186">
    <cfRule type="expression" priority="11" aboveAverage="0" equalAverage="0" bottom="0" percent="0" rank="0" text="" dxfId="211">
      <formula>AND(COUNTIF($A$169:$A$65574, AC186)+COUNTIF($A$64:$A$67, AC186)+COUNTIF($A$2:$A$6, AC186)+COUNTIF($A$10:$A$62, AC186)+COUNTIF($B$9, AC186)+COUNTIF($A$8, AC186)+COUNTIF($A$92:$A$143, AC186)&gt;1,NOT(ISBLANK(AC186)))</formula>
    </cfRule>
  </conditionalFormatting>
  <conditionalFormatting sqref="AC108">
    <cfRule type="expression" priority="12" aboveAverage="0" equalAverage="0" bottom="0" percent="0" rank="0" text="" dxfId="212">
      <formula>AND(COUNTIF($A$140:$A$65536, AC108)+COUNTIF($A$53:$A$56, AC108)+COUNTIF($A$2:$A$5, AC108)+COUNTIF($A$9:$A$51, AC108)+COUNTIF($B$8, AC108)+COUNTIF($A$7, AC108)+COUNTIF($A$78:$A$98, AC108)&gt;1,NOT(ISBLANK(AC108)))</formula>
    </cfRule>
  </conditionalFormatting>
  <conditionalFormatting sqref="AC76:AC77">
    <cfRule type="expression" priority="13" aboveAverage="0" equalAverage="0" bottom="0" percent="0" rank="0" text="" dxfId="213">
      <formula>AND(COUNTIF($A$147:$A$65543, AC76)+COUNTIF($A$53:$A$56, AC76)+COUNTIF($A$2:$A$5, AC76)+COUNTIF($A$9:$A$51, AC76)+COUNTIF($B$8, AC76)+COUNTIF($A$7, AC76)+COUNTIF($A$76:$A$111, AC76)&gt;1,NOT(ISBLANK(AC76)))</formula>
    </cfRule>
  </conditionalFormatting>
  <conditionalFormatting sqref="AC76:AC77">
    <cfRule type="expression" priority="14" aboveAverage="0" equalAverage="0" bottom="0" percent="0" rank="0" text="" dxfId="214">
      <formula>AND(COUNTIF($A$128:$A$65530, AC76)+COUNTIF($A$53:$A$56, AC76)+COUNTIF($A$2:$A$5, AC76)+COUNTIF($A$9:$A$51, AC76)+COUNTIF($B$8, AC76)+COUNTIF($A$7, AC76)+COUNTIF($A$76:$A$96, AC76)&gt;1,NOT(ISBLANK(AC76)))</formula>
    </cfRule>
  </conditionalFormatting>
  <conditionalFormatting sqref="AC142:AC145">
    <cfRule type="expression" priority="15" aboveAverage="0" equalAverage="0" bottom="0" percent="0" rank="0" text="" dxfId="215">
      <formula>AND(COUNTIF($A$109:$A$65500, AC142)+COUNTIF($A$46:$A$47, AC142)+COUNTIF($A$2:$A$5, AC142)+COUNTIF($A$9:$A$44, AC142)+COUNTIF($B$8, AC142)+COUNTIF($A$7, AC142)+COUNTIF($A$67:$A$87, AC142)&gt;1,NOT(ISBLANK(AC142)))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2021-01-13T10:03:28Z</dcterms:created>
  <dc:creator>fes pk</dc:creator>
  <dc:description/>
  <dc:language>en-IN</dc:language>
  <cp:lastModifiedBy/>
  <dcterms:modified xsi:type="dcterms:W3CDTF">2026-10-27T10:44:38Z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